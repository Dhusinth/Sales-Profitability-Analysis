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Sales-Profitability-Analysis\Sales-Profitability-Analysis\data\"/>
    </mc:Choice>
  </mc:AlternateContent>
  <xr:revisionPtr revIDLastSave="0" documentId="8_{3D27C84F-566A-463F-9333-E84DBA513692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ales By Category" sheetId="3" r:id="rId1"/>
    <sheet name="Profit By Category" sheetId="4" r:id="rId2"/>
    <sheet name="Top 10 Product By Sales" sheetId="5" r:id="rId3"/>
    <sheet name="Sales By Region" sheetId="6" r:id="rId4"/>
    <sheet name="Profit Margin" sheetId="7" r:id="rId5"/>
    <sheet name="Discount Vs Profitability" sheetId="8" r:id="rId6"/>
    <sheet name="Sales Data" sheetId="1" r:id="rId7"/>
    <sheet name="Monthly Sales Trend " sheetId="2" r:id="rId8"/>
  </sheets>
  <calcPr calcId="191029"/>
  <pivotCaches>
    <pivotCache cacheId="24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3" i="7"/>
  <c r="B2" i="7"/>
  <c r="R3" i="1"/>
  <c r="R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<sst xmlns="http://schemas.openxmlformats.org/spreadsheetml/2006/main" count="32096" uniqueCount="5111">
  <si>
    <t>Order ID</t>
  </si>
  <si>
    <t>Order Date</t>
  </si>
  <si>
    <t>Customer ID</t>
  </si>
  <si>
    <t>Customer Name</t>
  </si>
  <si>
    <t>Region</t>
  </si>
  <si>
    <t>State</t>
  </si>
  <si>
    <t>Category</t>
  </si>
  <si>
    <t>Sub-Category</t>
  </si>
  <si>
    <t>Product</t>
  </si>
  <si>
    <t>Quantity</t>
  </si>
  <si>
    <t>Unit Price</t>
  </si>
  <si>
    <t>Discount</t>
  </si>
  <si>
    <t>Sales</t>
  </si>
  <si>
    <t>Cost</t>
  </si>
  <si>
    <t>Profit</t>
  </si>
  <si>
    <t>ORD10824</t>
  </si>
  <si>
    <t>CUST1326</t>
  </si>
  <si>
    <t>Customer 326</t>
  </si>
  <si>
    <t>East</t>
  </si>
  <si>
    <t>Jharkhand</t>
  </si>
  <si>
    <t>Office Supplies</t>
  </si>
  <si>
    <t>Accessories</t>
  </si>
  <si>
    <t>Desk Organizer</t>
  </si>
  <si>
    <t>ORD13420</t>
  </si>
  <si>
    <t>CUST1143</t>
  </si>
  <si>
    <t>Customer 143</t>
  </si>
  <si>
    <t>South</t>
  </si>
  <si>
    <t>Telangana</t>
  </si>
  <si>
    <t>Home Appliances</t>
  </si>
  <si>
    <t>Kitchen</t>
  </si>
  <si>
    <t>Electric Kettle</t>
  </si>
  <si>
    <t>ORD13465</t>
  </si>
  <si>
    <t>CUST1180</t>
  </si>
  <si>
    <t>Customer 180</t>
  </si>
  <si>
    <t>Tamil Nadu</t>
  </si>
  <si>
    <t>Mixer Grinder</t>
  </si>
  <si>
    <t>ORD11547</t>
  </si>
  <si>
    <t>CUST1344</t>
  </si>
  <si>
    <t>Customer 344</t>
  </si>
  <si>
    <t>West</t>
  </si>
  <si>
    <t>Rajasthan</t>
  </si>
  <si>
    <t>Paper</t>
  </si>
  <si>
    <t>Printer Paper</t>
  </si>
  <si>
    <t>ORD12438</t>
  </si>
  <si>
    <t>CUST1339</t>
  </si>
  <si>
    <t>Customer 339</t>
  </si>
  <si>
    <t>Karnataka</t>
  </si>
  <si>
    <t>Air Fryer</t>
  </si>
  <si>
    <t>ORD10093</t>
  </si>
  <si>
    <t>CUST1421</t>
  </si>
  <si>
    <t>Customer 421</t>
  </si>
  <si>
    <t>Electronics</t>
  </si>
  <si>
    <t>Audio</t>
  </si>
  <si>
    <t>Bluetooth Speaker</t>
  </si>
  <si>
    <t>ORD13812</t>
  </si>
  <si>
    <t>CUST1223</t>
  </si>
  <si>
    <t>Customer 223</t>
  </si>
  <si>
    <t>Furniture</t>
  </si>
  <si>
    <t>Storage</t>
  </si>
  <si>
    <t>Filing Cabinet</t>
  </si>
  <si>
    <t>ORD13842</t>
  </si>
  <si>
    <t>CUST1248</t>
  </si>
  <si>
    <t>Customer 248</t>
  </si>
  <si>
    <t>Appliances</t>
  </si>
  <si>
    <t>Table Fan</t>
  </si>
  <si>
    <t>ORD10514</t>
  </si>
  <si>
    <t>CUST1409</t>
  </si>
  <si>
    <t>Customer 409</t>
  </si>
  <si>
    <t>ORD10899</t>
  </si>
  <si>
    <t>CUST1036</t>
  </si>
  <si>
    <t>Customer 036</t>
  </si>
  <si>
    <t>Gujarat</t>
  </si>
  <si>
    <t>Laptop Stand</t>
  </si>
  <si>
    <t>ORD13544</t>
  </si>
  <si>
    <t>CUST1388</t>
  </si>
  <si>
    <t>Customer 388</t>
  </si>
  <si>
    <t>Maharashtra</t>
  </si>
  <si>
    <t>ORD11005</t>
  </si>
  <si>
    <t>CUST1065</t>
  </si>
  <si>
    <t>Customer 065</t>
  </si>
  <si>
    <t>Wireless Mouse</t>
  </si>
  <si>
    <t>ORD13872</t>
  </si>
  <si>
    <t>CUST1052</t>
  </si>
  <si>
    <t>Customer 052</t>
  </si>
  <si>
    <t>Stationery</t>
  </si>
  <si>
    <t>Stapler</t>
  </si>
  <si>
    <t>ORD13181</t>
  </si>
  <si>
    <t>CUST1112</t>
  </si>
  <si>
    <t>Customer 112</t>
  </si>
  <si>
    <t>Monitors</t>
  </si>
  <si>
    <t>Monitor 24-inch</t>
  </si>
  <si>
    <t>ORD11736</t>
  </si>
  <si>
    <t>CUST1400</t>
  </si>
  <si>
    <t>Customer 400</t>
  </si>
  <si>
    <t>West Bengal</t>
  </si>
  <si>
    <t>ORD13140</t>
  </si>
  <si>
    <t>North</t>
  </si>
  <si>
    <t>Uttar Pradesh</t>
  </si>
  <si>
    <t>ORD13184</t>
  </si>
  <si>
    <t>CUST1029</t>
  </si>
  <si>
    <t>Customer 029</t>
  </si>
  <si>
    <t>ORD13598</t>
  </si>
  <si>
    <t>CUST1278</t>
  </si>
  <si>
    <t>Customer 278</t>
  </si>
  <si>
    <t>Chairs</t>
  </si>
  <si>
    <t>Office Chair</t>
  </si>
  <si>
    <t>ORD10498</t>
  </si>
  <si>
    <t>CUST1188</t>
  </si>
  <si>
    <t>Customer 188</t>
  </si>
  <si>
    <t>ORD12666</t>
  </si>
  <si>
    <t>CUST1269</t>
  </si>
  <si>
    <t>Customer 269</t>
  </si>
  <si>
    <t>ORD12714</t>
  </si>
  <si>
    <t>CUST1261</t>
  </si>
  <si>
    <t>Customer 261</t>
  </si>
  <si>
    <t>Bihar</t>
  </si>
  <si>
    <t>Keyboard</t>
  </si>
  <si>
    <t>ORD11881</t>
  </si>
  <si>
    <t>CUST1193</t>
  </si>
  <si>
    <t>Customer 193</t>
  </si>
  <si>
    <t>Punjab</t>
  </si>
  <si>
    <t>ORD13288</t>
  </si>
  <si>
    <t>CUST1101</t>
  </si>
  <si>
    <t>Customer 101</t>
  </si>
  <si>
    <t>Goa</t>
  </si>
  <si>
    <t>ORD12773</t>
  </si>
  <si>
    <t>CUST1102</t>
  </si>
  <si>
    <t>Customer 102</t>
  </si>
  <si>
    <t>Kerala</t>
  </si>
  <si>
    <t>Bookshelf</t>
  </si>
  <si>
    <t>ORD11851</t>
  </si>
  <si>
    <t>CUST1041</t>
  </si>
  <si>
    <t>Customer 041</t>
  </si>
  <si>
    <t>ORD13721</t>
  </si>
  <si>
    <t>CUST1320</t>
  </si>
  <si>
    <t>Customer 320</t>
  </si>
  <si>
    <t>ORD11616</t>
  </si>
  <si>
    <t>CUST1087</t>
  </si>
  <si>
    <t>Customer 087</t>
  </si>
  <si>
    <t>ORD13534</t>
  </si>
  <si>
    <t>CUST1495</t>
  </si>
  <si>
    <t>Customer 495</t>
  </si>
  <si>
    <t>ORD10702</t>
  </si>
  <si>
    <t>CUST1309</t>
  </si>
  <si>
    <t>Customer 309</t>
  </si>
  <si>
    <t>ORD11560</t>
  </si>
  <si>
    <t>CUST1428</t>
  </si>
  <si>
    <t>Customer 428</t>
  </si>
  <si>
    <t>ORD11620</t>
  </si>
  <si>
    <t>CUST1496</t>
  </si>
  <si>
    <t>Customer 496</t>
  </si>
  <si>
    <t>ORD13685</t>
  </si>
  <si>
    <t>CUST1488</t>
  </si>
  <si>
    <t>Customer 488</t>
  </si>
  <si>
    <t>ORD12072</t>
  </si>
  <si>
    <t>CUST1324</t>
  </si>
  <si>
    <t>Customer 324</t>
  </si>
  <si>
    <t>ORD11921</t>
  </si>
  <si>
    <t>CUST1197</t>
  </si>
  <si>
    <t>Customer 197</t>
  </si>
  <si>
    <t>ORD10825</t>
  </si>
  <si>
    <t>CUST1312</t>
  </si>
  <si>
    <t>Customer 312</t>
  </si>
  <si>
    <t>ORD10174</t>
  </si>
  <si>
    <t>CUST1362</t>
  </si>
  <si>
    <t>Customer 362</t>
  </si>
  <si>
    <t>ORD12277</t>
  </si>
  <si>
    <t>CUST1105</t>
  </si>
  <si>
    <t>Customer 105</t>
  </si>
  <si>
    <t>Notebook Pack</t>
  </si>
  <si>
    <t>ORD10480</t>
  </si>
  <si>
    <t>CUST1055</t>
  </si>
  <si>
    <t>Customer 055</t>
  </si>
  <si>
    <t>ORD11817</t>
  </si>
  <si>
    <t>CUST1118</t>
  </si>
  <si>
    <t>Customer 118</t>
  </si>
  <si>
    <t>ORD12840</t>
  </si>
  <si>
    <t>CUST1486</t>
  </si>
  <si>
    <t>Customer 486</t>
  </si>
  <si>
    <t>ORD11762</t>
  </si>
  <si>
    <t>CUST1205</t>
  </si>
  <si>
    <t>Customer 205</t>
  </si>
  <si>
    <t>ORD11023</t>
  </si>
  <si>
    <t>CUST1435</t>
  </si>
  <si>
    <t>Customer 435</t>
  </si>
  <si>
    <t>ORD10733</t>
  </si>
  <si>
    <t>CUST1461</t>
  </si>
  <si>
    <t>Customer 461</t>
  </si>
  <si>
    <t>Tables</t>
  </si>
  <si>
    <t>Study Table</t>
  </si>
  <si>
    <t>ORD10694</t>
  </si>
  <si>
    <t>CUST1474</t>
  </si>
  <si>
    <t>Customer 474</t>
  </si>
  <si>
    <t>ORD11222</t>
  </si>
  <si>
    <t>CUST1277</t>
  </si>
  <si>
    <t>Customer 277</t>
  </si>
  <si>
    <t>Haryana</t>
  </si>
  <si>
    <t>ORD11628</t>
  </si>
  <si>
    <t>CUST1293</t>
  </si>
  <si>
    <t>Customer 293</t>
  </si>
  <si>
    <t>Delhi</t>
  </si>
  <si>
    <t>ORD13572</t>
  </si>
  <si>
    <t>CUST1422</t>
  </si>
  <si>
    <t>Customer 422</t>
  </si>
  <si>
    <t>Andhra Pradesh</t>
  </si>
  <si>
    <t>ORD13885</t>
  </si>
  <si>
    <t>CUST1082</t>
  </si>
  <si>
    <t>Customer 082</t>
  </si>
  <si>
    <t>Headphones</t>
  </si>
  <si>
    <t>ORD13894</t>
  </si>
  <si>
    <t>Pen Set</t>
  </si>
  <si>
    <t>ORD10440</t>
  </si>
  <si>
    <t>CUST1199</t>
  </si>
  <si>
    <t>Customer 199</t>
  </si>
  <si>
    <t>ORD11339</t>
  </si>
  <si>
    <t>ORD11894</t>
  </si>
  <si>
    <t>CUST1356</t>
  </si>
  <si>
    <t>Customer 356</t>
  </si>
  <si>
    <t>ORD10454</t>
  </si>
  <si>
    <t>CUST1013</t>
  </si>
  <si>
    <t>Customer 013</t>
  </si>
  <si>
    <t>ORD12767</t>
  </si>
  <si>
    <t>CUST1185</t>
  </si>
  <si>
    <t>Customer 185</t>
  </si>
  <si>
    <t>ORD13565</t>
  </si>
  <si>
    <t>CUST1391</t>
  </si>
  <si>
    <t>Customer 391</t>
  </si>
  <si>
    <t>Odisha</t>
  </si>
  <si>
    <t>ORD12485</t>
  </si>
  <si>
    <t>CUST1172</t>
  </si>
  <si>
    <t>Customer 172</t>
  </si>
  <si>
    <t>ORD13367</t>
  </si>
  <si>
    <t>CUST1311</t>
  </si>
  <si>
    <t>Customer 311</t>
  </si>
  <si>
    <t>ORD10508</t>
  </si>
  <si>
    <t>CUST1124</t>
  </si>
  <si>
    <t>Customer 124</t>
  </si>
  <si>
    <t>ORD11330</t>
  </si>
  <si>
    <t>CUST1171</t>
  </si>
  <si>
    <t>Customer 171</t>
  </si>
  <si>
    <t>ORD12848</t>
  </si>
  <si>
    <t>CUST1194</t>
  </si>
  <si>
    <t>Customer 194</t>
  </si>
  <si>
    <t>ORD13356</t>
  </si>
  <si>
    <t>CUST1221</t>
  </si>
  <si>
    <t>Customer 221</t>
  </si>
  <si>
    <t>ORD11979</t>
  </si>
  <si>
    <t>ORD11983</t>
  </si>
  <si>
    <t>CUST1028</t>
  </si>
  <si>
    <t>Customer 028</t>
  </si>
  <si>
    <t>ORD12672</t>
  </si>
  <si>
    <t>ORD10059</t>
  </si>
  <si>
    <t>CUST1372</t>
  </si>
  <si>
    <t>Customer 372</t>
  </si>
  <si>
    <t>ORD13387</t>
  </si>
  <si>
    <t>ORD11408</t>
  </si>
  <si>
    <t>CUST1438</t>
  </si>
  <si>
    <t>Customer 438</t>
  </si>
  <si>
    <t>ORD13396</t>
  </si>
  <si>
    <t>CUST1398</t>
  </si>
  <si>
    <t>Customer 398</t>
  </si>
  <si>
    <t>ORD13444</t>
  </si>
  <si>
    <t>CUST1111</t>
  </si>
  <si>
    <t>Customer 111</t>
  </si>
  <si>
    <t>ORD12532</t>
  </si>
  <si>
    <t>CUST1404</t>
  </si>
  <si>
    <t>Customer 404</t>
  </si>
  <si>
    <t>ORD12669</t>
  </si>
  <si>
    <t>CUST1039</t>
  </si>
  <si>
    <t>Customer 039</t>
  </si>
  <si>
    <t>ORD13562</t>
  </si>
  <si>
    <t>CUST1085</t>
  </si>
  <si>
    <t>Customer 085</t>
  </si>
  <si>
    <t>ORD11127</t>
  </si>
  <si>
    <t>ORD10944</t>
  </si>
  <si>
    <t>CUST1238</t>
  </si>
  <si>
    <t>Customer 238</t>
  </si>
  <si>
    <t>ORD13616</t>
  </si>
  <si>
    <t>CUST1224</t>
  </si>
  <si>
    <t>Customer 224</t>
  </si>
  <si>
    <t>ORD12729</t>
  </si>
  <si>
    <t>CUST1291</t>
  </si>
  <si>
    <t>Customer 291</t>
  </si>
  <si>
    <t>ORD11100</t>
  </si>
  <si>
    <t>CUST1217</t>
  </si>
  <si>
    <t>Customer 217</t>
  </si>
  <si>
    <t>ORD13007</t>
  </si>
  <si>
    <t>CUST1300</t>
  </si>
  <si>
    <t>Customer 300</t>
  </si>
  <si>
    <t>ORD12142</t>
  </si>
  <si>
    <t>ORD11773</t>
  </si>
  <si>
    <t>CUST1182</t>
  </si>
  <si>
    <t>Customer 182</t>
  </si>
  <si>
    <t>ORD10236</t>
  </si>
  <si>
    <t>CUST1360</t>
  </si>
  <si>
    <t>Customer 360</t>
  </si>
  <si>
    <t>ORD11849</t>
  </si>
  <si>
    <t>ORD13955</t>
  </si>
  <si>
    <t>CUST1297</t>
  </si>
  <si>
    <t>Customer 297</t>
  </si>
  <si>
    <t>ORD12859</t>
  </si>
  <si>
    <t>CUST1363</t>
  </si>
  <si>
    <t>Customer 363</t>
  </si>
  <si>
    <t>ORD11962</t>
  </si>
  <si>
    <t>ORD13638</t>
  </si>
  <si>
    <t>CUST1250</t>
  </si>
  <si>
    <t>Customer 250</t>
  </si>
  <si>
    <t>ORD12208</t>
  </si>
  <si>
    <t>CUST1420</t>
  </si>
  <si>
    <t>Customer 420</t>
  </si>
  <si>
    <t>ORD13697</t>
  </si>
  <si>
    <t>CUST1155</t>
  </si>
  <si>
    <t>Customer 155</t>
  </si>
  <si>
    <t>ORD11847</t>
  </si>
  <si>
    <t>CUST1202</t>
  </si>
  <si>
    <t>Customer 202</t>
  </si>
  <si>
    <t>ORD10283</t>
  </si>
  <si>
    <t>CUST1336</t>
  </si>
  <si>
    <t>Customer 336</t>
  </si>
  <si>
    <t>ORD13208</t>
  </si>
  <si>
    <t>CUST1408</t>
  </si>
  <si>
    <t>Customer 408</t>
  </si>
  <si>
    <t>ORD11412</t>
  </si>
  <si>
    <t>CUST1281</t>
  </si>
  <si>
    <t>Customer 281</t>
  </si>
  <si>
    <t>ORD12538</t>
  </si>
  <si>
    <t>ORD11872</t>
  </si>
  <si>
    <t>CUST1104</t>
  </si>
  <si>
    <t>Customer 104</t>
  </si>
  <si>
    <t>ORD13670</t>
  </si>
  <si>
    <t>CUST1109</t>
  </si>
  <si>
    <t>Customer 109</t>
  </si>
  <si>
    <t>ORD13366</t>
  </si>
  <si>
    <t>CUST1375</t>
  </si>
  <si>
    <t>Customer 375</t>
  </si>
  <si>
    <t>ORD11673</t>
  </si>
  <si>
    <t>CUST1134</t>
  </si>
  <si>
    <t>Customer 134</t>
  </si>
  <si>
    <t>ORD11133</t>
  </si>
  <si>
    <t>ORD10190</t>
  </si>
  <si>
    <t>CUST1151</t>
  </si>
  <si>
    <t>Customer 151</t>
  </si>
  <si>
    <t>ORD13171</t>
  </si>
  <si>
    <t>CUST1315</t>
  </si>
  <si>
    <t>Customer 315</t>
  </si>
  <si>
    <t>ORD10903</t>
  </si>
  <si>
    <t>CUST1110</t>
  </si>
  <si>
    <t>Customer 110</t>
  </si>
  <si>
    <t>ORD13807</t>
  </si>
  <si>
    <t>ORD11830</t>
  </si>
  <si>
    <t>CUST1492</t>
  </si>
  <si>
    <t>Customer 492</t>
  </si>
  <si>
    <t>ORD13581</t>
  </si>
  <si>
    <t>CUST1441</t>
  </si>
  <si>
    <t>Customer 441</t>
  </si>
  <si>
    <t>ORD13277</t>
  </si>
  <si>
    <t>ORD10948</t>
  </si>
  <si>
    <t>CUST1068</t>
  </si>
  <si>
    <t>Customer 068</t>
  </si>
  <si>
    <t>ORD13762</t>
  </si>
  <si>
    <t>CUST1253</t>
  </si>
  <si>
    <t>Customer 253</t>
  </si>
  <si>
    <t>ORD11114</t>
  </si>
  <si>
    <t>CUST1147</t>
  </si>
  <si>
    <t>Customer 147</t>
  </si>
  <si>
    <t>ORD11518</t>
  </si>
  <si>
    <t>CUST1025</t>
  </si>
  <si>
    <t>Customer 025</t>
  </si>
  <si>
    <t>ORD12038</t>
  </si>
  <si>
    <t>CUST1021</t>
  </si>
  <si>
    <t>Customer 021</t>
  </si>
  <si>
    <t>ORD13228</t>
  </si>
  <si>
    <t>CUST1190</t>
  </si>
  <si>
    <t>Customer 190</t>
  </si>
  <si>
    <t>ORD10147</t>
  </si>
  <si>
    <t>CUST1018</t>
  </si>
  <si>
    <t>Customer 018</t>
  </si>
  <si>
    <t>ORD12965</t>
  </si>
  <si>
    <t>CUST1367</t>
  </si>
  <si>
    <t>Customer 367</t>
  </si>
  <si>
    <t>ORD11105</t>
  </si>
  <si>
    <t>CUST1154</t>
  </si>
  <si>
    <t>Customer 154</t>
  </si>
  <si>
    <t>ORD11438</t>
  </si>
  <si>
    <t>CUST1327</t>
  </si>
  <si>
    <t>Customer 327</t>
  </si>
  <si>
    <t>ORD13310</t>
  </si>
  <si>
    <t>CUST1472</t>
  </si>
  <si>
    <t>Customer 472</t>
  </si>
  <si>
    <t>ORD13962</t>
  </si>
  <si>
    <t>CUST1430</t>
  </si>
  <si>
    <t>Customer 430</t>
  </si>
  <si>
    <t>ORD10668</t>
  </si>
  <si>
    <t>CUST1431</t>
  </si>
  <si>
    <t>Customer 431</t>
  </si>
  <si>
    <t>ORD11575</t>
  </si>
  <si>
    <t>CUST1075</t>
  </si>
  <si>
    <t>Customer 075</t>
  </si>
  <si>
    <t>ORD12230</t>
  </si>
  <si>
    <t>CUST1491</t>
  </si>
  <si>
    <t>Customer 491</t>
  </si>
  <si>
    <t>ORD13194</t>
  </si>
  <si>
    <t>CUST1096</t>
  </si>
  <si>
    <t>Customer 096</t>
  </si>
  <si>
    <t>ORD13423</t>
  </si>
  <si>
    <t>CUST1301</t>
  </si>
  <si>
    <t>Customer 301</t>
  </si>
  <si>
    <t>ORD12302</t>
  </si>
  <si>
    <t>CUST1072</t>
  </si>
  <si>
    <t>Customer 072</t>
  </si>
  <si>
    <t>ORD13192</t>
  </si>
  <si>
    <t>CUST1341</t>
  </si>
  <si>
    <t>Customer 341</t>
  </si>
  <si>
    <t>ORD13282</t>
  </si>
  <si>
    <t>CUST1378</t>
  </si>
  <si>
    <t>Customer 378</t>
  </si>
  <si>
    <t>ORD10622</t>
  </si>
  <si>
    <t>CUST1239</t>
  </si>
  <si>
    <t>Customer 239</t>
  </si>
  <si>
    <t>ORD13076</t>
  </si>
  <si>
    <t>CUST1374</t>
  </si>
  <si>
    <t>Customer 374</t>
  </si>
  <si>
    <t>ORD12427</t>
  </si>
  <si>
    <t>CUST1079</t>
  </si>
  <si>
    <t>Customer 079</t>
  </si>
  <si>
    <t>ORD12587</t>
  </si>
  <si>
    <t>ORD12858</t>
  </si>
  <si>
    <t>CUST1390</t>
  </si>
  <si>
    <t>Customer 390</t>
  </si>
  <si>
    <t>ORD12756</t>
  </si>
  <si>
    <t>CUST1436</t>
  </si>
  <si>
    <t>Customer 436</t>
  </si>
  <si>
    <t>ORD13815</t>
  </si>
  <si>
    <t>CUST1192</t>
  </si>
  <si>
    <t>Customer 192</t>
  </si>
  <si>
    <t>ORD12199</t>
  </si>
  <si>
    <t>CUST1286</t>
  </si>
  <si>
    <t>Customer 286</t>
  </si>
  <si>
    <t>ORD13250</t>
  </si>
  <si>
    <t>CUST1198</t>
  </si>
  <si>
    <t>Customer 198</t>
  </si>
  <si>
    <t>ORD11096</t>
  </si>
  <si>
    <t>ORD10449</t>
  </si>
  <si>
    <t>ORD11690</t>
  </si>
  <si>
    <t>CUST1048</t>
  </si>
  <si>
    <t>Customer 048</t>
  </si>
  <si>
    <t>ORD10287</t>
  </si>
  <si>
    <t>CUST1081</t>
  </si>
  <si>
    <t>Customer 081</t>
  </si>
  <si>
    <t>ORD12374</t>
  </si>
  <si>
    <t>CUST1200</t>
  </si>
  <si>
    <t>Customer 200</t>
  </si>
  <si>
    <t>ORD11798</t>
  </si>
  <si>
    <t>CUST1093</t>
  </si>
  <si>
    <t>Customer 093</t>
  </si>
  <si>
    <t>ORD12470</t>
  </si>
  <si>
    <t>CUST1108</t>
  </si>
  <si>
    <t>Customer 108</t>
  </si>
  <si>
    <t>ORD11991</t>
  </si>
  <si>
    <t>CUST1266</t>
  </si>
  <si>
    <t>Customer 266</t>
  </si>
  <si>
    <t>ORD10010</t>
  </si>
  <si>
    <t>ORD12785</t>
  </si>
  <si>
    <t>CUST1456</t>
  </si>
  <si>
    <t>Customer 456</t>
  </si>
  <si>
    <t>ORD13623</t>
  </si>
  <si>
    <t>CUST1166</t>
  </si>
  <si>
    <t>Customer 166</t>
  </si>
  <si>
    <t>ORD10277</t>
  </si>
  <si>
    <t>CUST1234</t>
  </si>
  <si>
    <t>Customer 234</t>
  </si>
  <si>
    <t>ORD10499</t>
  </si>
  <si>
    <t>CUST1464</t>
  </si>
  <si>
    <t>Customer 464</t>
  </si>
  <si>
    <t>ORD10983</t>
  </si>
  <si>
    <t>CUST1274</t>
  </si>
  <si>
    <t>Customer 274</t>
  </si>
  <si>
    <t>ORD13437</t>
  </si>
  <si>
    <t>CUST1148</t>
  </si>
  <si>
    <t>Customer 148</t>
  </si>
  <si>
    <t>ORD11603</t>
  </si>
  <si>
    <t>CUST1413</t>
  </si>
  <si>
    <t>Customer 413</t>
  </si>
  <si>
    <t>ORD10509</t>
  </si>
  <si>
    <t>CUST1135</t>
  </si>
  <si>
    <t>Customer 135</t>
  </si>
  <si>
    <t>ORD12936</t>
  </si>
  <si>
    <t>CUST1115</t>
  </si>
  <si>
    <t>Customer 115</t>
  </si>
  <si>
    <t>ORD13479</t>
  </si>
  <si>
    <t>ORD11581</t>
  </si>
  <si>
    <t>CUST1149</t>
  </si>
  <si>
    <t>Customer 149</t>
  </si>
  <si>
    <t>ORD12857</t>
  </si>
  <si>
    <t>CUST1285</t>
  </si>
  <si>
    <t>Customer 285</t>
  </si>
  <si>
    <t>ORD10195</t>
  </si>
  <si>
    <t>CUST1480</t>
  </si>
  <si>
    <t>Customer 480</t>
  </si>
  <si>
    <t>ORD11036</t>
  </si>
  <si>
    <t>ORD13669</t>
  </si>
  <si>
    <t>CUST1213</t>
  </si>
  <si>
    <t>Customer 213</t>
  </si>
  <si>
    <t>ORD11311</t>
  </si>
  <si>
    <t>CUST1263</t>
  </si>
  <si>
    <t>Customer 263</t>
  </si>
  <si>
    <t>ORD12356</t>
  </si>
  <si>
    <t>CUST1184</t>
  </si>
  <si>
    <t>Customer 184</t>
  </si>
  <si>
    <t>ORD10255</t>
  </si>
  <si>
    <t>CUST1331</t>
  </si>
  <si>
    <t>Customer 331</t>
  </si>
  <si>
    <t>ORD11642</t>
  </si>
  <si>
    <t>CUST1026</t>
  </si>
  <si>
    <t>Customer 026</t>
  </si>
  <si>
    <t>ORD11459</t>
  </si>
  <si>
    <t>CUST1132</t>
  </si>
  <si>
    <t>Customer 132</t>
  </si>
  <si>
    <t>ORD12233</t>
  </si>
  <si>
    <t>CUST1470</t>
  </si>
  <si>
    <t>Customer 470</t>
  </si>
  <si>
    <t>ORD10870</t>
  </si>
  <si>
    <t>ORD13594</t>
  </si>
  <si>
    <t>ORD11264</t>
  </si>
  <si>
    <t>CUST1412</t>
  </si>
  <si>
    <t>Customer 412</t>
  </si>
  <si>
    <t>ORD13801</t>
  </si>
  <si>
    <t>CUST1462</t>
  </si>
  <si>
    <t>Customer 462</t>
  </si>
  <si>
    <t>ORD11432</t>
  </si>
  <si>
    <t>ORD11232</t>
  </si>
  <si>
    <t>ORD13055</t>
  </si>
  <si>
    <t>CUST1394</t>
  </si>
  <si>
    <t>Customer 394</t>
  </si>
  <si>
    <t>ORD10929</t>
  </si>
  <si>
    <t>CUST1210</t>
  </si>
  <si>
    <t>Customer 210</t>
  </si>
  <si>
    <t>ORD13156</t>
  </si>
  <si>
    <t>CUST1424</t>
  </si>
  <si>
    <t>Customer 424</t>
  </si>
  <si>
    <t>ORD12286</t>
  </si>
  <si>
    <t>CUST1417</t>
  </si>
  <si>
    <t>Customer 417</t>
  </si>
  <si>
    <t>ORD10100</t>
  </si>
  <si>
    <t>CUST1070</t>
  </si>
  <si>
    <t>Customer 070</t>
  </si>
  <si>
    <t>ORD11751</t>
  </si>
  <si>
    <t>CUST1466</t>
  </si>
  <si>
    <t>Customer 466</t>
  </si>
  <si>
    <t>ORD10958</t>
  </si>
  <si>
    <t>CUST1318</t>
  </si>
  <si>
    <t>Customer 318</t>
  </si>
  <si>
    <t>ORD10418</t>
  </si>
  <si>
    <t>CUST1061</t>
  </si>
  <si>
    <t>Customer 061</t>
  </si>
  <si>
    <t>ORD12138</t>
  </si>
  <si>
    <t>CUST1012</t>
  </si>
  <si>
    <t>Customer 012</t>
  </si>
  <si>
    <t>ORD10770</t>
  </si>
  <si>
    <t>CUST1189</t>
  </si>
  <si>
    <t>Customer 189</t>
  </si>
  <si>
    <t>ORD11680</t>
  </si>
  <si>
    <t>CUST1258</t>
  </si>
  <si>
    <t>Customer 258</t>
  </si>
  <si>
    <t>ORD10308</t>
  </si>
  <si>
    <t>ORD12701</t>
  </si>
  <si>
    <t>ORD13502</t>
  </si>
  <si>
    <t>CUST1321</t>
  </si>
  <si>
    <t>Customer 321</t>
  </si>
  <si>
    <t>ORD12545</t>
  </si>
  <si>
    <t>CUST1403</t>
  </si>
  <si>
    <t>Customer 403</t>
  </si>
  <si>
    <t>ORD10999</t>
  </si>
  <si>
    <t>CUST1481</t>
  </si>
  <si>
    <t>Customer 481</t>
  </si>
  <si>
    <t>ORD11907</t>
  </si>
  <si>
    <t>ORD13736</t>
  </si>
  <si>
    <t>ORD13938</t>
  </si>
  <si>
    <t>CUST1237</t>
  </si>
  <si>
    <t>Customer 237</t>
  </si>
  <si>
    <t>ORD13125</t>
  </si>
  <si>
    <t>ORD11879</t>
  </si>
  <si>
    <t>CUST1364</t>
  </si>
  <si>
    <t>Customer 364</t>
  </si>
  <si>
    <t>ORD13798</t>
  </si>
  <si>
    <t>CUST1033</t>
  </si>
  <si>
    <t>Customer 033</t>
  </si>
  <si>
    <t>ORD10780</t>
  </si>
  <si>
    <t>CUST1426</t>
  </si>
  <si>
    <t>Customer 426</t>
  </si>
  <si>
    <t>ORD10821</t>
  </si>
  <si>
    <t>ORD12969</t>
  </si>
  <si>
    <t>ORD12821</t>
  </si>
  <si>
    <t>CUST1271</t>
  </si>
  <si>
    <t>Customer 271</t>
  </si>
  <si>
    <t>ORD12744</t>
  </si>
  <si>
    <t>ORD12928</t>
  </si>
  <si>
    <t>CUST1161</t>
  </si>
  <si>
    <t>Customer 161</t>
  </si>
  <si>
    <t>ORD11104</t>
  </si>
  <si>
    <t>CUST1076</t>
  </si>
  <si>
    <t>Customer 076</t>
  </si>
  <si>
    <t>ORD11449</t>
  </si>
  <si>
    <t>CUST1370</t>
  </si>
  <si>
    <t>Customer 370</t>
  </si>
  <si>
    <t>ORD13691</t>
  </si>
  <si>
    <t>CUST1201</t>
  </si>
  <si>
    <t>Customer 201</t>
  </si>
  <si>
    <t>ORD13618</t>
  </si>
  <si>
    <t>ORD12589</t>
  </si>
  <si>
    <t>ORD11926</t>
  </si>
  <si>
    <t>CUST1066</t>
  </si>
  <si>
    <t>Customer 066</t>
  </si>
  <si>
    <t>ORD11577</t>
  </si>
  <si>
    <t>CUST1275</t>
  </si>
  <si>
    <t>Customer 275</t>
  </si>
  <si>
    <t>ORD12076</t>
  </si>
  <si>
    <t>ORD12335</t>
  </si>
  <si>
    <t>ORD10503</t>
  </si>
  <si>
    <t>CUST1482</t>
  </si>
  <si>
    <t>Customer 482</t>
  </si>
  <si>
    <t>ORD10112</t>
  </si>
  <si>
    <t>ORD10482</t>
  </si>
  <si>
    <t>CUST1415</t>
  </si>
  <si>
    <t>Customer 415</t>
  </si>
  <si>
    <t>ORD12350</t>
  </si>
  <si>
    <t>ORD13118</t>
  </si>
  <si>
    <t>CUST1322</t>
  </si>
  <si>
    <t>Customer 322</t>
  </si>
  <si>
    <t>ORD13157</t>
  </si>
  <si>
    <t>CUST1386</t>
  </si>
  <si>
    <t>Customer 386</t>
  </si>
  <si>
    <t>ORD12274</t>
  </si>
  <si>
    <t>CUST1231</t>
  </si>
  <si>
    <t>Customer 231</t>
  </si>
  <si>
    <t>ORD11334</t>
  </si>
  <si>
    <t>ORD10382</t>
  </si>
  <si>
    <t>CUST1469</t>
  </si>
  <si>
    <t>Customer 469</t>
  </si>
  <si>
    <t>ORD12264</t>
  </si>
  <si>
    <t>CUST1259</t>
  </si>
  <si>
    <t>Customer 259</t>
  </si>
  <si>
    <t>ORD10175</t>
  </si>
  <si>
    <t>CUST1349</t>
  </si>
  <si>
    <t>Customer 349</t>
  </si>
  <si>
    <t>ORD10699</t>
  </si>
  <si>
    <t>ORD13663</t>
  </si>
  <si>
    <t>CUST1485</t>
  </si>
  <si>
    <t>Customer 485</t>
  </si>
  <si>
    <t>ORD11876</t>
  </si>
  <si>
    <t>ORD10299</t>
  </si>
  <si>
    <t>ORD12681</t>
  </si>
  <si>
    <t>CUST1059</t>
  </si>
  <si>
    <t>Customer 059</t>
  </si>
  <si>
    <t>ORD13903</t>
  </si>
  <si>
    <t>CUST1255</t>
  </si>
  <si>
    <t>Customer 255</t>
  </si>
  <si>
    <t>ORD11602</t>
  </si>
  <si>
    <t>ORD10143</t>
  </si>
  <si>
    <t>CUST1139</t>
  </si>
  <si>
    <t>Customer 139</t>
  </si>
  <si>
    <t>ORD12932</t>
  </si>
  <si>
    <t>CUST1337</t>
  </si>
  <si>
    <t>Customer 337</t>
  </si>
  <si>
    <t>ORD12677</t>
  </si>
  <si>
    <t>ORD11245</t>
  </si>
  <si>
    <t>ORD13832</t>
  </si>
  <si>
    <t>ORD11513</t>
  </si>
  <si>
    <t>ORD10951</t>
  </si>
  <si>
    <t>CUST1047</t>
  </si>
  <si>
    <t>Customer 047</t>
  </si>
  <si>
    <t>ORD12313</t>
  </si>
  <si>
    <t>CUST1256</t>
  </si>
  <si>
    <t>Customer 256</t>
  </si>
  <si>
    <t>ORD12491</t>
  </si>
  <si>
    <t>ORD12984</t>
  </si>
  <si>
    <t>ORD11519</t>
  </si>
  <si>
    <t>ORD13122</t>
  </si>
  <si>
    <t>CUST1500</t>
  </si>
  <si>
    <t>Customer 500</t>
  </si>
  <si>
    <t>ORD12087</t>
  </si>
  <si>
    <t>ORD12636</t>
  </si>
  <si>
    <t>CUST1014</t>
  </si>
  <si>
    <t>Customer 014</t>
  </si>
  <si>
    <t>ORD12493</t>
  </si>
  <si>
    <t>CUST1465</t>
  </si>
  <si>
    <t>Customer 465</t>
  </si>
  <si>
    <t>ORD12615</t>
  </si>
  <si>
    <t>CUST1053</t>
  </si>
  <si>
    <t>Customer 053</t>
  </si>
  <si>
    <t>ORD11794</t>
  </si>
  <si>
    <t>CUST1140</t>
  </si>
  <si>
    <t>Customer 140</t>
  </si>
  <si>
    <t>ORD13516</t>
  </si>
  <si>
    <t>CUST1487</t>
  </si>
  <si>
    <t>Customer 487</t>
  </si>
  <si>
    <t>ORD10232</t>
  </si>
  <si>
    <t>CUST1429</t>
  </si>
  <si>
    <t>Customer 429</t>
  </si>
  <si>
    <t>ORD13344</t>
  </si>
  <si>
    <t>CUST1310</t>
  </si>
  <si>
    <t>Customer 310</t>
  </si>
  <si>
    <t>ORD10591</t>
  </si>
  <si>
    <t>CUST1401</t>
  </si>
  <si>
    <t>Customer 401</t>
  </si>
  <si>
    <t>ORD10663</t>
  </si>
  <si>
    <t>ORD12805</t>
  </si>
  <si>
    <t>ORD13197</t>
  </si>
  <si>
    <t>CUST1113</t>
  </si>
  <si>
    <t>Customer 113</t>
  </si>
  <si>
    <t>ORD10670</t>
  </si>
  <si>
    <t>CUST1067</t>
  </si>
  <si>
    <t>Customer 067</t>
  </si>
  <si>
    <t>ORD11659</t>
  </si>
  <si>
    <t>ORD13978</t>
  </si>
  <si>
    <t>CUST1494</t>
  </si>
  <si>
    <t>Customer 494</t>
  </si>
  <si>
    <t>ORD12234</t>
  </si>
  <si>
    <t>CUST1069</t>
  </si>
  <si>
    <t>Customer 069</t>
  </si>
  <si>
    <t>ORD11090</t>
  </si>
  <si>
    <t>CUST1071</t>
  </si>
  <si>
    <t>Customer 071</t>
  </si>
  <si>
    <t>ORD11682</t>
  </si>
  <si>
    <t>CUST1007</t>
  </si>
  <si>
    <t>Customer 007</t>
  </si>
  <si>
    <t>ORD12727</t>
  </si>
  <si>
    <t>ORD11016</t>
  </si>
  <si>
    <t>CUST1419</t>
  </si>
  <si>
    <t>Customer 419</t>
  </si>
  <si>
    <t>ORD13441</t>
  </si>
  <si>
    <t>ORD12546</t>
  </si>
  <si>
    <t>ORD10484</t>
  </si>
  <si>
    <t>CUST1399</t>
  </si>
  <si>
    <t>Customer 399</t>
  </si>
  <si>
    <t>ORD12825</t>
  </si>
  <si>
    <t>ORD13275</t>
  </si>
  <si>
    <t>CUST1122</t>
  </si>
  <si>
    <t>Customer 122</t>
  </si>
  <si>
    <t>ORD11608</t>
  </si>
  <si>
    <t>ORD13363</t>
  </si>
  <si>
    <t>CUST1024</t>
  </si>
  <si>
    <t>Customer 024</t>
  </si>
  <si>
    <t>ORD12382</t>
  </si>
  <si>
    <t>CUST1225</t>
  </si>
  <si>
    <t>Customer 225</t>
  </si>
  <si>
    <t>ORD12512</t>
  </si>
  <si>
    <t>CUST1427</t>
  </si>
  <si>
    <t>Customer 427</t>
  </si>
  <si>
    <t>ORD13554</t>
  </si>
  <si>
    <t>CUST1357</t>
  </si>
  <si>
    <t>Customer 357</t>
  </si>
  <si>
    <t>ORD13415</t>
  </si>
  <si>
    <t>CUST1299</t>
  </si>
  <si>
    <t>Customer 299</t>
  </si>
  <si>
    <t>ORD13939</t>
  </si>
  <si>
    <t>ORD12109</t>
  </si>
  <si>
    <t>CUST1141</t>
  </si>
  <si>
    <t>Customer 141</t>
  </si>
  <si>
    <t>ORD12683</t>
  </si>
  <si>
    <t>CUST1195</t>
  </si>
  <si>
    <t>Customer 195</t>
  </si>
  <si>
    <t>ORD11795</t>
  </si>
  <si>
    <t>CUST1240</t>
  </si>
  <si>
    <t>Customer 240</t>
  </si>
  <si>
    <t>ORD13615</t>
  </si>
  <si>
    <t>CUST1376</t>
  </si>
  <si>
    <t>Customer 376</t>
  </si>
  <si>
    <t>ORD13595</t>
  </si>
  <si>
    <t>CUST1125</t>
  </si>
  <si>
    <t>Customer 125</t>
  </si>
  <si>
    <t>ORD11931</t>
  </si>
  <si>
    <t>CUST1045</t>
  </si>
  <si>
    <t>Customer 045</t>
  </si>
  <si>
    <t>ORD11156</t>
  </si>
  <si>
    <t>CUST1294</t>
  </si>
  <si>
    <t>Customer 294</t>
  </si>
  <si>
    <t>ORD11534</t>
  </si>
  <si>
    <t>CUST1095</t>
  </si>
  <si>
    <t>Customer 095</t>
  </si>
  <si>
    <t>ORD12993</t>
  </si>
  <si>
    <t>CUST1097</t>
  </si>
  <si>
    <t>Customer 097</t>
  </si>
  <si>
    <t>ORD12089</t>
  </si>
  <si>
    <t>CUST1153</t>
  </si>
  <si>
    <t>Customer 153</t>
  </si>
  <si>
    <t>ORD11293</t>
  </si>
  <si>
    <t>CUST1222</t>
  </si>
  <si>
    <t>Customer 222</t>
  </si>
  <si>
    <t>ORD13162</t>
  </si>
  <si>
    <t>CUST1445</t>
  </si>
  <si>
    <t>Customer 445</t>
  </si>
  <si>
    <t>ORD12648</t>
  </si>
  <si>
    <t>ORD13797</t>
  </si>
  <si>
    <t>ORD11703</t>
  </si>
  <si>
    <t>ORD13958</t>
  </si>
  <si>
    <t>CUST1368</t>
  </si>
  <si>
    <t>Customer 368</t>
  </si>
  <si>
    <t>ORD10666</t>
  </si>
  <si>
    <t>CUST1348</t>
  </si>
  <si>
    <t>Customer 348</t>
  </si>
  <si>
    <t>ORD10528</t>
  </si>
  <si>
    <t>ORD12259</t>
  </si>
  <si>
    <t>CUST1001</t>
  </si>
  <si>
    <t>Customer 001</t>
  </si>
  <si>
    <t>ORD13853</t>
  </si>
  <si>
    <t>ORD13077</t>
  </si>
  <si>
    <t>ORD13490</t>
  </si>
  <si>
    <t>ORD13866</t>
  </si>
  <si>
    <t>CUST1389</t>
  </si>
  <si>
    <t>Customer 389</t>
  </si>
  <si>
    <t>ORD12598</t>
  </si>
  <si>
    <t>ORD11911</t>
  </si>
  <si>
    <t>CUST1038</t>
  </si>
  <si>
    <t>Customer 038</t>
  </si>
  <si>
    <t>ORD11137</t>
  </si>
  <si>
    <t>ORD10906</t>
  </si>
  <si>
    <t>CUST1355</t>
  </si>
  <si>
    <t>Customer 355</t>
  </si>
  <si>
    <t>ORD11141</t>
  </si>
  <si>
    <t>ORD11191</t>
  </si>
  <si>
    <t>CUST1208</t>
  </si>
  <si>
    <t>Customer 208</t>
  </si>
  <si>
    <t>ORD10361</t>
  </si>
  <si>
    <t>CUST1423</t>
  </si>
  <si>
    <t>Customer 423</t>
  </si>
  <si>
    <t>ORD11310</t>
  </si>
  <si>
    <t>ORD11873</t>
  </si>
  <si>
    <t>CUST1302</t>
  </si>
  <si>
    <t>Customer 302</t>
  </si>
  <si>
    <t>ORD11049</t>
  </si>
  <si>
    <t>CUST1335</t>
  </si>
  <si>
    <t>Customer 335</t>
  </si>
  <si>
    <t>ORD10759</t>
  </si>
  <si>
    <t>CUST1064</t>
  </si>
  <si>
    <t>Customer 064</t>
  </si>
  <si>
    <t>ORD10360</t>
  </si>
  <si>
    <t>ORD11691</t>
  </si>
  <si>
    <t>CUST1387</t>
  </si>
  <si>
    <t>Customer 387</t>
  </si>
  <si>
    <t>ORD12153</t>
  </si>
  <si>
    <t>ORD13495</t>
  </si>
  <si>
    <t>ORD10830</t>
  </si>
  <si>
    <t>CUST1015</t>
  </si>
  <si>
    <t>Customer 015</t>
  </si>
  <si>
    <t>ORD10043</t>
  </si>
  <si>
    <t>CUST1351</t>
  </si>
  <si>
    <t>Customer 351</t>
  </si>
  <si>
    <t>ORD10632</t>
  </si>
  <si>
    <t>CUST1164</t>
  </si>
  <si>
    <t>Customer 164</t>
  </si>
  <si>
    <t>ORD10709</t>
  </si>
  <si>
    <t>ORD13688</t>
  </si>
  <si>
    <t>CUST1471</t>
  </si>
  <si>
    <t>Customer 471</t>
  </si>
  <si>
    <t>ORD13382</t>
  </si>
  <si>
    <t>ORD13022</t>
  </si>
  <si>
    <t>ORD11655</t>
  </si>
  <si>
    <t>ORD13169</t>
  </si>
  <si>
    <t>ORD11384</t>
  </si>
  <si>
    <t>CUST1449</t>
  </si>
  <si>
    <t>Customer 449</t>
  </si>
  <si>
    <t>ORD10176</t>
  </si>
  <si>
    <t>ORD13945</t>
  </si>
  <si>
    <t>ORD13968</t>
  </si>
  <si>
    <t>CUST1121</t>
  </si>
  <si>
    <t>Customer 121</t>
  </si>
  <si>
    <t>ORD11131</t>
  </si>
  <si>
    <t>CUST1204</t>
  </si>
  <si>
    <t>Customer 204</t>
  </si>
  <si>
    <t>ORD11766</t>
  </si>
  <si>
    <t>CUST1468</t>
  </si>
  <si>
    <t>Customer 468</t>
  </si>
  <si>
    <t>ORD11552</t>
  </si>
  <si>
    <t>ORD13846</t>
  </si>
  <si>
    <t>ORD10426</t>
  </si>
  <si>
    <t>CUST1100</t>
  </si>
  <si>
    <t>Customer 100</t>
  </si>
  <si>
    <t>ORD11098</t>
  </si>
  <si>
    <t>ORD11473</t>
  </si>
  <si>
    <t>ORD13042</t>
  </si>
  <si>
    <t>CUST1146</t>
  </si>
  <si>
    <t>Customer 146</t>
  </si>
  <si>
    <t>ORD13776</t>
  </si>
  <si>
    <t>ORD11352</t>
  </si>
  <si>
    <t>ORD12793</t>
  </si>
  <si>
    <t>ORD11038</t>
  </si>
  <si>
    <t>CUST1008</t>
  </si>
  <si>
    <t>Customer 008</t>
  </si>
  <si>
    <t>ORD11950</t>
  </si>
  <si>
    <t>ORD12695</t>
  </si>
  <si>
    <t>ORD11885</t>
  </si>
  <si>
    <t>ORD12709</t>
  </si>
  <si>
    <t>CUST1366</t>
  </si>
  <si>
    <t>Customer 366</t>
  </si>
  <si>
    <t>ORD11806</t>
  </si>
  <si>
    <t>CUST1023</t>
  </si>
  <si>
    <t>Customer 023</t>
  </si>
  <si>
    <t>ORD13716</t>
  </si>
  <si>
    <t>CUST1144</t>
  </si>
  <si>
    <t>Customer 144</t>
  </si>
  <si>
    <t>ORD12160</t>
  </si>
  <si>
    <t>CUST1168</t>
  </si>
  <si>
    <t>Customer 168</t>
  </si>
  <si>
    <t>ORD12486</t>
  </si>
  <si>
    <t>CUST1181</t>
  </si>
  <si>
    <t>Customer 181</t>
  </si>
  <si>
    <t>ORD12479</t>
  </si>
  <si>
    <t>ORD10202</t>
  </si>
  <si>
    <t>CUST1455</t>
  </si>
  <si>
    <t>Customer 455</t>
  </si>
  <si>
    <t>ORD10703</t>
  </si>
  <si>
    <t>CUST1084</t>
  </si>
  <si>
    <t>Customer 084</t>
  </si>
  <si>
    <t>ORD11407</t>
  </si>
  <si>
    <t>CUST1174</t>
  </si>
  <si>
    <t>Customer 174</t>
  </si>
  <si>
    <t>ORD12584</t>
  </si>
  <si>
    <t>CUST1330</t>
  </si>
  <si>
    <t>Customer 330</t>
  </si>
  <si>
    <t>ORD13630</t>
  </si>
  <si>
    <t>ORD11571</t>
  </si>
  <si>
    <t>CUST1040</t>
  </si>
  <si>
    <t>Customer 040</t>
  </si>
  <si>
    <t>ORD11667</t>
  </si>
  <si>
    <t>ORD10980</t>
  </si>
  <si>
    <t>CUST1283</t>
  </si>
  <si>
    <t>Customer 283</t>
  </si>
  <si>
    <t>ORD10231</t>
  </si>
  <si>
    <t>CUST1232</t>
  </si>
  <si>
    <t>Customer 232</t>
  </si>
  <si>
    <t>ORD11891</t>
  </si>
  <si>
    <t>ORD10598</t>
  </si>
  <si>
    <t>ORD11868</t>
  </si>
  <si>
    <t>CUST1381</t>
  </si>
  <si>
    <t>Customer 381</t>
  </si>
  <si>
    <t>ORD10151</t>
  </si>
  <si>
    <t>ORD10708</t>
  </si>
  <si>
    <t>CUST1287</t>
  </si>
  <si>
    <t>Customer 287</t>
  </si>
  <si>
    <t>ORD12396</t>
  </si>
  <si>
    <t>CUST1329</t>
  </si>
  <si>
    <t>Customer 329</t>
  </si>
  <si>
    <t>ORD13047</t>
  </si>
  <si>
    <t>ORD10826</t>
  </si>
  <si>
    <t>CUST1046</t>
  </si>
  <si>
    <t>Customer 046</t>
  </si>
  <si>
    <t>ORD12094</t>
  </si>
  <si>
    <t>CUST1099</t>
  </si>
  <si>
    <t>Customer 099</t>
  </si>
  <si>
    <t>ORD13951</t>
  </si>
  <si>
    <t>ORD12640</t>
  </si>
  <si>
    <t>ORD12693</t>
  </si>
  <si>
    <t>ORD11064</t>
  </si>
  <si>
    <t>CUST1353</t>
  </si>
  <si>
    <t>Customer 353</t>
  </si>
  <si>
    <t>ORD12975</t>
  </si>
  <si>
    <t>CUST1009</t>
  </si>
  <si>
    <t>Customer 009</t>
  </si>
  <si>
    <t>ORD12962</t>
  </si>
  <si>
    <t>CUST1211</t>
  </si>
  <si>
    <t>Customer 211</t>
  </si>
  <si>
    <t>ORD13732</t>
  </si>
  <si>
    <t>ORD11899</t>
  </si>
  <si>
    <t>ORD12710</t>
  </si>
  <si>
    <t>ORD13066</t>
  </si>
  <si>
    <t>CUST1276</t>
  </si>
  <si>
    <t>Customer 276</t>
  </si>
  <si>
    <t>ORD12402</t>
  </si>
  <si>
    <t>CUST1284</t>
  </si>
  <si>
    <t>Customer 284</t>
  </si>
  <si>
    <t>ORD10061</t>
  </si>
  <si>
    <t>ORD11630</t>
  </si>
  <si>
    <t>ORD12853</t>
  </si>
  <si>
    <t>CUST1058</t>
  </si>
  <si>
    <t>Customer 058</t>
  </si>
  <si>
    <t>ORD13597</t>
  </si>
  <si>
    <t>CUST1170</t>
  </si>
  <si>
    <t>Customer 170</t>
  </si>
  <si>
    <t>ORD11656</t>
  </si>
  <si>
    <t>CUST1116</t>
  </si>
  <si>
    <t>Customer 116</t>
  </si>
  <si>
    <t>ORD10576</t>
  </si>
  <si>
    <t>CUST1187</t>
  </si>
  <si>
    <t>Customer 187</t>
  </si>
  <si>
    <t>ORD13434</t>
  </si>
  <si>
    <t>CUST1169</t>
  </si>
  <si>
    <t>Customer 169</t>
  </si>
  <si>
    <t>ORD13412</t>
  </si>
  <si>
    <t>ORD12970</t>
  </si>
  <si>
    <t>CUST1319</t>
  </si>
  <si>
    <t>Customer 319</t>
  </si>
  <si>
    <t>ORD10768</t>
  </si>
  <si>
    <t>ORD13746</t>
  </si>
  <si>
    <t>CUST1493</t>
  </si>
  <si>
    <t>Customer 493</t>
  </si>
  <si>
    <t>ORD12086</t>
  </si>
  <si>
    <t>CUST1328</t>
  </si>
  <si>
    <t>Customer 328</t>
  </si>
  <si>
    <t>ORD10501</t>
  </si>
  <si>
    <t>CUST1057</t>
  </si>
  <si>
    <t>Customer 057</t>
  </si>
  <si>
    <t>ORD10495</t>
  </si>
  <si>
    <t>CUST1145</t>
  </si>
  <si>
    <t>Customer 145</t>
  </si>
  <si>
    <t>ORD11758</t>
  </si>
  <si>
    <t>CUST1305</t>
  </si>
  <si>
    <t>Customer 305</t>
  </si>
  <si>
    <t>ORD11341</t>
  </si>
  <si>
    <t>CUST1268</t>
  </si>
  <si>
    <t>Customer 268</t>
  </si>
  <si>
    <t>ORD13873</t>
  </si>
  <si>
    <t>CUST1433</t>
  </si>
  <si>
    <t>Customer 433</t>
  </si>
  <si>
    <t>ORD10330</t>
  </si>
  <si>
    <t>ORD12875</t>
  </si>
  <si>
    <t>ORD12656</t>
  </si>
  <si>
    <t>ORD13780</t>
  </si>
  <si>
    <t>ORD13174</t>
  </si>
  <si>
    <t>CUST1173</t>
  </si>
  <si>
    <t>Customer 173</t>
  </si>
  <si>
    <t>ORD12540</t>
  </si>
  <si>
    <t>CUST1247</t>
  </si>
  <si>
    <t>Customer 247</t>
  </si>
  <si>
    <t>ORD11816</t>
  </si>
  <si>
    <t>CUST1056</t>
  </si>
  <si>
    <t>Customer 056</t>
  </si>
  <si>
    <t>ORD12619</t>
  </si>
  <si>
    <t>ORD11158</t>
  </si>
  <si>
    <t>ORD11377</t>
  </si>
  <si>
    <t>ORD12871</t>
  </si>
  <si>
    <t>CUST1142</t>
  </si>
  <si>
    <t>Customer 142</t>
  </si>
  <si>
    <t>ORD11002</t>
  </si>
  <si>
    <t>CUST1369</t>
  </si>
  <si>
    <t>Customer 369</t>
  </si>
  <si>
    <t>ORD11975</t>
  </si>
  <si>
    <t>CUST1280</t>
  </si>
  <si>
    <t>Customer 280</t>
  </si>
  <si>
    <t>ORD12004</t>
  </si>
  <si>
    <t>CUST1230</t>
  </si>
  <si>
    <t>Customer 230</t>
  </si>
  <si>
    <t>ORD12043</t>
  </si>
  <si>
    <t>ORD11283</t>
  </si>
  <si>
    <t>ORD10120</t>
  </si>
  <si>
    <t>ORD10547</t>
  </si>
  <si>
    <t>CUST1215</t>
  </si>
  <si>
    <t>Customer 215</t>
  </si>
  <si>
    <t>ORD11850</t>
  </si>
  <si>
    <t>CUST1083</t>
  </si>
  <si>
    <t>Customer 083</t>
  </si>
  <si>
    <t>ORD12770</t>
  </si>
  <si>
    <t>ORD10164</t>
  </si>
  <si>
    <t>ORD11905</t>
  </si>
  <si>
    <t>CUST1167</t>
  </si>
  <si>
    <t>Customer 167</t>
  </si>
  <si>
    <t>ORD12325</t>
  </si>
  <si>
    <t>ORD13986</t>
  </si>
  <si>
    <t>ORD13072</t>
  </si>
  <si>
    <t>CUST1241</t>
  </si>
  <si>
    <t>Customer 241</t>
  </si>
  <si>
    <t>ORD11768</t>
  </si>
  <si>
    <t>ORD12292</t>
  </si>
  <si>
    <t>ORD11304</t>
  </si>
  <si>
    <t>CUST1448</t>
  </si>
  <si>
    <t>Customer 448</t>
  </si>
  <si>
    <t>ORD12763</t>
  </si>
  <si>
    <t>CUST1183</t>
  </si>
  <si>
    <t>Customer 183</t>
  </si>
  <si>
    <t>ORD13739</t>
  </si>
  <si>
    <t>ORD12357</t>
  </si>
  <si>
    <t>CUST1206</t>
  </si>
  <si>
    <t>Customer 206</t>
  </si>
  <si>
    <t>ORD12005</t>
  </si>
  <si>
    <t>ORD13399</t>
  </si>
  <si>
    <t>CUST1004</t>
  </si>
  <si>
    <t>Customer 004</t>
  </si>
  <si>
    <t>ORD13018</t>
  </si>
  <si>
    <t>ORD10854</t>
  </si>
  <si>
    <t>CUST1120</t>
  </si>
  <si>
    <t>Customer 120</t>
  </si>
  <si>
    <t>ORD12594</t>
  </si>
  <si>
    <t>ORD13168</t>
  </si>
  <si>
    <t>ORD13435</t>
  </si>
  <si>
    <t>ORD12338</t>
  </si>
  <si>
    <t>CUST1410</t>
  </si>
  <si>
    <t>Customer 410</t>
  </si>
  <si>
    <t>ORD10081</t>
  </si>
  <si>
    <t>ORD12958</t>
  </si>
  <si>
    <t>CUST1244</t>
  </si>
  <si>
    <t>Customer 244</t>
  </si>
  <si>
    <t>ORD12536</t>
  </si>
  <si>
    <t>CUST1490</t>
  </si>
  <si>
    <t>Customer 490</t>
  </si>
  <si>
    <t>ORD11312</t>
  </si>
  <si>
    <t>CUST1175</t>
  </si>
  <si>
    <t>Customer 175</t>
  </si>
  <si>
    <t>ORD11796</t>
  </si>
  <si>
    <t>ORD10417</t>
  </si>
  <si>
    <t>ORD13660</t>
  </si>
  <si>
    <t>ORD11061</t>
  </si>
  <si>
    <t>ORD10229</t>
  </si>
  <si>
    <t>ORD11570</t>
  </si>
  <si>
    <t>ORD11996</t>
  </si>
  <si>
    <t>CUST1002</t>
  </si>
  <si>
    <t>Customer 002</t>
  </si>
  <si>
    <t>ORD11456</t>
  </si>
  <si>
    <t>ORD10263</t>
  </si>
  <si>
    <t>CUST1150</t>
  </si>
  <si>
    <t>Customer 150</t>
  </si>
  <si>
    <t>ORD12211</t>
  </si>
  <si>
    <t>CUST1350</t>
  </si>
  <si>
    <t>Customer 350</t>
  </si>
  <si>
    <t>ORD11635</t>
  </si>
  <si>
    <t>ORD11403</t>
  </si>
  <si>
    <t>ORD10435</t>
  </si>
  <si>
    <t>ORD13065</t>
  </si>
  <si>
    <t>CUST1354</t>
  </si>
  <si>
    <t>Customer 354</t>
  </si>
  <si>
    <t>ORD13557</t>
  </si>
  <si>
    <t>ORD12120</t>
  </si>
  <si>
    <t>ORD12085</t>
  </si>
  <si>
    <t>ORD12741</t>
  </si>
  <si>
    <t>ORD12113</t>
  </si>
  <si>
    <t>CUST1458</t>
  </si>
  <si>
    <t>Customer 458</t>
  </si>
  <si>
    <t>ORD12908</t>
  </si>
  <si>
    <t>CUST1475</t>
  </si>
  <si>
    <t>Customer 475</t>
  </si>
  <si>
    <t>ORD13679</t>
  </si>
  <si>
    <t>CUST1270</t>
  </si>
  <si>
    <t>Customer 270</t>
  </si>
  <si>
    <t>ORD10412</t>
  </si>
  <si>
    <t>ORD11338</t>
  </si>
  <si>
    <t>ORD11767</t>
  </si>
  <si>
    <t>ORD13695</t>
  </si>
  <si>
    <t>ORD11251</t>
  </si>
  <si>
    <t>ORD13400</t>
  </si>
  <si>
    <t>CUST1361</t>
  </si>
  <si>
    <t>Customer 361</t>
  </si>
  <si>
    <t>ORD10717</t>
  </si>
  <si>
    <t>ORD10681</t>
  </si>
  <si>
    <t>ORD12177</t>
  </si>
  <si>
    <t>ORD12395</t>
  </si>
  <si>
    <t>ORD13548</t>
  </si>
  <si>
    <t>CUST1442</t>
  </si>
  <si>
    <t>Customer 442</t>
  </si>
  <si>
    <t>ORD12974</t>
  </si>
  <si>
    <t>ORD10885</t>
  </si>
  <si>
    <t>CUST1407</t>
  </si>
  <si>
    <t>Customer 407</t>
  </si>
  <si>
    <t>ORD10915</t>
  </si>
  <si>
    <t>CUST1296</t>
  </si>
  <si>
    <t>Customer 296</t>
  </si>
  <si>
    <t>ORD11596</t>
  </si>
  <si>
    <t>ORD12322</t>
  </si>
  <si>
    <t>ORD10599</t>
  </si>
  <si>
    <t>CUST1314</t>
  </si>
  <si>
    <t>Customer 314</t>
  </si>
  <si>
    <t>ORD13717</t>
  </si>
  <si>
    <t>ORD13478</t>
  </si>
  <si>
    <t>ORD13063</t>
  </si>
  <si>
    <t>ORD12500</t>
  </si>
  <si>
    <t>ORD13725</t>
  </si>
  <si>
    <t>CUST1005</t>
  </si>
  <si>
    <t>Customer 005</t>
  </si>
  <si>
    <t>ORD10748</t>
  </si>
  <si>
    <t>CUST1158</t>
  </si>
  <si>
    <t>Customer 158</t>
  </si>
  <si>
    <t>ORD13505</t>
  </si>
  <si>
    <t>ORD10653</t>
  </si>
  <si>
    <t>ORD10118</t>
  </si>
  <si>
    <t>ORD12602</t>
  </si>
  <si>
    <t>ORD12564</t>
  </si>
  <si>
    <t>ORD12839</t>
  </si>
  <si>
    <t>ORD10672</t>
  </si>
  <si>
    <t>CUST1308</t>
  </si>
  <si>
    <t>Customer 308</t>
  </si>
  <si>
    <t>ORD12780</t>
  </si>
  <si>
    <t>ORD11071</t>
  </si>
  <si>
    <t>CUST1338</t>
  </si>
  <si>
    <t>Customer 338</t>
  </si>
  <si>
    <t>ORD10856</t>
  </si>
  <si>
    <t>CUST1425</t>
  </si>
  <si>
    <t>Customer 425</t>
  </si>
  <si>
    <t>ORD13793</t>
  </si>
  <si>
    <t>CUST1128</t>
  </si>
  <si>
    <t>Customer 128</t>
  </si>
  <si>
    <t>ORD10886</t>
  </si>
  <si>
    <t>ORD12885</t>
  </si>
  <si>
    <t>CUST1178</t>
  </si>
  <si>
    <t>Customer 178</t>
  </si>
  <si>
    <t>ORD10109</t>
  </si>
  <si>
    <t>CUST1236</t>
  </si>
  <si>
    <t>Customer 236</t>
  </si>
  <si>
    <t>ORD13323</t>
  </si>
  <si>
    <t>ORD10718</t>
  </si>
  <si>
    <t>ORD10802</t>
  </si>
  <si>
    <t>ORD13921</t>
  </si>
  <si>
    <t>ORD13370</t>
  </si>
  <si>
    <t>ORD13920</t>
  </si>
  <si>
    <t>CUST1307</t>
  </si>
  <si>
    <t>Customer 307</t>
  </si>
  <si>
    <t>ORD12968</t>
  </si>
  <si>
    <t>CUST1114</t>
  </si>
  <si>
    <t>Customer 114</t>
  </si>
  <si>
    <t>ORD11732</t>
  </si>
  <si>
    <t>CUST1452</t>
  </si>
  <si>
    <t>Customer 452</t>
  </si>
  <si>
    <t>ORD13035</t>
  </si>
  <si>
    <t>CUST1050</t>
  </si>
  <si>
    <t>Customer 050</t>
  </si>
  <si>
    <t>ORD11715</t>
  </si>
  <si>
    <t>CUST1323</t>
  </si>
  <si>
    <t>Customer 323</t>
  </si>
  <si>
    <t>ORD13048</t>
  </si>
  <si>
    <t>ORD10867</t>
  </si>
  <si>
    <t>ORD12938</t>
  </si>
  <si>
    <t>ORD11358</t>
  </si>
  <si>
    <t>ORD12243</t>
  </si>
  <si>
    <t>CUST1227</t>
  </si>
  <si>
    <t>Customer 227</t>
  </si>
  <si>
    <t>ORD11179</t>
  </si>
  <si>
    <t>CUST1130</t>
  </si>
  <si>
    <t>Customer 130</t>
  </si>
  <si>
    <t>ORD13587</t>
  </si>
  <si>
    <t>ORD13911</t>
  </si>
  <si>
    <t>CUST1117</t>
  </si>
  <si>
    <t>Customer 117</t>
  </si>
  <si>
    <t>ORD11031</t>
  </si>
  <si>
    <t>ORD10934</t>
  </si>
  <si>
    <t>CUST1325</t>
  </si>
  <si>
    <t>Customer 325</t>
  </si>
  <si>
    <t>ORD12458</t>
  </si>
  <si>
    <t>ORD13674</t>
  </si>
  <si>
    <t>ORD10796</t>
  </si>
  <si>
    <t>ORD13351</t>
  </si>
  <si>
    <t>CUST1080</t>
  </si>
  <si>
    <t>Customer 080</t>
  </si>
  <si>
    <t>ORD11924</t>
  </si>
  <si>
    <t>CUST1218</t>
  </si>
  <si>
    <t>Customer 218</t>
  </si>
  <si>
    <t>ORD13445</t>
  </si>
  <si>
    <t>CUST1459</t>
  </si>
  <si>
    <t>Customer 459</t>
  </si>
  <si>
    <t>ORD13281</t>
  </si>
  <si>
    <t>CUST1044</t>
  </si>
  <si>
    <t>Customer 044</t>
  </si>
  <si>
    <t>ORD11583</t>
  </si>
  <si>
    <t>ORD13266</t>
  </si>
  <si>
    <t>ORD12905</t>
  </si>
  <si>
    <t>ORD11525</t>
  </si>
  <si>
    <t>ORD12183</t>
  </si>
  <si>
    <t>CUST1304</t>
  </si>
  <si>
    <t>Customer 304</t>
  </si>
  <si>
    <t>ORD11025</t>
  </si>
  <si>
    <t>CUST1411</t>
  </si>
  <si>
    <t>Customer 411</t>
  </si>
  <si>
    <t>ORD10293</t>
  </si>
  <si>
    <t>CUST1477</t>
  </si>
  <si>
    <t>Customer 477</t>
  </si>
  <si>
    <t>ORD13178</t>
  </si>
  <si>
    <t>ORD11190</t>
  </si>
  <si>
    <t>ORD10594</t>
  </si>
  <si>
    <t>ORD11825</t>
  </si>
  <si>
    <t>ORD11466</t>
  </si>
  <si>
    <t>ORD13641</t>
  </si>
  <si>
    <t>ORD11679</t>
  </si>
  <si>
    <t>CUST1463</t>
  </si>
  <si>
    <t>Customer 463</t>
  </si>
  <si>
    <t>ORD12817</t>
  </si>
  <si>
    <t>ORD10757</t>
  </si>
  <si>
    <t>ORD11700</t>
  </si>
  <si>
    <t>ORD10415</t>
  </si>
  <si>
    <t>ORD13802</t>
  </si>
  <si>
    <t>ORD12937</t>
  </si>
  <si>
    <t>CUST1384</t>
  </si>
  <si>
    <t>Customer 384</t>
  </si>
  <si>
    <t>ORD12832</t>
  </si>
  <si>
    <t>ORD12953</t>
  </si>
  <si>
    <t>ORD13539</t>
  </si>
  <si>
    <t>CUST1264</t>
  </si>
  <si>
    <t>Customer 264</t>
  </si>
  <si>
    <t>ORD11151</t>
  </si>
  <si>
    <t>ORD13507</t>
  </si>
  <si>
    <t>ORD10949</t>
  </si>
  <si>
    <t>ORD13279</t>
  </si>
  <si>
    <t>CUST1497</t>
  </si>
  <si>
    <t>Customer 497</t>
  </si>
  <si>
    <t>ORD11175</t>
  </si>
  <si>
    <t>ORD13291</t>
  </si>
  <si>
    <t>ORD10823</t>
  </si>
  <si>
    <t>ORD10243</t>
  </si>
  <si>
    <t>ORD10946</t>
  </si>
  <si>
    <t>CUST1060</t>
  </si>
  <si>
    <t>Customer 060</t>
  </si>
  <si>
    <t>ORD11277</t>
  </si>
  <si>
    <t>ORD11503</t>
  </si>
  <si>
    <t>ORD11136</t>
  </si>
  <si>
    <t>CUST1030</t>
  </si>
  <si>
    <t>Customer 030</t>
  </si>
  <si>
    <t>ORD11399</t>
  </si>
  <si>
    <t>ORD11240</t>
  </si>
  <si>
    <t>ORD13292</t>
  </si>
  <si>
    <t>ORD13791</t>
  </si>
  <si>
    <t>ORD10099</t>
  </si>
  <si>
    <t>ORD11483</t>
  </si>
  <si>
    <t>ORD10714</t>
  </si>
  <si>
    <t>CUST1382</t>
  </si>
  <si>
    <t>Customer 382</t>
  </si>
  <si>
    <t>ORD12820</t>
  </si>
  <si>
    <t>ORD12293</t>
  </si>
  <si>
    <t>ORD10687</t>
  </si>
  <si>
    <t>ORD11290</t>
  </si>
  <si>
    <t>ORD11149</t>
  </si>
  <si>
    <t>CUST1345</t>
  </si>
  <si>
    <t>Customer 345</t>
  </si>
  <si>
    <t>ORD12539</t>
  </si>
  <si>
    <t>ORD13675</t>
  </si>
  <si>
    <t>ORD11118</t>
  </si>
  <si>
    <t>ORD12246</t>
  </si>
  <si>
    <t>ORD12149</t>
  </si>
  <si>
    <t>ORD12174</t>
  </si>
  <si>
    <t>CUST1383</t>
  </si>
  <si>
    <t>Customer 383</t>
  </si>
  <si>
    <t>ORD10321</t>
  </si>
  <si>
    <t>ORD12320</t>
  </si>
  <si>
    <t>ORD10874</t>
  </si>
  <si>
    <t>CUST1063</t>
  </si>
  <si>
    <t>Customer 063</t>
  </si>
  <si>
    <t>ORD11984</t>
  </si>
  <si>
    <t>ORD12995</t>
  </si>
  <si>
    <t>ORD11935</t>
  </si>
  <si>
    <t>CUST1074</t>
  </si>
  <si>
    <t>Customer 074</t>
  </si>
  <si>
    <t>ORD13222</t>
  </si>
  <si>
    <t>CUST1127</t>
  </si>
  <si>
    <t>Customer 127</t>
  </si>
  <si>
    <t>ORD13225</t>
  </si>
  <si>
    <t>ORD13433</t>
  </si>
  <si>
    <t>ORD11730</t>
  </si>
  <si>
    <t>ORD10724</t>
  </si>
  <si>
    <t>ORD12398</t>
  </si>
  <si>
    <t>ORD11728</t>
  </si>
  <si>
    <t>ORD10383</t>
  </si>
  <si>
    <t>ORD10219</t>
  </si>
  <si>
    <t>ORD11993</t>
  </si>
  <si>
    <t>ORD11089</t>
  </si>
  <si>
    <t>ORD12504</t>
  </si>
  <si>
    <t>CUST1054</t>
  </si>
  <si>
    <t>Customer 054</t>
  </si>
  <si>
    <t>ORD10122</t>
  </si>
  <si>
    <t>ORD12363</t>
  </si>
  <si>
    <t>ORD11060</t>
  </si>
  <si>
    <t>CUST1156</t>
  </si>
  <si>
    <t>Customer 156</t>
  </si>
  <si>
    <t>ORD13838</t>
  </si>
  <si>
    <t>ORD13880</t>
  </si>
  <si>
    <t>CUST1022</t>
  </si>
  <si>
    <t>Customer 022</t>
  </si>
  <si>
    <t>ORD12022</t>
  </si>
  <si>
    <t>ORD11329</t>
  </si>
  <si>
    <t>ORD13972</t>
  </si>
  <si>
    <t>ORD12305</t>
  </si>
  <si>
    <t>ORD10372</t>
  </si>
  <si>
    <t>ORD10397</t>
  </si>
  <si>
    <t>ORD11835</t>
  </si>
  <si>
    <t>ORD13789</t>
  </si>
  <si>
    <t>CUST1489</t>
  </si>
  <si>
    <t>Customer 489</t>
  </si>
  <si>
    <t>ORD12989</t>
  </si>
  <si>
    <t>ORD10572</t>
  </si>
  <si>
    <t>CUST1209</t>
  </si>
  <si>
    <t>Customer 209</t>
  </si>
  <si>
    <t>ORD12576</t>
  </si>
  <si>
    <t>CUST1165</t>
  </si>
  <si>
    <t>Customer 165</t>
  </si>
  <si>
    <t>ORD12575</t>
  </si>
  <si>
    <t>ORD13329</t>
  </si>
  <si>
    <t>ORD13715</t>
  </si>
  <si>
    <t>ORD13915</t>
  </si>
  <si>
    <t>CUST1395</t>
  </si>
  <si>
    <t>Customer 395</t>
  </si>
  <si>
    <t>ORD13000</t>
  </si>
  <si>
    <t>CUST1332</t>
  </si>
  <si>
    <t>Customer 332</t>
  </si>
  <si>
    <t>ORD10722</t>
  </si>
  <si>
    <t>ORD12599</t>
  </si>
  <si>
    <t>ORD10369</t>
  </si>
  <si>
    <t>ORD12179</t>
  </si>
  <si>
    <t>ORD11257</t>
  </si>
  <si>
    <t>ORD13839</t>
  </si>
  <si>
    <t>ORD13384</t>
  </si>
  <si>
    <t>CUST1457</t>
  </si>
  <si>
    <t>Customer 457</t>
  </si>
  <si>
    <t>ORD12707</t>
  </si>
  <si>
    <t>ORD12555</t>
  </si>
  <si>
    <t>ORD12510</t>
  </si>
  <si>
    <t>ORD11469</t>
  </si>
  <si>
    <t>ORD10343</t>
  </si>
  <si>
    <t>ORD13569</t>
  </si>
  <si>
    <t>ORD13731</t>
  </si>
  <si>
    <t>ORD11270</t>
  </si>
  <si>
    <t>ORD11379</t>
  </si>
  <si>
    <t>CUST1252</t>
  </si>
  <si>
    <t>Customer 252</t>
  </si>
  <si>
    <t>ORD12702</t>
  </si>
  <si>
    <t>ORD13030</t>
  </si>
  <si>
    <t>ORD11450</t>
  </si>
  <si>
    <t>ORD12806</t>
  </si>
  <si>
    <t>ORD13237</t>
  </si>
  <si>
    <t>ORD12688</t>
  </si>
  <si>
    <t>ORD13860</t>
  </si>
  <si>
    <t>CUST1220</t>
  </si>
  <si>
    <t>Customer 220</t>
  </si>
  <si>
    <t>ORD13352</t>
  </si>
  <si>
    <t>ORD12572</t>
  </si>
  <si>
    <t>CUST1467</t>
  </si>
  <si>
    <t>Customer 467</t>
  </si>
  <si>
    <t>ORD13816</t>
  </si>
  <si>
    <t>ORD13457</t>
  </si>
  <si>
    <t>ORD13459</t>
  </si>
  <si>
    <t>ORD10755</t>
  </si>
  <si>
    <t>ORD13061</t>
  </si>
  <si>
    <t>ORD10974</t>
  </si>
  <si>
    <t>ORD11692</t>
  </si>
  <si>
    <t>ORD12837</t>
  </si>
  <si>
    <t>CUST1483</t>
  </si>
  <si>
    <t>Customer 483</t>
  </si>
  <si>
    <t>ORD10021</t>
  </si>
  <si>
    <t>CUST1251</t>
  </si>
  <si>
    <t>Customer 251</t>
  </si>
  <si>
    <t>ORD12191</t>
  </si>
  <si>
    <t>ORD12091</t>
  </si>
  <si>
    <t>CUST1444</t>
  </si>
  <si>
    <t>Customer 444</t>
  </si>
  <si>
    <t>ORD10077</t>
  </si>
  <si>
    <t>ORD11597</t>
  </si>
  <si>
    <t>ORD11914</t>
  </si>
  <si>
    <t>ORD12816</t>
  </si>
  <si>
    <t>ORD10750</t>
  </si>
  <si>
    <t>ORD10211</t>
  </si>
  <si>
    <t>CUST1131</t>
  </si>
  <si>
    <t>Customer 131</t>
  </si>
  <si>
    <t>ORD13300</t>
  </si>
  <si>
    <t>CUST1402</t>
  </si>
  <si>
    <t>Customer 402</t>
  </si>
  <si>
    <t>ORD12520</t>
  </si>
  <si>
    <t>CUST1499</t>
  </si>
  <si>
    <t>Customer 499</t>
  </si>
  <si>
    <t>ORD10888</t>
  </si>
  <si>
    <t>ORD13350</t>
  </si>
  <si>
    <t>ORD12779</t>
  </si>
  <si>
    <t>ORD11009</t>
  </si>
  <si>
    <t>ORD13466</t>
  </si>
  <si>
    <t>ORD11786</t>
  </si>
  <si>
    <t>ORD10595</t>
  </si>
  <si>
    <t>ORD12530</t>
  </si>
  <si>
    <t>CUST1289</t>
  </si>
  <si>
    <t>Customer 289</t>
  </si>
  <si>
    <t>ORD11725</t>
  </si>
  <si>
    <t>CUST1267</t>
  </si>
  <si>
    <t>Customer 267</t>
  </si>
  <si>
    <t>ORD12012</t>
  </si>
  <si>
    <t>ORD10217</t>
  </si>
  <si>
    <t>ORD13875</t>
  </si>
  <si>
    <t>ORD11845</t>
  </si>
  <si>
    <t>ORD12146</t>
  </si>
  <si>
    <t>ORD13163</t>
  </si>
  <si>
    <t>ORD12023</t>
  </si>
  <si>
    <t>ORD11883</t>
  </si>
  <si>
    <t>CUST1089</t>
  </si>
  <si>
    <t>Customer 089</t>
  </si>
  <si>
    <t>ORD10556</t>
  </si>
  <si>
    <t>ORD12258</t>
  </si>
  <si>
    <t>ORD11429</t>
  </si>
  <si>
    <t>ORD12128</t>
  </si>
  <si>
    <t>CUST1313</t>
  </si>
  <si>
    <t>Customer 313</t>
  </si>
  <si>
    <t>ORD10284</t>
  </si>
  <si>
    <t>CUST1246</t>
  </si>
  <si>
    <t>Customer 246</t>
  </si>
  <si>
    <t>ORD12380</t>
  </si>
  <si>
    <t>ORD13010</t>
  </si>
  <si>
    <t>ORD12327</t>
  </si>
  <si>
    <t>ORD11888</t>
  </si>
  <si>
    <t>CUST1207</t>
  </si>
  <si>
    <t>Customer 207</t>
  </si>
  <si>
    <t>ORD10624</t>
  </si>
  <si>
    <t>ORD12066</t>
  </si>
  <si>
    <t>ORD13904</t>
  </si>
  <si>
    <t>ORD13794</t>
  </si>
  <si>
    <t>ORD12071</t>
  </si>
  <si>
    <t>ORD11422</t>
  </si>
  <si>
    <t>CUST1498</t>
  </si>
  <si>
    <t>Customer 498</t>
  </si>
  <si>
    <t>ORD10656</t>
  </si>
  <si>
    <t>ORD10564</t>
  </si>
  <si>
    <t>CUST1091</t>
  </si>
  <si>
    <t>Customer 091</t>
  </si>
  <si>
    <t>ORD13492</t>
  </si>
  <si>
    <t>ORD13705</t>
  </si>
  <si>
    <t>CUST1473</t>
  </si>
  <si>
    <t>Customer 473</t>
  </si>
  <si>
    <t>ORD11241</t>
  </si>
  <si>
    <t>ORD11901</t>
  </si>
  <si>
    <t>ORD12940</t>
  </si>
  <si>
    <t>ORD11394</t>
  </si>
  <si>
    <t>ORD10111</t>
  </si>
  <si>
    <t>ORD11986</t>
  </si>
  <si>
    <t>CUST1397</t>
  </si>
  <si>
    <t>Customer 397</t>
  </si>
  <si>
    <t>ORD12547</t>
  </si>
  <si>
    <t>ORD13796</t>
  </si>
  <si>
    <t>CUST1138</t>
  </si>
  <si>
    <t>Customer 138</t>
  </si>
  <si>
    <t>ORD11147</t>
  </si>
  <si>
    <t>ORD13330</t>
  </si>
  <si>
    <t>ORD13559</t>
  </si>
  <si>
    <t>ORD12178</t>
  </si>
  <si>
    <t>ORD13017</t>
  </si>
  <si>
    <t>ORD13167</t>
  </si>
  <si>
    <t>ORD10735</t>
  </si>
  <si>
    <t>ORD12291</t>
  </si>
  <si>
    <t>ORD12554</t>
  </si>
  <si>
    <t>ORD12442</t>
  </si>
  <si>
    <t>ORD12256</t>
  </si>
  <si>
    <t>ORD12516</t>
  </si>
  <si>
    <t>ORD11252</t>
  </si>
  <si>
    <t>ORD10409</t>
  </si>
  <si>
    <t>ORD11757</t>
  </si>
  <si>
    <t>ORD10841</t>
  </si>
  <si>
    <t>ORD11428</t>
  </si>
  <si>
    <t>ORD10641</t>
  </si>
  <si>
    <t>ORD12592</t>
  </si>
  <si>
    <t>ORD13553</t>
  </si>
  <si>
    <t>ORD10180</t>
  </si>
  <si>
    <t>ORD11327</t>
  </si>
  <si>
    <t>CUST1340</t>
  </si>
  <si>
    <t>Customer 340</t>
  </si>
  <si>
    <t>ORD12923</t>
  </si>
  <si>
    <t>CUST1062</t>
  </si>
  <si>
    <t>Customer 062</t>
  </si>
  <si>
    <t>ORD13588</t>
  </si>
  <si>
    <t>ORD10563</t>
  </si>
  <si>
    <t>ORD10394</t>
  </si>
  <si>
    <t>ORD11863</t>
  </si>
  <si>
    <t>ORD11607</t>
  </si>
  <si>
    <t>ORD11502</t>
  </si>
  <si>
    <t>ORD10459</t>
  </si>
  <si>
    <t>ORD10995</t>
  </si>
  <si>
    <t>CUST1265</t>
  </si>
  <si>
    <t>Customer 265</t>
  </si>
  <si>
    <t>ORD13696</t>
  </si>
  <si>
    <t>ORD11538</t>
  </si>
  <si>
    <t>ORD11046</t>
  </si>
  <si>
    <t>CUST1077</t>
  </si>
  <si>
    <t>Customer 077</t>
  </si>
  <si>
    <t>ORD12803</t>
  </si>
  <si>
    <t>ORD10798</t>
  </si>
  <si>
    <t>ORD13673</t>
  </si>
  <si>
    <t>ORD12334</t>
  </si>
  <si>
    <t>ORD11344</t>
  </si>
  <si>
    <t>CUST1288</t>
  </si>
  <si>
    <t>Customer 288</t>
  </si>
  <si>
    <t>ORD10660</t>
  </si>
  <si>
    <t>ORD10411</t>
  </si>
  <si>
    <t>CUST1088</t>
  </si>
  <si>
    <t>Customer 088</t>
  </si>
  <si>
    <t>ORD12319</t>
  </si>
  <si>
    <t>ORD13503</t>
  </si>
  <si>
    <t>ORD12332</t>
  </si>
  <si>
    <t>ORD12929</t>
  </si>
  <si>
    <t>ORD11629</t>
  </si>
  <si>
    <t>ORD12949</t>
  </si>
  <si>
    <t>ORD12518</t>
  </si>
  <si>
    <t>ORD12596</t>
  </si>
  <si>
    <t>ORD12511</t>
  </si>
  <si>
    <t>ORD10470</t>
  </si>
  <si>
    <t>ORD11410</t>
  </si>
  <si>
    <t>ORD11864</t>
  </si>
  <si>
    <t>CUST1186</t>
  </si>
  <si>
    <t>Customer 186</t>
  </si>
  <si>
    <t>ORD11194</t>
  </si>
  <si>
    <t>CUST1352</t>
  </si>
  <si>
    <t>Customer 352</t>
  </si>
  <si>
    <t>ORD13620</t>
  </si>
  <si>
    <t>ORD11207</t>
  </si>
  <si>
    <t>ORD13901</t>
  </si>
  <si>
    <t>CUST1260</t>
  </si>
  <si>
    <t>Customer 260</t>
  </si>
  <si>
    <t>ORD12515</t>
  </si>
  <si>
    <t>ORD13315</t>
  </si>
  <si>
    <t>ORD10936</t>
  </si>
  <si>
    <t>ORD12844</t>
  </si>
  <si>
    <t>CUST1242</t>
  </si>
  <si>
    <t>Customer 242</t>
  </si>
  <si>
    <t>ORD12604</t>
  </si>
  <si>
    <t>CUST1282</t>
  </si>
  <si>
    <t>Customer 282</t>
  </si>
  <si>
    <t>ORD11067</t>
  </si>
  <si>
    <t>ORD10725</t>
  </si>
  <si>
    <t>CUST1393</t>
  </si>
  <si>
    <t>Customer 393</t>
  </si>
  <si>
    <t>ORD10375</t>
  </si>
  <si>
    <t>ORD10539</t>
  </si>
  <si>
    <t>ORD12523</t>
  </si>
  <si>
    <t>ORD11793</t>
  </si>
  <si>
    <t>ORD13236</t>
  </si>
  <si>
    <t>ORD10468</t>
  </si>
  <si>
    <t>ORD13117</t>
  </si>
  <si>
    <t>ORD12131</t>
  </si>
  <si>
    <t>CUST1359</t>
  </si>
  <si>
    <t>Customer 359</t>
  </si>
  <si>
    <t>ORD10526</t>
  </si>
  <si>
    <t>ORD13917</t>
  </si>
  <si>
    <t>CUST1034</t>
  </si>
  <si>
    <t>Customer 034</t>
  </si>
  <si>
    <t>ORD10549</t>
  </si>
  <si>
    <t>ORD10483</t>
  </si>
  <si>
    <t>CUST1126</t>
  </si>
  <si>
    <t>Customer 126</t>
  </si>
  <si>
    <t>ORD12676</t>
  </si>
  <si>
    <t>CUST1298</t>
  </si>
  <si>
    <t>Customer 298</t>
  </si>
  <si>
    <t>ORD11388</t>
  </si>
  <si>
    <t>CUST1163</t>
  </si>
  <si>
    <t>Customer 163</t>
  </si>
  <si>
    <t>ORD10579</t>
  </si>
  <si>
    <t>CUST1447</t>
  </si>
  <si>
    <t>Customer 447</t>
  </si>
  <si>
    <t>ORD13243</t>
  </si>
  <si>
    <t>ORD11941</t>
  </si>
  <si>
    <t>ORD12939</t>
  </si>
  <si>
    <t>ORD10269</t>
  </si>
  <si>
    <t>ORD11530</t>
  </si>
  <si>
    <t>CUST1460</t>
  </si>
  <si>
    <t>Customer 460</t>
  </si>
  <si>
    <t>ORD12201</t>
  </si>
  <si>
    <t>ORD12359</t>
  </si>
  <si>
    <t>ORD13817</t>
  </si>
  <si>
    <t>CUST1226</t>
  </si>
  <si>
    <t>Customer 226</t>
  </si>
  <si>
    <t>ORD12222</t>
  </si>
  <si>
    <t>ORD10124</t>
  </si>
  <si>
    <t>ORD10567</t>
  </si>
  <si>
    <t>ORD10627</t>
  </si>
  <si>
    <t>ORD13909</t>
  </si>
  <si>
    <t>ORD13303</t>
  </si>
  <si>
    <t>ORD10840</t>
  </si>
  <si>
    <t>ORD13982</t>
  </si>
  <si>
    <t>ORD13964</t>
  </si>
  <si>
    <t>ORD13238</t>
  </si>
  <si>
    <t>ORD11694</t>
  </si>
  <si>
    <t>ORD13892</t>
  </si>
  <si>
    <t>ORD12910</t>
  </si>
  <si>
    <t>ORD12525</t>
  </si>
  <si>
    <t>CUST1032</t>
  </si>
  <si>
    <t>Customer 032</t>
  </si>
  <si>
    <t>ORD12682</t>
  </si>
  <si>
    <t>CUST1051</t>
  </si>
  <si>
    <t>Customer 051</t>
  </si>
  <si>
    <t>ORD13647</t>
  </si>
  <si>
    <t>ORD12103</t>
  </si>
  <si>
    <t>ORD11989</t>
  </si>
  <si>
    <t>CUST1106</t>
  </si>
  <si>
    <t>Customer 106</t>
  </si>
  <si>
    <t>ORD11262</t>
  </si>
  <si>
    <t>ORD10965</t>
  </si>
  <si>
    <t>ORD11880</t>
  </si>
  <si>
    <t>ORD11639</t>
  </si>
  <si>
    <t>CUST1092</t>
  </si>
  <si>
    <t>Customer 092</t>
  </si>
  <si>
    <t>ORD13943</t>
  </si>
  <si>
    <t>ORD12027</t>
  </si>
  <si>
    <t>ORD12570</t>
  </si>
  <si>
    <t>ORD11749</t>
  </si>
  <si>
    <t>ORD11062</t>
  </si>
  <si>
    <t>ORD10749</t>
  </si>
  <si>
    <t>CUST1157</t>
  </si>
  <si>
    <t>Customer 157</t>
  </si>
  <si>
    <t>ORD11716</t>
  </si>
  <si>
    <t>CUST1440</t>
  </si>
  <si>
    <t>Customer 440</t>
  </si>
  <si>
    <t>ORD13164</t>
  </si>
  <si>
    <t>ORD10882</t>
  </si>
  <si>
    <t>ORD12964</t>
  </si>
  <si>
    <t>ORD10399</t>
  </si>
  <si>
    <t>ORD12186</t>
  </si>
  <si>
    <t>ORD10850</t>
  </si>
  <si>
    <t>CUST1303</t>
  </si>
  <si>
    <t>Customer 303</t>
  </si>
  <si>
    <t>ORD12068</t>
  </si>
  <si>
    <t>CUST1454</t>
  </si>
  <si>
    <t>Customer 454</t>
  </si>
  <si>
    <t>ORD13568</t>
  </si>
  <si>
    <t>ORD13341</t>
  </si>
  <si>
    <t>ORD12308</t>
  </si>
  <si>
    <t>ORD12790</t>
  </si>
  <si>
    <t>CUST1418</t>
  </si>
  <si>
    <t>Customer 418</t>
  </si>
  <si>
    <t>ORD13204</t>
  </si>
  <si>
    <t>ORD13092</t>
  </si>
  <si>
    <t>ORD12776</t>
  </si>
  <si>
    <t>ORD13836</t>
  </si>
  <si>
    <t>ORD12410</t>
  </si>
  <si>
    <t>ORD13218</t>
  </si>
  <si>
    <t>ORD10912</t>
  </si>
  <si>
    <t>ORD11340</t>
  </si>
  <si>
    <t>ORD11135</t>
  </si>
  <si>
    <t>ORD11289</t>
  </si>
  <si>
    <t>ORD11464</t>
  </si>
  <si>
    <t>ORD11058</t>
  </si>
  <si>
    <t>ORD12870</t>
  </si>
  <si>
    <t>CUST1103</t>
  </si>
  <si>
    <t>Customer 103</t>
  </si>
  <si>
    <t>ORD10615</t>
  </si>
  <si>
    <t>ORD13599</t>
  </si>
  <si>
    <t>ORD12200</t>
  </si>
  <si>
    <t>ORD10792</t>
  </si>
  <si>
    <t>CUST1228</t>
  </si>
  <si>
    <t>Customer 228</t>
  </si>
  <si>
    <t>ORD10464</t>
  </si>
  <si>
    <t>ORD13155</t>
  </si>
  <si>
    <t>CUST1035</t>
  </si>
  <si>
    <t>Customer 035</t>
  </si>
  <si>
    <t>ORD12245</t>
  </si>
  <si>
    <t>ORD10889</t>
  </si>
  <si>
    <t>ORD10045</t>
  </si>
  <si>
    <t>ORD12378</t>
  </si>
  <si>
    <t>ORD10228</t>
  </si>
  <si>
    <t>CUST1290</t>
  </si>
  <si>
    <t>Customer 290</t>
  </si>
  <si>
    <t>ORD13369</t>
  </si>
  <si>
    <t>CUST1212</t>
  </si>
  <si>
    <t>Customer 212</t>
  </si>
  <si>
    <t>ORD11291</t>
  </si>
  <si>
    <t>ORD11957</t>
  </si>
  <si>
    <t>ORD13861</t>
  </si>
  <si>
    <t>CUST1272</t>
  </si>
  <si>
    <t>Customer 272</t>
  </si>
  <si>
    <t>ORD10216</t>
  </si>
  <si>
    <t>CUST1137</t>
  </si>
  <si>
    <t>Customer 137</t>
  </si>
  <si>
    <t>ORD12847</t>
  </si>
  <si>
    <t>CUST1432</t>
  </si>
  <si>
    <t>Customer 432</t>
  </si>
  <si>
    <t>ORD12287</t>
  </si>
  <si>
    <t>ORD12774</t>
  </si>
  <si>
    <t>ORD13937</t>
  </si>
  <si>
    <t>CUST1262</t>
  </si>
  <si>
    <t>Customer 262</t>
  </si>
  <si>
    <t>ORD12942</t>
  </si>
  <si>
    <t>ORD11832</t>
  </si>
  <si>
    <t>ORD12610</t>
  </si>
  <si>
    <t>CUST1414</t>
  </si>
  <si>
    <t>Customer 414</t>
  </si>
  <si>
    <t>ORD10420</t>
  </si>
  <si>
    <t>CUST1254</t>
  </si>
  <si>
    <t>Customer 254</t>
  </si>
  <si>
    <t>ORD12360</t>
  </si>
  <si>
    <t>ORD10809</t>
  </si>
  <si>
    <t>CUST1196</t>
  </si>
  <si>
    <t>Customer 196</t>
  </si>
  <si>
    <t>ORD11152</t>
  </si>
  <si>
    <t>ORD12057</t>
  </si>
  <si>
    <t>ORD12935</t>
  </si>
  <si>
    <t>ORD12927</t>
  </si>
  <si>
    <t>ORD13314</t>
  </si>
  <si>
    <t>ORD12465</t>
  </si>
  <si>
    <t>ORD11444</t>
  </si>
  <si>
    <t>ORD13908</t>
  </si>
  <si>
    <t>ORD13273</t>
  </si>
  <si>
    <t>ORD11528</t>
  </si>
  <si>
    <t>ORD11374</t>
  </si>
  <si>
    <t>ORD13086</t>
  </si>
  <si>
    <t>ORD10350</t>
  </si>
  <si>
    <t>ORD10897</t>
  </si>
  <si>
    <t>ORD10341</t>
  </si>
  <si>
    <t>ORD13038</t>
  </si>
  <si>
    <t>CUST1078</t>
  </si>
  <si>
    <t>Customer 078</t>
  </si>
  <si>
    <t>ORD11148</t>
  </si>
  <si>
    <t>CUST1385</t>
  </si>
  <si>
    <t>Customer 385</t>
  </si>
  <si>
    <t>ORD11214</t>
  </si>
  <si>
    <t>CUST1434</t>
  </si>
  <si>
    <t>Customer 434</t>
  </si>
  <si>
    <t>ORD12757</t>
  </si>
  <si>
    <t>CUST1443</t>
  </si>
  <si>
    <t>Customer 443</t>
  </si>
  <si>
    <t>ORD12670</t>
  </si>
  <si>
    <t>ORD13742</t>
  </si>
  <si>
    <t>CUST1152</t>
  </si>
  <si>
    <t>Customer 152</t>
  </si>
  <si>
    <t>ORD11668</t>
  </si>
  <si>
    <t>ORD13407</t>
  </si>
  <si>
    <t>ORD12001</t>
  </si>
  <si>
    <t>ORD10009</t>
  </si>
  <si>
    <t>ORD12271</t>
  </si>
  <si>
    <t>ORD10969</t>
  </si>
  <si>
    <t>ORD10265</t>
  </si>
  <si>
    <t>ORD10941</t>
  </si>
  <si>
    <t>CUST1346</t>
  </si>
  <si>
    <t>Customer 346</t>
  </si>
  <si>
    <t>ORD13452</t>
  </si>
  <si>
    <t>ORD10662</t>
  </si>
  <si>
    <t>ORD10447</t>
  </si>
  <si>
    <t>ORD10819</t>
  </si>
  <si>
    <t>CUST1333</t>
  </si>
  <si>
    <t>Customer 333</t>
  </si>
  <si>
    <t>ORD12423</t>
  </si>
  <si>
    <t>ORD11805</t>
  </si>
  <si>
    <t>ORD13555</t>
  </si>
  <si>
    <t>ORD13890</t>
  </si>
  <si>
    <t>ORD10395</t>
  </si>
  <si>
    <t>ORD13831</t>
  </si>
  <si>
    <t>ORD10137</t>
  </si>
  <si>
    <t>ORD10223</t>
  </si>
  <si>
    <t>ORD11922</t>
  </si>
  <si>
    <t>ORD13936</t>
  </si>
  <si>
    <t>ORD12765</t>
  </si>
  <si>
    <t>ORD10504</t>
  </si>
  <si>
    <t>ORD10421</t>
  </si>
  <si>
    <t>ORD10535</t>
  </si>
  <si>
    <t>ORD12333</t>
  </si>
  <si>
    <t>ORD12501</t>
  </si>
  <si>
    <t>ORD12216</t>
  </si>
  <si>
    <t>ORD10488</t>
  </si>
  <si>
    <t>ORD12609</t>
  </si>
  <si>
    <t>ORD11722</t>
  </si>
  <si>
    <t>CUST1371</t>
  </si>
  <si>
    <t>Customer 371</t>
  </si>
  <si>
    <t>ORD12979</t>
  </si>
  <si>
    <t>ORD13975</t>
  </si>
  <si>
    <t>ORD13419</t>
  </si>
  <si>
    <t>CUST1049</t>
  </si>
  <si>
    <t>Customer 049</t>
  </si>
  <si>
    <t>ORD12424</t>
  </si>
  <si>
    <t>ORD13214</t>
  </si>
  <si>
    <t>ORD13379</t>
  </si>
  <si>
    <t>ORD11848</t>
  </si>
  <si>
    <t>ORD10066</t>
  </si>
  <si>
    <t>ORD13349</t>
  </si>
  <si>
    <t>ORD10065</t>
  </si>
  <si>
    <t>ORD13563</t>
  </si>
  <si>
    <t>ORD13321</t>
  </si>
  <si>
    <t>CUST1043</t>
  </si>
  <si>
    <t>Customer 043</t>
  </si>
  <si>
    <t>ORD11445</t>
  </si>
  <si>
    <t>ORD12861</t>
  </si>
  <si>
    <t>ORD11146</t>
  </si>
  <si>
    <t>ORD11739</t>
  </si>
  <si>
    <t>ORD13761</t>
  </si>
  <si>
    <t>ORD10993</t>
  </si>
  <si>
    <t>ORD13965</t>
  </si>
  <si>
    <t>ORD11649</t>
  </si>
  <si>
    <t>ORD10117</t>
  </si>
  <si>
    <t>CUST1019</t>
  </si>
  <si>
    <t>Customer 019</t>
  </si>
  <si>
    <t>ORD10987</t>
  </si>
  <si>
    <t>ORD10204</t>
  </si>
  <si>
    <t>ORD12814</t>
  </si>
  <si>
    <t>ORD11393</t>
  </si>
  <si>
    <t>ORD11001</t>
  </si>
  <si>
    <t>CUST1405</t>
  </si>
  <si>
    <t>Customer 405</t>
  </si>
  <si>
    <t>ORD12508</t>
  </si>
  <si>
    <t>ORD12381</t>
  </si>
  <si>
    <t>CUST1090</t>
  </si>
  <si>
    <t>Customer 090</t>
  </si>
  <si>
    <t>ORD10625</t>
  </si>
  <si>
    <t>ORD10008</t>
  </si>
  <si>
    <t>ORD12203</t>
  </si>
  <si>
    <t>CUST1020</t>
  </si>
  <si>
    <t>Customer 020</t>
  </si>
  <si>
    <t>ORD12830</t>
  </si>
  <si>
    <t>ORD13338</t>
  </si>
  <si>
    <t>ORD11187</t>
  </si>
  <si>
    <t>ORD10337</t>
  </si>
  <si>
    <t>ORD11718</t>
  </si>
  <si>
    <t>ORD10996</t>
  </si>
  <si>
    <t>ORD13869</t>
  </si>
  <si>
    <t>ORD13327</t>
  </si>
  <si>
    <t>ORD12471</t>
  </si>
  <si>
    <t>ORD13276</t>
  </si>
  <si>
    <t>ORD10811</t>
  </si>
  <si>
    <t>ORD13898</t>
  </si>
  <si>
    <t>ORD12608</t>
  </si>
  <si>
    <t>CUST1129</t>
  </si>
  <si>
    <t>Customer 129</t>
  </si>
  <si>
    <t>ORD11698</t>
  </si>
  <si>
    <t>ORD12317</t>
  </si>
  <si>
    <t>ORD11836</t>
  </si>
  <si>
    <t>ORD11556</t>
  </si>
  <si>
    <t>ORD12985</t>
  </si>
  <si>
    <t>ORD13116</t>
  </si>
  <si>
    <t>CUST1249</t>
  </si>
  <si>
    <t>Customer 249</t>
  </si>
  <si>
    <t>ORD12673</t>
  </si>
  <si>
    <t>ORD10847</t>
  </si>
  <si>
    <t>ORD12324</t>
  </si>
  <si>
    <t>ORD11553</t>
  </si>
  <si>
    <t>ORD10391</t>
  </si>
  <si>
    <t>ORD11893</t>
  </si>
  <si>
    <t>ORD12731</t>
  </si>
  <si>
    <t>ORD13142</t>
  </si>
  <si>
    <t>ORD10044</t>
  </si>
  <si>
    <t>ORD13891</t>
  </si>
  <si>
    <t>ORD12475</t>
  </si>
  <si>
    <t>ORD12276</t>
  </si>
  <si>
    <t>ORD13033</t>
  </si>
  <si>
    <t>ORD10373</t>
  </si>
  <si>
    <t>ORD10928</t>
  </si>
  <si>
    <t>ORD11889</t>
  </si>
  <si>
    <t>CUST1031</t>
  </si>
  <si>
    <t>Customer 031</t>
  </si>
  <si>
    <t>ORD11320</t>
  </si>
  <si>
    <t>ORD13886</t>
  </si>
  <si>
    <t>ORD10278</t>
  </si>
  <si>
    <t>CUST1392</t>
  </si>
  <si>
    <t>Customer 392</t>
  </si>
  <si>
    <t>ORD13463</t>
  </si>
  <si>
    <t>ORD12907</t>
  </si>
  <si>
    <t>ORD10881</t>
  </si>
  <si>
    <t>ORD10445</t>
  </si>
  <si>
    <t>ORD12054</t>
  </si>
  <si>
    <t>ORD13605</t>
  </si>
  <si>
    <t>ORD13115</t>
  </si>
  <si>
    <t>ORD12784</t>
  </si>
  <si>
    <t>ORD11083</t>
  </si>
  <si>
    <t>ORD13378</t>
  </si>
  <si>
    <t>CUST1292</t>
  </si>
  <si>
    <t>Customer 292</t>
  </si>
  <si>
    <t>ORD13295</t>
  </si>
  <si>
    <t>ORD13521</t>
  </si>
  <si>
    <t>ORD10163</t>
  </si>
  <si>
    <t>ORD11333</t>
  </si>
  <si>
    <t>ORD11189</t>
  </si>
  <si>
    <t>ORD13704</t>
  </si>
  <si>
    <t>CUST1453</t>
  </si>
  <si>
    <t>Customer 453</t>
  </si>
  <si>
    <t>ORD10039</t>
  </si>
  <si>
    <t>ORD10730</t>
  </si>
  <si>
    <t>ORD11822</t>
  </si>
  <si>
    <t>ORD13219</t>
  </si>
  <si>
    <t>ORD13231</t>
  </si>
  <si>
    <t>ORD12466</t>
  </si>
  <si>
    <t>CUST1098</t>
  </si>
  <si>
    <t>Customer 098</t>
  </si>
  <si>
    <t>ORD13687</t>
  </si>
  <si>
    <t>ORD12097</t>
  </si>
  <si>
    <t>ORD12528</t>
  </si>
  <si>
    <t>ORD10196</t>
  </si>
  <si>
    <t>ORD11615</t>
  </si>
  <si>
    <t>ORD13970</t>
  </si>
  <si>
    <t>ORD12831</t>
  </si>
  <si>
    <t>ORD11637</t>
  </si>
  <si>
    <t>ORD10835</t>
  </si>
  <si>
    <t>ORD10859</t>
  </si>
  <si>
    <t>ORD10914</t>
  </si>
  <si>
    <t>ORD10801</t>
  </si>
  <si>
    <t>ORD13723</t>
  </si>
  <si>
    <t>ORD12409</t>
  </si>
  <si>
    <t>CUST1233</t>
  </si>
  <si>
    <t>Customer 233</t>
  </si>
  <si>
    <t>ORD13249</t>
  </si>
  <si>
    <t>ORD10245</t>
  </si>
  <si>
    <t>ORD10344</t>
  </si>
  <si>
    <t>ORD11215</t>
  </si>
  <si>
    <t>ORD11317</t>
  </si>
  <si>
    <t>ORD12796</t>
  </si>
  <si>
    <t>ORD12783</t>
  </si>
  <si>
    <t>ORD13512</t>
  </si>
  <si>
    <t>ORD12931</t>
  </si>
  <si>
    <t>ORD12888</t>
  </si>
  <si>
    <t>ORD12660</t>
  </si>
  <si>
    <t>ORD11624</t>
  </si>
  <si>
    <t>ORD12697</t>
  </si>
  <si>
    <t>ORD12900</t>
  </si>
  <si>
    <t>ORD10916</t>
  </si>
  <si>
    <t>ORD11761</t>
  </si>
  <si>
    <t>ORD10614</t>
  </si>
  <si>
    <t>ORD10428</t>
  </si>
  <si>
    <t>ORD12800</t>
  </si>
  <si>
    <t>ORD13032</t>
  </si>
  <si>
    <t>ORD11138</t>
  </si>
  <si>
    <t>ORD13517</t>
  </si>
  <si>
    <t>ORD13826</t>
  </si>
  <si>
    <t>ORD13913</t>
  </si>
  <si>
    <t>ORD12354</t>
  </si>
  <si>
    <t>ORD10701</t>
  </si>
  <si>
    <t>ORD13551</t>
  </si>
  <si>
    <t>ORD12213</t>
  </si>
  <si>
    <t>ORD11471</t>
  </si>
  <si>
    <t>ORD11675</t>
  </si>
  <si>
    <t>ORD11063</t>
  </si>
  <si>
    <t>CUST1073</t>
  </si>
  <si>
    <t>Customer 073</t>
  </si>
  <si>
    <t>ORD10001</t>
  </si>
  <si>
    <t>ORD10154</t>
  </si>
  <si>
    <t>ORD13159</t>
  </si>
  <si>
    <t>CUST1334</t>
  </si>
  <si>
    <t>Customer 334</t>
  </si>
  <si>
    <t>ORD12809</t>
  </si>
  <si>
    <t>CUST1396</t>
  </si>
  <si>
    <t>Customer 396</t>
  </si>
  <si>
    <t>ORD10295</t>
  </si>
  <si>
    <t>CUST1273</t>
  </si>
  <si>
    <t>Customer 273</t>
  </si>
  <si>
    <t>ORD12303</t>
  </si>
  <si>
    <t>ORD11775</t>
  </si>
  <si>
    <t>ORD13879</t>
  </si>
  <si>
    <t>ORD13520</t>
  </si>
  <si>
    <t>ORD11504</t>
  </si>
  <si>
    <t>CUST1162</t>
  </si>
  <si>
    <t>Customer 162</t>
  </si>
  <si>
    <t>ORD10302</t>
  </si>
  <si>
    <t>ORD12762</t>
  </si>
  <si>
    <t>CUST1216</t>
  </si>
  <si>
    <t>Customer 216</t>
  </si>
  <si>
    <t>ORD10968</t>
  </si>
  <si>
    <t>CUST1159</t>
  </si>
  <si>
    <t>Customer 159</t>
  </si>
  <si>
    <t>ORD11472</t>
  </si>
  <si>
    <t>ORD10240</t>
  </si>
  <si>
    <t>ORD10213</t>
  </si>
  <si>
    <t>ORD12242</t>
  </si>
  <si>
    <t>ORD12643</t>
  </si>
  <si>
    <t>ORD11753</t>
  </si>
  <si>
    <t>ORD12430</t>
  </si>
  <si>
    <t>CUST1136</t>
  </si>
  <si>
    <t>Customer 136</t>
  </si>
  <si>
    <t>ORD13514</t>
  </si>
  <si>
    <t>ORD12247</t>
  </si>
  <si>
    <t>ORD10587</t>
  </si>
  <si>
    <t>ORD12047</t>
  </si>
  <si>
    <t>ORD12015</t>
  </si>
  <si>
    <t>ORD12764</t>
  </si>
  <si>
    <t>ORD13146</t>
  </si>
  <si>
    <t>ORD12401</t>
  </si>
  <si>
    <t>ORD11514</t>
  </si>
  <si>
    <t>ORD12553</t>
  </si>
  <si>
    <t>ORD13451</t>
  </si>
  <si>
    <t>ORD12654</t>
  </si>
  <si>
    <t>ORD10092</t>
  </si>
  <si>
    <t>ORD11708</t>
  </si>
  <si>
    <t>ORD11687</t>
  </si>
  <si>
    <t>ORD11160</t>
  </si>
  <si>
    <t>ORD12517</t>
  </si>
  <si>
    <t>ORD13461</t>
  </si>
  <si>
    <t>ORD11196</t>
  </si>
  <si>
    <t>CUST1317</t>
  </si>
  <si>
    <t>Customer 317</t>
  </si>
  <si>
    <t>ORD13202</t>
  </si>
  <si>
    <t>ORD10608</t>
  </si>
  <si>
    <t>ORD10053</t>
  </si>
  <si>
    <t>ORD11542</t>
  </si>
  <si>
    <t>ORD13333</t>
  </si>
  <si>
    <t>ORD12700</t>
  </si>
  <si>
    <t>ORD13347</t>
  </si>
  <si>
    <t>ORD10523</t>
  </si>
  <si>
    <t>ORD10990</t>
  </si>
  <si>
    <t>ORD13711</t>
  </si>
  <si>
    <t>ORD10804</t>
  </si>
  <si>
    <t>ORD13523</t>
  </si>
  <si>
    <t>ORD12521</t>
  </si>
  <si>
    <t>ORD13896</t>
  </si>
  <si>
    <t>ORD13918</t>
  </si>
  <si>
    <t>ORD13497</t>
  </si>
  <si>
    <t>ORD13372</t>
  </si>
  <si>
    <t>ORD10244</t>
  </si>
  <si>
    <t>ORD13847</t>
  </si>
  <si>
    <t>ORD11557</t>
  </si>
  <si>
    <t>ORD11068</t>
  </si>
  <si>
    <t>ORD12667</t>
  </si>
  <si>
    <t>ORD11920</t>
  </si>
  <si>
    <t>ORD11606</t>
  </si>
  <si>
    <t>CUST1446</t>
  </si>
  <si>
    <t>Customer 446</t>
  </si>
  <si>
    <t>ORD10754</t>
  </si>
  <si>
    <t>ORD13829</t>
  </si>
  <si>
    <t>ORD12480</t>
  </si>
  <si>
    <t>ORD12751</t>
  </si>
  <si>
    <t>CUST1123</t>
  </si>
  <si>
    <t>Customer 123</t>
  </si>
  <si>
    <t>ORD13931</t>
  </si>
  <si>
    <t>ORD10469</t>
  </si>
  <si>
    <t>ORD12341</t>
  </si>
  <si>
    <t>ORD10497</t>
  </si>
  <si>
    <t>ORD10633</t>
  </si>
  <si>
    <t>ORD13176</t>
  </si>
  <si>
    <t>CUST1279</t>
  </si>
  <si>
    <t>Customer 279</t>
  </si>
  <si>
    <t>ORD11057</t>
  </si>
  <si>
    <t>ORD13060</t>
  </si>
  <si>
    <t>ORD11176</t>
  </si>
  <si>
    <t>ORD13997</t>
  </si>
  <si>
    <t>ORD13799</t>
  </si>
  <si>
    <t>CUST1006</t>
  </si>
  <si>
    <t>Customer 006</t>
  </si>
  <si>
    <t>ORD11294</t>
  </si>
  <si>
    <t>CUST1003</t>
  </si>
  <si>
    <t>Customer 003</t>
  </si>
  <si>
    <t>ORD12963</t>
  </si>
  <si>
    <t>ORD11228</t>
  </si>
  <si>
    <t>ORD12383</t>
  </si>
  <si>
    <t>ORD13766</t>
  </si>
  <si>
    <t>ORD11961</t>
  </si>
  <si>
    <t>ORD10131</t>
  </si>
  <si>
    <t>ORD12635</t>
  </si>
  <si>
    <t>CUST1042</t>
  </si>
  <si>
    <t>Customer 042</t>
  </si>
  <si>
    <t>ORD12620</t>
  </si>
  <si>
    <t>ORD10260</t>
  </si>
  <si>
    <t>ORD10193</t>
  </si>
  <si>
    <t>ORD13532</t>
  </si>
  <si>
    <t>ORD12720</t>
  </si>
  <si>
    <t>ORD11033</t>
  </si>
  <si>
    <t>ORD11097</t>
  </si>
  <si>
    <t>ORD12122</t>
  </si>
  <si>
    <t>ORD12802</t>
  </si>
  <si>
    <t>ORD12413</t>
  </si>
  <si>
    <t>ORD10036</t>
  </si>
  <si>
    <t>ORD10179</t>
  </si>
  <si>
    <t>CUST1451</t>
  </si>
  <si>
    <t>Customer 451</t>
  </si>
  <si>
    <t>ORD12567</t>
  </si>
  <si>
    <t>ORD12496</t>
  </si>
  <si>
    <t>ORD10431</t>
  </si>
  <si>
    <t>ORD11102</t>
  </si>
  <si>
    <t>CUST1235</t>
  </si>
  <si>
    <t>Customer 235</t>
  </si>
  <si>
    <t>ORD10305</t>
  </si>
  <si>
    <t>ORD12435</t>
  </si>
  <si>
    <t>ORD13245</t>
  </si>
  <si>
    <t>CUST1365</t>
  </si>
  <si>
    <t>Customer 365</t>
  </si>
  <si>
    <t>ORD13942</t>
  </si>
  <si>
    <t>ORD11391</t>
  </si>
  <si>
    <t>ORD10183</t>
  </si>
  <si>
    <t>ORD12361</t>
  </si>
  <si>
    <t>ORD12990</t>
  </si>
  <si>
    <t>ORD11740</t>
  </si>
  <si>
    <t>ORD12738</t>
  </si>
  <si>
    <t>ORD12740</t>
  </si>
  <si>
    <t>ORD11043</t>
  </si>
  <si>
    <t>ORD13522</t>
  </si>
  <si>
    <t>ORD11548</t>
  </si>
  <si>
    <t>ORD11862</t>
  </si>
  <si>
    <t>ORD11487</t>
  </si>
  <si>
    <t>ORD10351</t>
  </si>
  <si>
    <t>ORD11044</t>
  </si>
  <si>
    <t>ORD13432</t>
  </si>
  <si>
    <t>ORD12497</t>
  </si>
  <si>
    <t>ORD12960</t>
  </si>
  <si>
    <t>ORD10938</t>
  </si>
  <si>
    <t>ORD12006</t>
  </si>
  <si>
    <t>ORD13337</t>
  </si>
  <si>
    <t>ORD13376</t>
  </si>
  <si>
    <t>ORD12035</t>
  </si>
  <si>
    <t>ORD10684</t>
  </si>
  <si>
    <t>ORD13246</t>
  </si>
  <si>
    <t>ORD11120</t>
  </si>
  <si>
    <t>ORD11998</t>
  </si>
  <si>
    <t>ORD12621</t>
  </si>
  <si>
    <t>ORD12996</t>
  </si>
  <si>
    <t>CUST1316</t>
  </si>
  <si>
    <t>Customer 316</t>
  </si>
  <si>
    <t>ORD11387</t>
  </si>
  <si>
    <t>ORD12388</t>
  </si>
  <si>
    <t>ORD10102</t>
  </si>
  <si>
    <t>ORD13406</t>
  </si>
  <si>
    <t>CUST1177</t>
  </si>
  <si>
    <t>Customer 177</t>
  </si>
  <si>
    <t>ORD10239</t>
  </si>
  <si>
    <t>ORD13240</t>
  </si>
  <si>
    <t>ORD10076</t>
  </si>
  <si>
    <t>ORD12429</t>
  </si>
  <si>
    <t>ORD13003</t>
  </si>
  <si>
    <t>ORD12024</t>
  </si>
  <si>
    <t>ORD11363</t>
  </si>
  <si>
    <t>CUST1176</t>
  </si>
  <si>
    <t>Customer 176</t>
  </si>
  <si>
    <t>ORD12522</t>
  </si>
  <si>
    <t>ORD12795</t>
  </si>
  <si>
    <t>ORD12791</t>
  </si>
  <si>
    <t>ORD12239</t>
  </si>
  <si>
    <t>ORD13187</t>
  </si>
  <si>
    <t>ORD11815</t>
  </si>
  <si>
    <t>ORD11172</t>
  </si>
  <si>
    <t>ORD11726</t>
  </si>
  <si>
    <t>ORD13152</t>
  </si>
  <si>
    <t>ORD13418</t>
  </si>
  <si>
    <t>ORD12716</t>
  </si>
  <si>
    <t>ORD12973</t>
  </si>
  <si>
    <t>ORD10381</t>
  </si>
  <si>
    <t>ORD10005</t>
  </si>
  <si>
    <t>ORD10080</t>
  </si>
  <si>
    <t>ORD11425</t>
  </si>
  <si>
    <t>ORD11723</t>
  </si>
  <si>
    <t>ORD12657</t>
  </si>
  <si>
    <t>ORD11351</t>
  </si>
  <si>
    <t>ORD12014</t>
  </si>
  <si>
    <t>ORD10181</t>
  </si>
  <si>
    <t>ORD10978</t>
  </si>
  <si>
    <t>ORD12882</t>
  </si>
  <si>
    <t>CUST1119</t>
  </si>
  <si>
    <t>Customer 119</t>
  </si>
  <si>
    <t>ORD13053</t>
  </si>
  <si>
    <t>ORD12298</t>
  </si>
  <si>
    <t>ORD11177</t>
  </si>
  <si>
    <t>ORD10814</t>
  </si>
  <si>
    <t>ORD12647</t>
  </si>
  <si>
    <t>ORD13694</t>
  </si>
  <si>
    <t>ORD12652</t>
  </si>
  <si>
    <t>ORD10695</t>
  </si>
  <si>
    <t>ORD10396</t>
  </si>
  <si>
    <t>ORD12418</t>
  </si>
  <si>
    <t>ORD11042</t>
  </si>
  <si>
    <t>ORD12454</t>
  </si>
  <si>
    <t>ORD10654</t>
  </si>
  <si>
    <t>ORD13870</t>
  </si>
  <si>
    <t>ORD10491</t>
  </si>
  <si>
    <t>ORD12452</t>
  </si>
  <si>
    <t>ORD11165</t>
  </si>
  <si>
    <t>ORD11347</t>
  </si>
  <si>
    <t>ORD11278</t>
  </si>
  <si>
    <t>ORD10023</t>
  </si>
  <si>
    <t>ORD10444</t>
  </si>
  <si>
    <t>CUST1245</t>
  </si>
  <si>
    <t>Customer 245</t>
  </si>
  <si>
    <t>ORD13804</t>
  </si>
  <si>
    <t>CUST1011</t>
  </si>
  <si>
    <t>Customer 011</t>
  </si>
  <si>
    <t>ORD12629</t>
  </si>
  <si>
    <t>ORD13308</t>
  </si>
  <si>
    <t>ORD12542</t>
  </si>
  <si>
    <t>ORD10919</t>
  </si>
  <si>
    <t>ORD12170</t>
  </si>
  <si>
    <t>ORD12314</t>
  </si>
  <si>
    <t>CUST1027</t>
  </si>
  <si>
    <t>Customer 027</t>
  </si>
  <si>
    <t>ORD13771</t>
  </si>
  <si>
    <t>ORD11540</t>
  </si>
  <si>
    <t>ORD13644</t>
  </si>
  <si>
    <t>ORD12954</t>
  </si>
  <si>
    <t>CUST1219</t>
  </si>
  <si>
    <t>Customer 219</t>
  </si>
  <si>
    <t>ORD10368</t>
  </si>
  <si>
    <t>ORD11763</t>
  </si>
  <si>
    <t>ORD13403</t>
  </si>
  <si>
    <t>ORD10212</t>
  </si>
  <si>
    <t>ORD12083</t>
  </si>
  <si>
    <t>ORD10432</t>
  </si>
  <si>
    <t>ORD12059</t>
  </si>
  <si>
    <t>ORD12182</t>
  </si>
  <si>
    <t>ORD11916</t>
  </si>
  <si>
    <t>ORD13841</t>
  </si>
  <si>
    <t>ORD12241</t>
  </si>
  <si>
    <t>ORD11164</t>
  </si>
  <si>
    <t>ORD13454</t>
  </si>
  <si>
    <t>ORD10430</t>
  </si>
  <si>
    <t>CUST1358</t>
  </si>
  <si>
    <t>Customer 358</t>
  </si>
  <si>
    <t>ORD11908</t>
  </si>
  <si>
    <t>ORD11144</t>
  </si>
  <si>
    <t>ORD11073</t>
  </si>
  <si>
    <t>CUST1379</t>
  </si>
  <si>
    <t>Customer 379</t>
  </si>
  <si>
    <t>ORD11247</t>
  </si>
  <si>
    <t>ORD10249</t>
  </si>
  <si>
    <t>ORD13833</t>
  </si>
  <si>
    <t>ORD10456</t>
  </si>
  <si>
    <t>ORD13626</t>
  </si>
  <si>
    <t>ORD13297</t>
  </si>
  <si>
    <t>ORD12639</t>
  </si>
  <si>
    <t>ORD12166</t>
  </si>
  <si>
    <t>ORD11163</t>
  </si>
  <si>
    <t>ORD13260</t>
  </si>
  <si>
    <t>ORD10374</t>
  </si>
  <si>
    <t>ORD10655</t>
  </si>
  <si>
    <t>ORD12748</t>
  </si>
  <si>
    <t>ORD11965</t>
  </si>
  <si>
    <t>ORD10942</t>
  </si>
  <si>
    <t>CUST1203</t>
  </si>
  <si>
    <t>Customer 203</t>
  </si>
  <si>
    <t>ORD12386</t>
  </si>
  <si>
    <t>ORD11173</t>
  </si>
  <si>
    <t>ORD11224</t>
  </si>
  <si>
    <t>ORD12646</t>
  </si>
  <si>
    <t>ORD13020</t>
  </si>
  <si>
    <t>CUST1373</t>
  </si>
  <si>
    <t>Customer 373</t>
  </si>
  <si>
    <t>ORD12901</t>
  </si>
  <si>
    <t>ORD12384</t>
  </si>
  <si>
    <t>ORD11676</t>
  </si>
  <si>
    <t>ORD13692</t>
  </si>
  <si>
    <t>ORD10490</t>
  </si>
  <si>
    <t>ORD12451</t>
  </si>
  <si>
    <t>ORD12819</t>
  </si>
  <si>
    <t>ORD11039</t>
  </si>
  <si>
    <t>ORD13635</t>
  </si>
  <si>
    <t>ORD12121</t>
  </si>
  <si>
    <t>ORD12961</t>
  </si>
  <si>
    <t>ORD12752</t>
  </si>
  <si>
    <t>ORD13241</t>
  </si>
  <si>
    <t>ORD12339</t>
  </si>
  <si>
    <t>ORD10049</t>
  </si>
  <si>
    <t>ORD12019</t>
  </si>
  <si>
    <t>ORD12838</t>
  </si>
  <si>
    <t>CUST1450</t>
  </si>
  <si>
    <t>Customer 450</t>
  </si>
  <si>
    <t>ORD11611</t>
  </si>
  <si>
    <t>ORD10254</t>
  </si>
  <si>
    <t>ORD11799</t>
  </si>
  <si>
    <t>ORD11316</t>
  </si>
  <si>
    <t>ORD13049</t>
  </si>
  <si>
    <t>ORD11233</t>
  </si>
  <si>
    <t>ORD13576</t>
  </si>
  <si>
    <t>ORD11414</t>
  </si>
  <si>
    <t>ORD10172</t>
  </si>
  <si>
    <t>ORD13967</t>
  </si>
  <si>
    <t>ORD12902</t>
  </si>
  <si>
    <t>ORD13340</t>
  </si>
  <si>
    <t>ORD13311</t>
  </si>
  <si>
    <t>CUST1257</t>
  </si>
  <si>
    <t>Customer 257</t>
  </si>
  <si>
    <t>ORD11509</t>
  </si>
  <si>
    <t>ORD12297</t>
  </si>
  <si>
    <t>ORD11686</t>
  </si>
  <si>
    <t>ORD13957</t>
  </si>
  <si>
    <t>ORD10778</t>
  </si>
  <si>
    <t>ORD11929</t>
  </si>
  <si>
    <t>ORD11440</t>
  </si>
  <si>
    <t>CUST1478</t>
  </si>
  <si>
    <t>Customer 478</t>
  </si>
  <si>
    <t>ORD13449</t>
  </si>
  <si>
    <t>ORD10605</t>
  </si>
  <si>
    <t>ORD10648</t>
  </si>
  <si>
    <t>ORD10537</t>
  </si>
  <si>
    <t>ORD10635</t>
  </si>
  <si>
    <t>ORD10892</t>
  </si>
  <si>
    <t>ORD13575</t>
  </si>
  <si>
    <t>ORD10257</t>
  </si>
  <si>
    <t>ORD13851</t>
  </si>
  <si>
    <t>ORD12096</t>
  </si>
  <si>
    <t>ORD13573</t>
  </si>
  <si>
    <t>ORD11021</t>
  </si>
  <si>
    <t>ORD13664</t>
  </si>
  <si>
    <t>ORD11223</t>
  </si>
  <si>
    <t>ORD13619</t>
  </si>
  <si>
    <t>ORD10166</t>
  </si>
  <si>
    <t>ORD10862</t>
  </si>
  <si>
    <t>ORD10261</t>
  </si>
  <si>
    <t>ORD10385</t>
  </si>
  <si>
    <t>CUST1016</t>
  </si>
  <si>
    <t>Customer 016</t>
  </si>
  <si>
    <t>ORD10578</t>
  </si>
  <si>
    <t>ORD13325</t>
  </si>
  <si>
    <t>ORD10744</t>
  </si>
  <si>
    <t>ORD13996</t>
  </si>
  <si>
    <t>ORD11226</t>
  </si>
  <si>
    <t>ORD13786</t>
  </si>
  <si>
    <t>ORD11295</t>
  </si>
  <si>
    <t>CUST1476</t>
  </si>
  <si>
    <t>Customer 476</t>
  </si>
  <si>
    <t>ORD10690</t>
  </si>
  <si>
    <t>ORD10678</t>
  </si>
  <si>
    <t>ORD13985</t>
  </si>
  <si>
    <t>ORD12892</t>
  </si>
  <si>
    <t>ORD13265</t>
  </si>
  <si>
    <t>ORD11976</t>
  </si>
  <si>
    <t>ORD11301</t>
  </si>
  <si>
    <t>CUST1380</t>
  </si>
  <si>
    <t>Customer 380</t>
  </si>
  <si>
    <t>ORD10971</t>
  </si>
  <si>
    <t>ORD12171</t>
  </si>
  <si>
    <t>ORD11601</t>
  </si>
  <si>
    <t>ORD10177</t>
  </si>
  <si>
    <t>ORD10247</t>
  </si>
  <si>
    <t>ORD13397</t>
  </si>
  <si>
    <t>ORD13286</t>
  </si>
  <si>
    <t>ORD13923</t>
  </si>
  <si>
    <t>ORD13474</t>
  </si>
  <si>
    <t>ORD12916</t>
  </si>
  <si>
    <t>ORD11416</t>
  </si>
  <si>
    <t>ORD11988</t>
  </si>
  <si>
    <t>ORD11619</t>
  </si>
  <si>
    <t>ORD12002</t>
  </si>
  <si>
    <t>ORD10719</t>
  </si>
  <si>
    <t>ORD11897</t>
  </si>
  <si>
    <t>ORD12040</t>
  </si>
  <si>
    <t>ORD10281</t>
  </si>
  <si>
    <t>ORD10091</t>
  </si>
  <si>
    <t>ORD13782</t>
  </si>
  <si>
    <t>ORD13196</t>
  </si>
  <si>
    <t>ORD12789</t>
  </si>
  <si>
    <t>ORD12775</t>
  </si>
  <si>
    <t>ORD13930</t>
  </si>
  <si>
    <t>ORD10822</t>
  </si>
  <si>
    <t>ORD11318</t>
  </si>
  <si>
    <t>ORD11478</t>
  </si>
  <si>
    <t>ORD11810</t>
  </si>
  <si>
    <t>ORD10481</t>
  </si>
  <si>
    <t>ORD13702</t>
  </si>
  <si>
    <t>ORD12329</t>
  </si>
  <si>
    <t>ORD10063</t>
  </si>
  <si>
    <t>ORD13499</t>
  </si>
  <si>
    <t>ORD12535</t>
  </si>
  <si>
    <t>ORD12569</t>
  </si>
  <si>
    <t>ORD10807</t>
  </si>
  <si>
    <t>ORD12874</t>
  </si>
  <si>
    <t>ORD12978</t>
  </si>
  <si>
    <t>ORD11936</t>
  </si>
  <si>
    <t>ORD12998</t>
  </si>
  <si>
    <t>ORD13057</t>
  </si>
  <si>
    <t>ORD12758</t>
  </si>
  <si>
    <t>ORD12316</t>
  </si>
  <si>
    <t>ORD10156</t>
  </si>
  <si>
    <t>ORD10115</t>
  </si>
  <si>
    <t>ORD13096</t>
  </si>
  <si>
    <t>ORD13139</t>
  </si>
  <si>
    <t>ORD12487</t>
  </si>
  <si>
    <t>ORD13753</t>
  </si>
  <si>
    <t>ORD11461</t>
  </si>
  <si>
    <t>ORD13741</t>
  </si>
  <si>
    <t>ORD12977</t>
  </si>
  <si>
    <t>ORD13500</t>
  </si>
  <si>
    <t>ORD10771</t>
  </si>
  <si>
    <t>ORD11640</t>
  </si>
  <si>
    <t>ORD10575</t>
  </si>
  <si>
    <t>ORD11205</t>
  </si>
  <si>
    <t>ORD11784</t>
  </si>
  <si>
    <t>ORD11494</t>
  </si>
  <si>
    <t>ORD12918</t>
  </si>
  <si>
    <t>ORD12818</t>
  </si>
  <si>
    <t>ORD11074</t>
  </si>
  <si>
    <t>ORD10460</t>
  </si>
  <si>
    <t>ORD11297</t>
  </si>
  <si>
    <t>ORD11234</t>
  </si>
  <si>
    <t>ORD13767</t>
  </si>
  <si>
    <t>ORD10441</t>
  </si>
  <si>
    <t>ORD12061</t>
  </si>
  <si>
    <t>ORD11323</t>
  </si>
  <si>
    <t>ORD12290</t>
  </si>
  <si>
    <t>ORD11954</t>
  </si>
  <si>
    <t>ORD12369</t>
  </si>
  <si>
    <t>ORD11555</t>
  </si>
  <si>
    <t>CUST1229</t>
  </si>
  <si>
    <t>Customer 229</t>
  </si>
  <si>
    <t>ORD13138</t>
  </si>
  <si>
    <t>ORD12115</t>
  </si>
  <si>
    <t>ORD12827</t>
  </si>
  <si>
    <t>ORD11827</t>
  </si>
  <si>
    <t>ORD12459</t>
  </si>
  <si>
    <t>ORD11527</t>
  </si>
  <si>
    <t>CUST1160</t>
  </si>
  <si>
    <t>Customer 160</t>
  </si>
  <si>
    <t>ORD11506</t>
  </si>
  <si>
    <t>ORD11651</t>
  </si>
  <si>
    <t>ORD10596</t>
  </si>
  <si>
    <t>ORD10133</t>
  </si>
  <si>
    <t>ORD13953</t>
  </si>
  <si>
    <t>ORD10920</t>
  </si>
  <si>
    <t>ORD13123</t>
  </si>
  <si>
    <t>ORD10294</t>
  </si>
  <si>
    <t>ORD12626</t>
  </si>
  <si>
    <t>ORD10477</t>
  </si>
  <si>
    <t>ORD12534</t>
  </si>
  <si>
    <t>CUST1086</t>
  </si>
  <si>
    <t>Customer 086</t>
  </si>
  <si>
    <t>ORD10332</t>
  </si>
  <si>
    <t>ORD13650</t>
  </si>
  <si>
    <t>ORD12328</t>
  </si>
  <si>
    <t>ORD12162</t>
  </si>
  <si>
    <t>ORD11231</t>
  </si>
  <si>
    <t>ORD12224</t>
  </si>
  <si>
    <t>ORD10038</t>
  </si>
  <si>
    <t>ORD11912</t>
  </si>
  <si>
    <t>ORD13361</t>
  </si>
  <si>
    <t>ORD13493</t>
  </si>
  <si>
    <t>ORD12477</t>
  </si>
  <si>
    <t>ORD13082</t>
  </si>
  <si>
    <t>ORD12404</t>
  </si>
  <si>
    <t>ORD11153</t>
  </si>
  <si>
    <t>ORD10052</t>
  </si>
  <si>
    <t>ORD10609</t>
  </si>
  <si>
    <t>CUST1484</t>
  </si>
  <si>
    <t>Customer 484</t>
  </si>
  <si>
    <t>ORD10620</t>
  </si>
  <si>
    <t>ORD10878</t>
  </si>
  <si>
    <t>ORD11808</t>
  </si>
  <si>
    <t>ORD12421</t>
  </si>
  <si>
    <t>ORD10580</t>
  </si>
  <si>
    <t>ORD12899</t>
  </si>
  <si>
    <t>ORD10079</t>
  </si>
  <si>
    <t>ORD13722</t>
  </si>
  <si>
    <t>ORD12981</t>
  </si>
  <si>
    <t>ORD13835</t>
  </si>
  <si>
    <t>ORD11371</t>
  </si>
  <si>
    <t>ORD11657</t>
  </si>
  <si>
    <t>ORD13028</t>
  </si>
  <si>
    <t>ORD10727</t>
  </si>
  <si>
    <t>ORD13818</t>
  </si>
  <si>
    <t>ORD10168</t>
  </si>
  <si>
    <t>ORD11495</t>
  </si>
  <si>
    <t>ORD10116</t>
  </si>
  <si>
    <t>ORD13201</t>
  </si>
  <si>
    <t>ORD10818</t>
  </si>
  <si>
    <t>ORD13104</t>
  </si>
  <si>
    <t>ORD11522</t>
  </si>
  <si>
    <t>ORD11647</t>
  </si>
  <si>
    <t>ORD10034</t>
  </si>
  <si>
    <t>ORD11646</t>
  </si>
  <si>
    <t>ORD10103</t>
  </si>
  <si>
    <t>ORD13583</t>
  </si>
  <si>
    <t>ORD13858</t>
  </si>
  <si>
    <t>CUST1010</t>
  </si>
  <si>
    <t>Customer 010</t>
  </si>
  <si>
    <t>ORD12034</t>
  </si>
  <si>
    <t>ORD10192</t>
  </si>
  <si>
    <t>ORD10048</t>
  </si>
  <si>
    <t>ORD11035</t>
  </si>
  <si>
    <t>ORD13657</t>
  </si>
  <si>
    <t>ORD12872</t>
  </si>
  <si>
    <t>ORD12346</t>
  </si>
  <si>
    <t>ORD10185</t>
  </si>
  <si>
    <t>ORD10128</t>
  </si>
  <si>
    <t>ORD12167</t>
  </si>
  <si>
    <t>ORD10218</t>
  </si>
  <si>
    <t>ORD10159</t>
  </si>
  <si>
    <t>ORD11846</t>
  </si>
  <si>
    <t>ORD10121</t>
  </si>
  <si>
    <t>ORD12601</t>
  </si>
  <si>
    <t>ORD12053</t>
  </si>
  <si>
    <t>ORD11787</t>
  </si>
  <si>
    <t>ORD13526</t>
  </si>
  <si>
    <t>ORD10688</t>
  </si>
  <si>
    <t>ORD13413</t>
  </si>
  <si>
    <t>ORD12804</t>
  </si>
  <si>
    <t>ORD13530</t>
  </si>
  <si>
    <t>ORD13280</t>
  </si>
  <si>
    <t>ORD11681</t>
  </si>
  <si>
    <t>ORD10647</t>
  </si>
  <si>
    <t>ORD10692</t>
  </si>
  <si>
    <t>ORD13087</t>
  </si>
  <si>
    <t>ORD10585</t>
  </si>
  <si>
    <t>ORD10465</t>
  </si>
  <si>
    <t>ORD12279</t>
  </si>
  <si>
    <t>ORD12078</t>
  </si>
  <si>
    <t>ORD11791</t>
  </si>
  <si>
    <t>ORD10062</t>
  </si>
  <si>
    <t>ORD12204</t>
  </si>
  <si>
    <t>ORD13579</t>
  </si>
  <si>
    <t>ORD13590</t>
  </si>
  <si>
    <t>ORD13987</t>
  </si>
  <si>
    <t>ORD12852</t>
  </si>
  <si>
    <t>ORD10019</t>
  </si>
  <si>
    <t>ORD12415</t>
  </si>
  <si>
    <t>ORD12261</t>
  </si>
  <si>
    <t>ORD11370</t>
  </si>
  <si>
    <t>ORD13501</t>
  </si>
  <si>
    <t>ORD12295</t>
  </si>
  <si>
    <t>ORD13738</t>
  </si>
  <si>
    <t>ORD13401</t>
  </si>
  <si>
    <t>ORD12951</t>
  </si>
  <si>
    <t>ORD13560</t>
  </si>
  <si>
    <t>ORD10975</t>
  </si>
  <si>
    <t>ORD10125</t>
  </si>
  <si>
    <t>ORD10152</t>
  </si>
  <si>
    <t>ORD12897</t>
  </si>
  <si>
    <t>ORD11672</t>
  </si>
  <si>
    <t>ORD11345</t>
  </si>
  <si>
    <t>CUST1094</t>
  </si>
  <si>
    <t>Customer 094</t>
  </si>
  <si>
    <t>ORD10110</t>
  </si>
  <si>
    <t>ORD12614</t>
  </si>
  <si>
    <t>ORD10858</t>
  </si>
  <si>
    <t>ORD13719</t>
  </si>
  <si>
    <t>CUST1342</t>
  </si>
  <si>
    <t>Customer 342</t>
  </si>
  <si>
    <t>ORD12712</t>
  </si>
  <si>
    <t>ORD10246</t>
  </si>
  <si>
    <t>ORD12342</t>
  </si>
  <si>
    <t>ORD13037</t>
  </si>
  <si>
    <t>ORD10927</t>
  </si>
  <si>
    <t>ORD12175</t>
  </si>
  <si>
    <t>ORD11828</t>
  </si>
  <si>
    <t>ORD10950</t>
  </si>
  <si>
    <t>ORD11804</t>
  </si>
  <si>
    <t>ORD12944</t>
  </si>
  <si>
    <t>ORD10775</t>
  </si>
  <si>
    <t>ORD10573</t>
  </si>
  <si>
    <t>ORD10909</t>
  </si>
  <si>
    <t>ORD10230</t>
  </si>
  <si>
    <t>ORD10289</t>
  </si>
  <si>
    <t>ORD11939</t>
  </si>
  <si>
    <t>ORD13882</t>
  </si>
  <si>
    <t>ORD10550</t>
  </si>
  <si>
    <t>ORD10869</t>
  </si>
  <si>
    <t>ORD10529</t>
  </si>
  <si>
    <t>ORD10310</t>
  </si>
  <si>
    <t>ORD10171</t>
  </si>
  <si>
    <t>ORD13093</t>
  </si>
  <si>
    <t>ORD11745</t>
  </si>
  <si>
    <t>ORD10846</t>
  </si>
  <si>
    <t>ORD12580</t>
  </si>
  <si>
    <t>ORD10259</t>
  </si>
  <si>
    <t>ORD13224</t>
  </si>
  <si>
    <t>ORD10973</t>
  </si>
  <si>
    <t>ORD10776</t>
  </si>
  <si>
    <t>ORD11771</t>
  </si>
  <si>
    <t>ORD13244</t>
  </si>
  <si>
    <t>ORD12627</t>
  </si>
  <si>
    <t>ORD13726</t>
  </si>
  <si>
    <t>ORD12082</t>
  </si>
  <si>
    <t>ORD11824</t>
  </si>
  <si>
    <t>CUST1439</t>
  </si>
  <si>
    <t>Customer 439</t>
  </si>
  <si>
    <t>ORD13111</t>
  </si>
  <si>
    <t>ORD11238</t>
  </si>
  <si>
    <t>ORD11853</t>
  </si>
  <si>
    <t>ORD13364</t>
  </si>
  <si>
    <t>ORD10365</t>
  </si>
  <si>
    <t>ORD13287</t>
  </si>
  <si>
    <t>ORD10799</t>
  </si>
  <si>
    <t>ORD11631</t>
  </si>
  <si>
    <t>ORD13284</t>
  </si>
  <si>
    <t>ORD13733</t>
  </si>
  <si>
    <t>ORD10496</t>
  </si>
  <si>
    <t>ORD12889</t>
  </si>
  <si>
    <t>ORD13919</t>
  </si>
  <si>
    <t>ORD10518</t>
  </si>
  <si>
    <t>ORD12988</t>
  </si>
  <si>
    <t>ORD10673</t>
  </si>
  <si>
    <t>ORD12855</t>
  </si>
  <si>
    <t>ORD10013</t>
  </si>
  <si>
    <t>ORD10838</t>
  </si>
  <si>
    <t>ORD11837</t>
  </si>
  <si>
    <t>ORD12280</t>
  </si>
  <si>
    <t>ORD11590</t>
  </si>
  <si>
    <t>ORD11860</t>
  </si>
  <si>
    <t>ORD13424</t>
  </si>
  <si>
    <t>ORD10584</t>
  </si>
  <si>
    <t>ORD11684</t>
  </si>
  <si>
    <t>ORD11572</t>
  </si>
  <si>
    <t>ORD11790</t>
  </si>
  <si>
    <t>CUST1377</t>
  </si>
  <si>
    <t>Customer 377</t>
  </si>
  <si>
    <t>ORD12373</t>
  </si>
  <si>
    <t>ORD11129</t>
  </si>
  <si>
    <t>ORD13331</t>
  </si>
  <si>
    <t>ORD12630</t>
  </si>
  <si>
    <t>ORD13462</t>
  </si>
  <si>
    <t>ORD10032</t>
  </si>
  <si>
    <t>ORD13285</t>
  </si>
  <si>
    <t>ORD13006</t>
  </si>
  <si>
    <t>ORD10589</t>
  </si>
  <si>
    <t>ORD12665</t>
  </si>
  <si>
    <t>ORD11417</t>
  </si>
  <si>
    <t>ORD10581</t>
  </si>
  <si>
    <t>ORD13636</t>
  </si>
  <si>
    <t>ORD11923</t>
  </si>
  <si>
    <t>ORD11750</t>
  </si>
  <si>
    <t>ORD12240</t>
  </si>
  <si>
    <t>ORD11217</t>
  </si>
  <si>
    <t>ORD12260</t>
  </si>
  <si>
    <t>ORD13013</t>
  </si>
  <si>
    <t>ORD11818</t>
  </si>
  <si>
    <t>ORD13933</t>
  </si>
  <si>
    <t>ORD11520</t>
  </si>
  <si>
    <t>ORD10784</t>
  </si>
  <si>
    <t>ORD13708</t>
  </si>
  <si>
    <t>ORD11579</t>
  </si>
  <si>
    <t>ORD11951</t>
  </si>
  <si>
    <t>ORD10317</t>
  </si>
  <si>
    <t>ORD11867</t>
  </si>
  <si>
    <t>ORD10450</t>
  </si>
  <si>
    <t>ORD13212</t>
  </si>
  <si>
    <t>ORD12694</t>
  </si>
  <si>
    <t>ORD12431</t>
  </si>
  <si>
    <t>ORD10618</t>
  </si>
  <si>
    <t>ORD10764</t>
  </si>
  <si>
    <t>ORD11699</t>
  </si>
  <si>
    <t>ORD11106</t>
  </si>
  <si>
    <t>ORD11662</t>
  </si>
  <si>
    <t>CUST1306</t>
  </si>
  <si>
    <t>Customer 306</t>
  </si>
  <si>
    <t>ORD13899</t>
  </si>
  <si>
    <t>ORD12957</t>
  </si>
  <si>
    <t>ORD10590</t>
  </si>
  <si>
    <t>ORD12696</t>
  </si>
  <si>
    <t>ORD13046</t>
  </si>
  <si>
    <t>ORD11497</t>
  </si>
  <si>
    <t>ORD13910</t>
  </si>
  <si>
    <t>ORD11669</t>
  </si>
  <si>
    <t>ORD10442</t>
  </si>
  <si>
    <t>ORD13267</t>
  </si>
  <si>
    <t>ORD12210</t>
  </si>
  <si>
    <t>ORD13764</t>
  </si>
  <si>
    <t>ORD10158</t>
  </si>
  <si>
    <t>ORD11455</t>
  </si>
  <si>
    <t>ORD13105</t>
  </si>
  <si>
    <t>ORD10560</t>
  </si>
  <si>
    <t>ORD13533</t>
  </si>
  <si>
    <t>ORD13820</t>
  </si>
  <si>
    <t>ORD10680</t>
  </si>
  <si>
    <t>ORD10689</t>
  </si>
  <si>
    <t>ORD11683</t>
  </si>
  <si>
    <t>ORD13686</t>
  </si>
  <si>
    <t>ORD12449</t>
  </si>
  <si>
    <t>ORD10674</t>
  </si>
  <si>
    <t>ORD10098</t>
  </si>
  <si>
    <t>ORD12461</t>
  </si>
  <si>
    <t>ORD13357</t>
  </si>
  <si>
    <t>ORD12834</t>
  </si>
  <si>
    <t>ORD11115</t>
  </si>
  <si>
    <t>ORD11900</t>
  </si>
  <si>
    <t>ORD13606</t>
  </si>
  <si>
    <t>ORD13857</t>
  </si>
  <si>
    <t>ORD12051</t>
  </si>
  <si>
    <t>ORD13278</t>
  </si>
  <si>
    <t>ORD11946</t>
  </si>
  <si>
    <t>ORD13426</t>
  </si>
  <si>
    <t>ORD11481</t>
  </si>
  <si>
    <t>ORD12018</t>
  </si>
  <si>
    <t>ORD11709</t>
  </si>
  <si>
    <t>ORD12543</t>
  </si>
  <si>
    <t>CUST1479</t>
  </si>
  <si>
    <t>Customer 479</t>
  </si>
  <si>
    <t>ORD13843</t>
  </si>
  <si>
    <t>ORD11279</t>
  </si>
  <si>
    <t>ORD11099</t>
  </si>
  <si>
    <t>ORD10947</t>
  </si>
  <si>
    <t>ORD10686</t>
  </si>
  <si>
    <t>ORD11287</t>
  </si>
  <si>
    <t>ORD10991</t>
  </si>
  <si>
    <t>ORD12093</t>
  </si>
  <si>
    <t>ORD12661</t>
  </si>
  <si>
    <t>ORD10752</t>
  </si>
  <si>
    <t>ORD12101</t>
  </si>
  <si>
    <t>ORD10671</t>
  </si>
  <si>
    <t>ORD10905</t>
  </si>
  <si>
    <t>ORD12434</t>
  </si>
  <si>
    <t>ORD10729</t>
  </si>
  <si>
    <t>ORD12030</t>
  </si>
  <si>
    <t>ORD13654</t>
  </si>
  <si>
    <t>ORD13859</t>
  </si>
  <si>
    <t>ORD10130</t>
  </si>
  <si>
    <t>ORD13443</t>
  </si>
  <si>
    <t>ORD10376</t>
  </si>
  <si>
    <t>ORD11183</t>
  </si>
  <si>
    <t>ORD11306</t>
  </si>
  <si>
    <t>ORD11229</t>
  </si>
  <si>
    <t>ORD10224</t>
  </si>
  <si>
    <t>ORD13151</t>
  </si>
  <si>
    <t>ORD12533</t>
  </si>
  <si>
    <t>ORD13386</t>
  </si>
  <si>
    <t>ORD11658</t>
  </si>
  <si>
    <t>CUST1437</t>
  </si>
  <si>
    <t>Customer 437</t>
  </si>
  <si>
    <t>ORD13054</t>
  </si>
  <si>
    <t>CUST1179</t>
  </si>
  <si>
    <t>Customer 179</t>
  </si>
  <si>
    <t>ORD11734</t>
  </si>
  <si>
    <t>ORD11117</t>
  </si>
  <si>
    <t>ORD13127</t>
  </si>
  <si>
    <t>ORD11696</t>
  </si>
  <si>
    <t>ORD11892</t>
  </si>
  <si>
    <t>ORD11167</t>
  </si>
  <si>
    <t>ORD10852</t>
  </si>
  <si>
    <t>ORD13633</t>
  </si>
  <si>
    <t>ORD13819</t>
  </si>
  <si>
    <t>ORD10303</t>
  </si>
  <si>
    <t>ORD12238</t>
  </si>
  <si>
    <t>ORD12037</t>
  </si>
  <si>
    <t>ORD12020</t>
  </si>
  <si>
    <t>ORD11861</t>
  </si>
  <si>
    <t>ORD13617</t>
  </si>
  <si>
    <t>ORD11959</t>
  </si>
  <si>
    <t>ORD10631</t>
  </si>
  <si>
    <t>ORD10304</t>
  </si>
  <si>
    <t>ORD10472</t>
  </si>
  <si>
    <t>ORD10786</t>
  </si>
  <si>
    <t>CUST1295</t>
  </si>
  <si>
    <t>Customer 295</t>
  </si>
  <si>
    <t>ORD14000</t>
  </si>
  <si>
    <t>ORD10024</t>
  </si>
  <si>
    <t>ORD12288</t>
  </si>
  <si>
    <t>ORD13254</t>
  </si>
  <si>
    <t>ORD10661</t>
  </si>
  <si>
    <t>ORD10500</t>
  </si>
  <si>
    <t>ORD13059</t>
  </si>
  <si>
    <t>ORD12397</t>
  </si>
  <si>
    <t>ORD10954</t>
  </si>
  <si>
    <t>CUST1214</t>
  </si>
  <si>
    <t>Customer 214</t>
  </si>
  <si>
    <t>ORD13631</t>
  </si>
  <si>
    <t>ORD12843</t>
  </si>
  <si>
    <t>ORD11545</t>
  </si>
  <si>
    <t>ORD11180</t>
  </si>
  <si>
    <t>ORD11589</t>
  </si>
  <si>
    <t>ORD11895</t>
  </si>
  <si>
    <t>ORD12181</t>
  </si>
  <si>
    <t>ORD11632</t>
  </si>
  <si>
    <t>ORD10562</t>
  </si>
  <si>
    <t>ORD12432</t>
  </si>
  <si>
    <t>ORD11415</t>
  </si>
  <si>
    <t>ORD11963</t>
  </si>
  <si>
    <t>ORD10227</t>
  </si>
  <si>
    <t>ORD12140</t>
  </si>
  <si>
    <t>ORD11015</t>
  </si>
  <si>
    <t>ORD12638</t>
  </si>
  <si>
    <t>ORD11381</t>
  </si>
  <si>
    <t>ORD11783</t>
  </si>
  <si>
    <t>ORD13645</t>
  </si>
  <si>
    <t>ORD13948</t>
  </si>
  <si>
    <t>ORD10720</t>
  </si>
  <si>
    <t>ORD11546</t>
  </si>
  <si>
    <t>ORD10516</t>
  </si>
  <si>
    <t>ORD11906</t>
  </si>
  <si>
    <t>ORD13165</t>
  </si>
  <si>
    <t>ORD10273</t>
  </si>
  <si>
    <t>ORD12887</t>
  </si>
  <si>
    <t>ORD10387</t>
  </si>
  <si>
    <t>ORD11858</t>
  </si>
  <si>
    <t>ORD11780</t>
  </si>
  <si>
    <t>CUST1343</t>
  </si>
  <si>
    <t>Customer 343</t>
  </si>
  <si>
    <t>ORD13549</t>
  </si>
  <si>
    <t>ORD12362</t>
  </si>
  <si>
    <t>ORD11285</t>
  </si>
  <si>
    <t>CUST1191</t>
  </si>
  <si>
    <t>Customer 191</t>
  </si>
  <si>
    <t>ORD10577</t>
  </si>
  <si>
    <t>ORD10407</t>
  </si>
  <si>
    <t>ORD13550</t>
  </si>
  <si>
    <t>ORD10650</t>
  </si>
  <si>
    <t>ORD10359</t>
  </si>
  <si>
    <t>ORD13980</t>
  </si>
  <si>
    <t>ORD12698</t>
  </si>
  <si>
    <t>ORD11348</t>
  </si>
  <si>
    <t>ORD10150</t>
  </si>
  <si>
    <t>ORD13651</t>
  </si>
  <si>
    <t>ORD11342</t>
  </si>
  <si>
    <t>ORD13160</t>
  </si>
  <si>
    <t>ORD10358</t>
  </si>
  <si>
    <t>ORD12214</t>
  </si>
  <si>
    <t>ORD12579</t>
  </si>
  <si>
    <t>ORD10135</t>
  </si>
  <si>
    <t>ORD11398</t>
  </si>
  <si>
    <t>ORD11595</t>
  </si>
  <si>
    <t>ORD13527</t>
  </si>
  <si>
    <t>ORD10141</t>
  </si>
  <si>
    <t>ORD12893</t>
  </si>
  <si>
    <t>ORD12645</t>
  </si>
  <si>
    <t>ORD12372</t>
  </si>
  <si>
    <t>ORD11169</t>
  </si>
  <si>
    <t>ORD12218</t>
  </si>
  <si>
    <t>ORD11496</t>
  </si>
  <si>
    <t>ORD12056</t>
  </si>
  <si>
    <t>ORD11171</t>
  </si>
  <si>
    <t>ORD11840</t>
  </si>
  <si>
    <t>ORD11260</t>
  </si>
  <si>
    <t>ORD12633</t>
  </si>
  <si>
    <t>ORD11367</t>
  </si>
  <si>
    <t>ORD13954</t>
  </si>
  <si>
    <t>ORD10960</t>
  </si>
  <si>
    <t>ORD12782</t>
  </si>
  <si>
    <t>ORD11854</t>
  </si>
  <si>
    <t>ORD10471</t>
  </si>
  <si>
    <t>ORD13510</t>
  </si>
  <si>
    <t>ORD12137</t>
  </si>
  <si>
    <t>ORD12920</t>
  </si>
  <si>
    <t>ORD12849</t>
  </si>
  <si>
    <t>ORD11166</t>
  </si>
  <si>
    <t>ORD10612</t>
  </si>
  <si>
    <t>ORD12337</t>
  </si>
  <si>
    <t>ORD12663</t>
  </si>
  <si>
    <t>ORD12529</t>
  </si>
  <si>
    <t>ORD11355</t>
  </si>
  <si>
    <t>ORD10275</t>
  </si>
  <si>
    <t>ORD12467</t>
  </si>
  <si>
    <t>ORD10593</t>
  </si>
  <si>
    <t>ORD12289</t>
  </si>
  <si>
    <t>ORD13083</t>
  </si>
  <si>
    <t>ORD10955</t>
  </si>
  <si>
    <t>ORD10998</t>
  </si>
  <si>
    <t>ORD11978</t>
  </si>
  <si>
    <t>ORD13538</t>
  </si>
  <si>
    <t>ORD11573</t>
  </si>
  <si>
    <t>ORD11324</t>
  </si>
  <si>
    <t>ORD12331</t>
  </si>
  <si>
    <t>ORD12064</t>
  </si>
  <si>
    <t>ORD11842</t>
  </si>
  <si>
    <t>ORD13865</t>
  </si>
  <si>
    <t>ORD12873</t>
  </si>
  <si>
    <t>ORD11720</t>
  </si>
  <si>
    <t>ORD10242</t>
  </si>
  <si>
    <t>ORD10205</t>
  </si>
  <si>
    <t>ORD12489</t>
  </si>
  <si>
    <t>ORD11917</t>
  </si>
  <si>
    <t>ORD12151</t>
  </si>
  <si>
    <t>ORD13283</t>
  </si>
  <si>
    <t>ORD10068</t>
  </si>
  <si>
    <t>ORD12724</t>
  </si>
  <si>
    <t>ORD12896</t>
  </si>
  <si>
    <t>ORD10855</t>
  </si>
  <si>
    <t>ORD13811</t>
  </si>
  <si>
    <t>ORD12443</t>
  </si>
  <si>
    <t>ORD13734</t>
  </si>
  <si>
    <t>ORD13005</t>
  </si>
  <si>
    <t>ORD13289</t>
  </si>
  <si>
    <t>ORD12573</t>
  </si>
  <si>
    <t>ORD13578</t>
  </si>
  <si>
    <t>ORD10203</t>
  </si>
  <si>
    <t>ORD13634</t>
  </si>
  <si>
    <t>ORD10272</t>
  </si>
  <si>
    <t>ORD11623</t>
  </si>
  <si>
    <t>ORD11650</t>
  </si>
  <si>
    <t>ORD10105</t>
  </si>
  <si>
    <t>ORD12997</t>
  </si>
  <si>
    <t>ORD12025</t>
  </si>
  <si>
    <t>CUST1037</t>
  </si>
  <si>
    <t>Customer 037</t>
  </si>
  <si>
    <t>ORD12531</t>
  </si>
  <si>
    <t>ORD11643</t>
  </si>
  <si>
    <t>ORD13990</t>
  </si>
  <si>
    <t>ORD11594</t>
  </si>
  <si>
    <t>ORD13438</t>
  </si>
  <si>
    <t>ORD11383</t>
  </si>
  <si>
    <t>ORD11332</t>
  </si>
  <si>
    <t>ORD10628</t>
  </si>
  <si>
    <t>ORD13188</t>
  </si>
  <si>
    <t>ORD10037</t>
  </si>
  <si>
    <t>ORD11150</t>
  </si>
  <si>
    <t>ORD12347</t>
  </si>
  <si>
    <t>ORD10933</t>
  </si>
  <si>
    <t>ORD13773</t>
  </si>
  <si>
    <t>ORD11896</t>
  </si>
  <si>
    <t>ORD13355</t>
  </si>
  <si>
    <t>ORD13031</t>
  </si>
  <si>
    <t>ORD12526</t>
  </si>
  <si>
    <t>ORD11823</t>
  </si>
  <si>
    <t>ORD11777</t>
  </si>
  <si>
    <t>ORD10362</t>
  </si>
  <si>
    <t>ORD11006</t>
  </si>
  <si>
    <t>ORD13897</t>
  </si>
  <si>
    <t>ORD12829</t>
  </si>
  <si>
    <t>ORD13570</t>
  </si>
  <si>
    <t>ORD10865</t>
  </si>
  <si>
    <t>ORD12299</t>
  </si>
  <si>
    <t>ORD11756</t>
  </si>
  <si>
    <t>ORD10352</t>
  </si>
  <si>
    <t>ORD10839</t>
  </si>
  <si>
    <t>ORD13071</t>
  </si>
  <si>
    <t>ORD10583</t>
  </si>
  <si>
    <t>ORD13743</t>
  </si>
  <si>
    <t>ORD12250</t>
  </si>
  <si>
    <t>ORD13699</t>
  </si>
  <si>
    <t>ORD13775</t>
  </si>
  <si>
    <t>ORD13535</t>
  </si>
  <si>
    <t>ORD10760</t>
  </si>
  <si>
    <t>ORD11460</t>
  </si>
  <si>
    <t>ORD13800</t>
  </si>
  <si>
    <t>ORD12399</t>
  </si>
  <si>
    <t>ORD12205</t>
  </si>
  <si>
    <t>ORD12010</t>
  </si>
  <si>
    <t>ORD10251</t>
  </si>
  <si>
    <t>ORD11536</t>
  </si>
  <si>
    <t>ORD13480</t>
  </si>
  <si>
    <t>ORD12513</t>
  </si>
  <si>
    <t>ORD10985</t>
  </si>
  <si>
    <t>ORD10182</t>
  </si>
  <si>
    <t>ORD10226</t>
  </si>
  <si>
    <t>ORD13566</t>
  </si>
  <si>
    <t>ORD13949</t>
  </si>
  <si>
    <t>ORD13795</t>
  </si>
  <si>
    <t>ORD12915</t>
  </si>
  <si>
    <t>ORD11369</t>
  </si>
  <si>
    <t>ORD13506</t>
  </si>
  <si>
    <t>ORD11943</t>
  </si>
  <si>
    <t>ORD12253</t>
  </si>
  <si>
    <t>ORD12743</t>
  </si>
  <si>
    <t>ORD10178</t>
  </si>
  <si>
    <t>ORD13259</t>
  </si>
  <si>
    <t>ORD13864</t>
  </si>
  <si>
    <t>ORD10146</t>
  </si>
  <si>
    <t>ORD10525</t>
  </si>
  <si>
    <t>ORD12921</t>
  </si>
  <si>
    <t>ORD11578</t>
  </si>
  <si>
    <t>ORD12265</t>
  </si>
  <si>
    <t>ORD10601</t>
  </si>
  <si>
    <t>ORD13593</t>
  </si>
  <si>
    <t>ORD12877</t>
  </si>
  <si>
    <t>ORD10162</t>
  </si>
  <si>
    <t>ORD10322</t>
  </si>
  <si>
    <t>ORD13294</t>
  </si>
  <si>
    <t>ORD12440</t>
  </si>
  <si>
    <t>ORD12355</t>
  </si>
  <si>
    <t>ORD10997</t>
  </si>
  <si>
    <t>ORD10970</t>
  </si>
  <si>
    <t>ORD12268</t>
  </si>
  <si>
    <t>ORD12448</t>
  </si>
  <si>
    <t>ORD11239</t>
  </si>
  <si>
    <t>ORD13653</t>
  </si>
  <si>
    <t>ORD12715</t>
  </si>
  <si>
    <t>ORD12130</t>
  </si>
  <si>
    <t>ORD13941</t>
  </si>
  <si>
    <t>ORD11094</t>
  </si>
  <si>
    <t>ORD12876</t>
  </si>
  <si>
    <t>ORD10225</t>
  </si>
  <si>
    <t>ORD11476</t>
  </si>
  <si>
    <t>ORD10209</t>
  </si>
  <si>
    <t>ORD13543</t>
  </si>
  <si>
    <t>ORD10731</t>
  </si>
  <si>
    <t>ORD10282</t>
  </si>
  <si>
    <t>ORD12559</t>
  </si>
  <si>
    <t>ORD11484</t>
  </si>
  <si>
    <t>ORD12468</t>
  </si>
  <si>
    <t>ORD13149</t>
  </si>
  <si>
    <t>ORD13515</t>
  </si>
  <si>
    <t>ORD10389</t>
  </si>
  <si>
    <t>ORD12850</t>
  </si>
  <si>
    <t>ORD12330</t>
  </si>
  <si>
    <t>ORD13150</t>
  </si>
  <si>
    <t>ORD13084</t>
  </si>
  <si>
    <t>ORD11569</t>
  </si>
  <si>
    <t>ORD12417</t>
  </si>
  <si>
    <t>ORD13226</t>
  </si>
  <si>
    <t>ORD13528</t>
  </si>
  <si>
    <t>ORD13058</t>
  </si>
  <si>
    <t>ORD10323</t>
  </si>
  <si>
    <t>ORD11985</t>
  </si>
  <si>
    <t>ORD11328</t>
  </si>
  <si>
    <t>ORD12588</t>
  </si>
  <si>
    <t>ORD11511</t>
  </si>
  <si>
    <t>ORD10083</t>
  </si>
  <si>
    <t>ORD11121</t>
  </si>
  <si>
    <t>ORD11405</t>
  </si>
  <si>
    <t>ORD12088</t>
  </si>
  <si>
    <t>ORD10215</t>
  </si>
  <si>
    <t>ORD10767</t>
  </si>
  <si>
    <t>ORD13129</t>
  </si>
  <si>
    <t>ORD10199</t>
  </si>
  <si>
    <t>ORD12123</t>
  </si>
  <si>
    <t>ORD13477</t>
  </si>
  <si>
    <t>ORD13498</t>
  </si>
  <si>
    <t>ORD13735</t>
  </si>
  <si>
    <t>ORD13133</t>
  </si>
  <si>
    <t>ORD13177</t>
  </si>
  <si>
    <t>ORD12894</t>
  </si>
  <si>
    <t>ORD11737</t>
  </si>
  <si>
    <t>ORD13646</t>
  </si>
  <si>
    <t>ORD11122</t>
  </si>
  <si>
    <t>ORD12691</t>
  </si>
  <si>
    <t>ORD10945</t>
  </si>
  <si>
    <t>ORD10057</t>
  </si>
  <si>
    <t>ORD12106</t>
  </si>
  <si>
    <t>ORD12690</t>
  </si>
  <si>
    <t>ORD10114</t>
  </si>
  <si>
    <t>ORD11614</t>
  </si>
  <si>
    <t>CUST1347</t>
  </si>
  <si>
    <t>Customer 347</t>
  </si>
  <si>
    <t>ORD12207</t>
  </si>
  <si>
    <t>ORD11095</t>
  </si>
  <si>
    <t>ORD13455</t>
  </si>
  <si>
    <t>ORD13467</t>
  </si>
  <si>
    <t>ORD11003</t>
  </si>
  <si>
    <t>ORD13961</t>
  </si>
  <si>
    <t>ORD13074</t>
  </si>
  <si>
    <t>ORD10424</t>
  </si>
  <si>
    <t>ORD10054</t>
  </si>
  <si>
    <t>ORD11638</t>
  </si>
  <si>
    <t>ORD11987</t>
  </si>
  <si>
    <t>ORD13643</t>
  </si>
  <si>
    <t>ORD12613</t>
  </si>
  <si>
    <t>ORD12593</t>
  </si>
  <si>
    <t>ORD13216</t>
  </si>
  <si>
    <t>CUST1133</t>
  </si>
  <si>
    <t>Customer 133</t>
  </si>
  <si>
    <t>ORD11244</t>
  </si>
  <si>
    <t>ORD12625</t>
  </si>
  <si>
    <t>ORD11198</t>
  </si>
  <si>
    <t>ORD12107</t>
  </si>
  <si>
    <t>ORD10715</t>
  </si>
  <si>
    <t>ORD11874</t>
  </si>
  <si>
    <t>ORD10713</t>
  </si>
  <si>
    <t>ORD13999</t>
  </si>
  <si>
    <t>ORD13769</t>
  </si>
  <si>
    <t>ORD13264</t>
  </si>
  <si>
    <t>ORD10393</t>
  </si>
  <si>
    <t>ORD10233</t>
  </si>
  <si>
    <t>ORD12389</t>
  </si>
  <si>
    <t>ORD12950</t>
  </si>
  <si>
    <t>ORD13136</t>
  </si>
  <si>
    <t>ORD11678</t>
  </si>
  <si>
    <t>ORD11047</t>
  </si>
  <si>
    <t>ORD10200</t>
  </si>
  <si>
    <t>ORD12180</t>
  </si>
  <si>
    <t>ORD11132</t>
  </si>
  <si>
    <t>ORD11871</t>
  </si>
  <si>
    <t>ORD13019</t>
  </si>
  <si>
    <t>ORD12739</t>
  </si>
  <si>
    <t>ORD11418</t>
  </si>
  <si>
    <t>ORD13319</t>
  </si>
  <si>
    <t>ORD10155</t>
  </si>
  <si>
    <t>ORD12232</t>
  </si>
  <si>
    <t>ORD12585</t>
  </si>
  <si>
    <t>ORD10640</t>
  </si>
  <si>
    <t>ORD11434</t>
  </si>
  <si>
    <t>ORD12952</t>
  </si>
  <si>
    <t>ORD10570</t>
  </si>
  <si>
    <t>ORD13182</t>
  </si>
  <si>
    <t>ORD13494</t>
  </si>
  <si>
    <t>ORD11454</t>
  </si>
  <si>
    <t>ORD11051</t>
  </si>
  <si>
    <t>ORD11216</t>
  </si>
  <si>
    <t>ORD13682</t>
  </si>
  <si>
    <t>CUST1017</t>
  </si>
  <si>
    <t>Customer 017</t>
  </si>
  <si>
    <t>ORD10327</t>
  </si>
  <si>
    <t>ORD10751</t>
  </si>
  <si>
    <t>ORD12229</t>
  </si>
  <si>
    <t>ORD10907</t>
  </si>
  <si>
    <t>ORD13313</t>
  </si>
  <si>
    <t>ORD11857</t>
  </si>
  <si>
    <t>ORD10443</t>
  </si>
  <si>
    <t>ORD12759</t>
  </si>
  <si>
    <t>ORD11524</t>
  </si>
  <si>
    <t>ORD13950</t>
  </si>
  <si>
    <t>ORD11633</t>
  </si>
  <si>
    <t>ORD10774</t>
  </si>
  <si>
    <t>ORD13348</t>
  </si>
  <si>
    <t>ORD13484</t>
  </si>
  <si>
    <t>ORD10611</t>
  </si>
  <si>
    <t>ORD10540</t>
  </si>
  <si>
    <t>ORD11930</t>
  </si>
  <si>
    <t>ORD13365</t>
  </si>
  <si>
    <t>ORD11346</t>
  </si>
  <si>
    <t>ORD13508</t>
  </si>
  <si>
    <t>CUST1406</t>
  </si>
  <si>
    <t>Customer 406</t>
  </si>
  <si>
    <t>ORD10402</t>
  </si>
  <si>
    <t>ORD10087</t>
  </si>
  <si>
    <t>ORD10675</t>
  </si>
  <si>
    <t>ORD13464</t>
  </si>
  <si>
    <t>ORD10522</t>
  </si>
  <si>
    <t>ORD11927</t>
  </si>
  <si>
    <t>ORD10235</t>
  </si>
  <si>
    <t>ORD13088</t>
  </si>
  <si>
    <t>ORD10473</t>
  </si>
  <si>
    <t>ORD12450</t>
  </si>
  <si>
    <t>ORD11738</t>
  </si>
  <si>
    <t>ORD13186</t>
  </si>
  <si>
    <t>ORD11400</t>
  </si>
  <si>
    <t>ORD10911</t>
  </si>
  <si>
    <t>ORD10347</t>
  </si>
  <si>
    <t>ORD12632</t>
  </si>
  <si>
    <t>ORD10338</t>
  </si>
  <si>
    <t>ORD12846</t>
  </si>
  <si>
    <t>ORD12437</t>
  </si>
  <si>
    <t>ORD12126</t>
  </si>
  <si>
    <t>ORD11109</t>
  </si>
  <si>
    <t>ORD11488</t>
  </si>
  <si>
    <t>ORD13607</t>
  </si>
  <si>
    <t>ORD10267</t>
  </si>
  <si>
    <t>ORD11271</t>
  </si>
  <si>
    <t>ORD12163</t>
  </si>
  <si>
    <t>ORD10107</t>
  </si>
  <si>
    <t>ORD12971</t>
  </si>
  <si>
    <t>ORD12686</t>
  </si>
  <si>
    <t>ORD10371</t>
  </si>
  <si>
    <t>ORD11321</t>
  </si>
  <si>
    <t>ORD12164</t>
  </si>
  <si>
    <t>ORD10248</t>
  </si>
  <si>
    <t>ORD13252</t>
  </si>
  <si>
    <t>ORD10354</t>
  </si>
  <si>
    <t>ORD11237</t>
  </si>
  <si>
    <t>ORD12943</t>
  </si>
  <si>
    <t>ORD12679</t>
  </si>
  <si>
    <t>ORD13863</t>
  </si>
  <si>
    <t>ORD13199</t>
  </si>
  <si>
    <t>ORD11256</t>
  </si>
  <si>
    <t>ORD13221</t>
  </si>
  <si>
    <t>ORD11030</t>
  </si>
  <si>
    <t>ORD13175</t>
  </si>
  <si>
    <t>ORD11742</t>
  </si>
  <si>
    <t>ORD10334</t>
  </si>
  <si>
    <t>ORD13529</t>
  </si>
  <si>
    <t>ORD13561</t>
  </si>
  <si>
    <t>ORD10082</t>
  </si>
  <si>
    <t>ORD13707</t>
  </si>
  <si>
    <t>ORD11092</t>
  </si>
  <si>
    <t>ORD11441</t>
  </si>
  <si>
    <t>ORD10762</t>
  </si>
  <si>
    <t>ORD10189</t>
  </si>
  <si>
    <t>ORD12788</t>
  </si>
  <si>
    <t>ORD13094</t>
  </si>
  <si>
    <t>ORD13482</t>
  </si>
  <si>
    <t>ORD12903</t>
  </si>
  <si>
    <t>ORD11903</t>
  </si>
  <si>
    <t>ORD13299</t>
  </si>
  <si>
    <t>ORD11562</t>
  </si>
  <si>
    <t>ORD13827</t>
  </si>
  <si>
    <t>ORD12189</t>
  </si>
  <si>
    <t>ORD10348</t>
  </si>
  <si>
    <t>ORD11580</t>
  </si>
  <si>
    <t>ORD10050</t>
  </si>
  <si>
    <t>ORD10507</t>
  </si>
  <si>
    <t>ORD13210</t>
  </si>
  <si>
    <t>ORD11276</t>
  </si>
  <si>
    <t>ORD13489</t>
  </si>
  <si>
    <t>ORD12810</t>
  </si>
  <si>
    <t>ORD13513</t>
  </si>
  <si>
    <t>ORD10574</t>
  </si>
  <si>
    <t>ORD10545</t>
  </si>
  <si>
    <t>CUST1416</t>
  </si>
  <si>
    <t>Customer 416</t>
  </si>
  <si>
    <t>ORD10139</t>
  </si>
  <si>
    <t>ORD12309</t>
  </si>
  <si>
    <t>ORD11206</t>
  </si>
  <si>
    <t>ORD13015</t>
  </si>
  <si>
    <t>ORD13934</t>
  </si>
  <si>
    <t>ORD10433</t>
  </si>
  <si>
    <t>ORD12270</t>
  </si>
  <si>
    <t>ORD13395</t>
  </si>
  <si>
    <t>ORD10301</t>
  </si>
  <si>
    <t>ORD12924</t>
  </si>
  <si>
    <t>ORD10600</t>
  </si>
  <si>
    <t>ORD13039</t>
  </si>
  <si>
    <t>ORD12282</t>
  </si>
  <si>
    <t>ORD13043</t>
  </si>
  <si>
    <t>ORD11774</t>
  </si>
  <si>
    <t>ORD11526</t>
  </si>
  <si>
    <t>ORD12358</t>
  </si>
  <si>
    <t>ORD10129</t>
  </si>
  <si>
    <t>ORD12009</t>
  </si>
  <si>
    <t>ORD11779</t>
  </si>
  <si>
    <t>ORD12301</t>
  </si>
  <si>
    <t>ORD12675</t>
  </si>
  <si>
    <t>ORD12154</t>
  </si>
  <si>
    <t>ORD11882</t>
  </si>
  <si>
    <t>ORD13604</t>
  </si>
  <si>
    <t>ORD12371</t>
  </si>
  <si>
    <t>ORD13220</t>
  </si>
  <si>
    <t>ORD11479</t>
  </si>
  <si>
    <t>ORD13130</t>
  </si>
  <si>
    <t>ORD12272</t>
  </si>
  <si>
    <t>ORD12668</t>
  </si>
  <si>
    <t>ORD11664</t>
  </si>
  <si>
    <t>ORD12108</t>
  </si>
  <si>
    <t>ORD10844</t>
  </si>
  <si>
    <t>ORD12527</t>
  </si>
  <si>
    <t>ORD10148</t>
  </si>
  <si>
    <t>ORD12252</t>
  </si>
  <si>
    <t>ORD12736</t>
  </si>
  <si>
    <t>ORD11585</t>
  </si>
  <si>
    <t>ORD11956</t>
  </si>
  <si>
    <t>ORD12813</t>
  </si>
  <si>
    <t>ORD12244</t>
  </si>
  <si>
    <t>ORD13081</t>
  </si>
  <si>
    <t>ORD13924</t>
  </si>
  <si>
    <t>ORD13906</t>
  </si>
  <si>
    <t>ORD13814</t>
  </si>
  <si>
    <t>ORD13036</t>
  </si>
  <si>
    <t>ORD10290</t>
  </si>
  <si>
    <t>ORD10127</t>
  </si>
  <si>
    <t>ORD10366</t>
  </si>
  <si>
    <t>ORD10401</t>
  </si>
  <si>
    <t>ORD13902</t>
  </si>
  <si>
    <t>ORD11645</t>
  </si>
  <si>
    <t>ORD11365</t>
  </si>
  <si>
    <t>ORD13034</t>
  </si>
  <si>
    <t>ORD10268</t>
  </si>
  <si>
    <t>ORD11517</t>
  </si>
  <si>
    <t>ORD13335</t>
  </si>
  <si>
    <t>ORD12150</t>
  </si>
  <si>
    <t>ORD12249</t>
  </si>
  <si>
    <t>ORD13417</t>
  </si>
  <si>
    <t>ORD10161</t>
  </si>
  <si>
    <t>ORD10728</t>
  </si>
  <si>
    <t>ORD10031</t>
  </si>
  <si>
    <t>ORD10908</t>
  </si>
  <si>
    <t>ORD10918</t>
  </si>
  <si>
    <t>ORD13263</t>
  </si>
  <si>
    <t>ORD10706</t>
  </si>
  <si>
    <t>ORD10184</t>
  </si>
  <si>
    <t>ORD13153</t>
  </si>
  <si>
    <t>ORD12680</t>
  </si>
  <si>
    <t>ORD11733</t>
  </si>
  <si>
    <t>ORD12441</t>
  </si>
  <si>
    <t>ORD12190</t>
  </si>
  <si>
    <t>ORD11045</t>
  </si>
  <si>
    <t>ORD13112</t>
  </si>
  <si>
    <t>ORD11748</t>
  </si>
  <si>
    <t>ORD11354</t>
  </si>
  <si>
    <t>ORD11618</t>
  </si>
  <si>
    <t>ORD13876</t>
  </si>
  <si>
    <t>ORD10642</t>
  </si>
  <si>
    <t>ORD11566</t>
  </si>
  <si>
    <t>ORD13173</t>
  </si>
  <si>
    <t>ORD11729</t>
  </si>
  <si>
    <t>ORD12658</t>
  </si>
  <si>
    <t>ORD10953</t>
  </si>
  <si>
    <t>ORD13992</t>
  </si>
  <si>
    <t>ORD10002</t>
  </si>
  <si>
    <t>ORD13976</t>
  </si>
  <si>
    <t>ORD12777</t>
  </si>
  <si>
    <t>ORD11765</t>
  </si>
  <si>
    <t>ORD12704</t>
  </si>
  <si>
    <t>ORD11994</t>
  </si>
  <si>
    <t>ORD10160</t>
  </si>
  <si>
    <t>ORD11743</t>
  </si>
  <si>
    <t>ORD12772</t>
  </si>
  <si>
    <t>ORD13558</t>
  </si>
  <si>
    <t>ORD13158</t>
  </si>
  <si>
    <t>ORD12498</t>
  </si>
  <si>
    <t>ORD13261</t>
  </si>
  <si>
    <t>ORD10070</t>
  </si>
  <si>
    <t>ORD11077</t>
  </si>
  <si>
    <t>ORD11644</t>
  </si>
  <si>
    <t>ORD11066</t>
  </si>
  <si>
    <t>ORD12090</t>
  </si>
  <si>
    <t>ORD10494</t>
  </si>
  <si>
    <t>ORD11376</t>
  </si>
  <si>
    <t>ORD13353</t>
  </si>
  <si>
    <t>ORD11361</t>
  </si>
  <si>
    <t>ORD13324</t>
  </si>
  <si>
    <t>ORD10256</t>
  </si>
  <si>
    <t>ORD10476</t>
  </si>
  <si>
    <t>ORD13209</t>
  </si>
  <si>
    <t>ORD10607</t>
  </si>
  <si>
    <t>ORD12060</t>
  </si>
  <si>
    <t>ORD12966</t>
  </si>
  <si>
    <t>ORD11143</t>
  </si>
  <si>
    <t>ORD11627</t>
  </si>
  <si>
    <t>ORD13564</t>
  </si>
  <si>
    <t>ORD13078</t>
  </si>
  <si>
    <t>ORD13709</t>
  </si>
  <si>
    <t>ORD10685</t>
  </si>
  <si>
    <t>ORD10793</t>
  </si>
  <si>
    <t>ORD11406</t>
  </si>
  <si>
    <t>ORD12605</t>
  </si>
  <si>
    <t>ORD13073</t>
  </si>
  <si>
    <t>ORD11349</t>
  </si>
  <si>
    <t>ORD12400</t>
  </si>
  <si>
    <t>ORD12845</t>
  </si>
  <si>
    <t>ORD12801</t>
  </si>
  <si>
    <t>ORD13661</t>
  </si>
  <si>
    <t>ORD11199</t>
  </si>
  <si>
    <t>ORD12390</t>
  </si>
  <si>
    <t>ORD13421</t>
  </si>
  <si>
    <t>ORD10705</t>
  </si>
  <si>
    <t>ORD12947</t>
  </si>
  <si>
    <t>ORD11674</t>
  </si>
  <si>
    <t>ORD11671</t>
  </si>
  <si>
    <t>ORD10485</t>
  </si>
  <si>
    <t>ORD12251</t>
  </si>
  <si>
    <t>ORD13371</t>
  </si>
  <si>
    <t>ORD10025</t>
  </si>
  <si>
    <t>ORD13002</t>
  </si>
  <si>
    <t>ORD11275</t>
  </si>
  <si>
    <t>ORD10787</t>
  </si>
  <si>
    <t>ORD11829</t>
  </si>
  <si>
    <t>ORD13247</t>
  </si>
  <si>
    <t>ORD13689</t>
  </si>
  <si>
    <t>ORD12807</t>
  </si>
  <si>
    <t>ORD10207</t>
  </si>
  <si>
    <t>ORD11945</t>
  </si>
  <si>
    <t>ORD12622</t>
  </si>
  <si>
    <t>ORD13988</t>
  </si>
  <si>
    <t>ORD11302</t>
  </si>
  <si>
    <t>ORD11702</t>
  </si>
  <si>
    <t>ORD10274</t>
  </si>
  <si>
    <t>ORD10132</t>
  </si>
  <si>
    <t>ORD12933</t>
  </si>
  <si>
    <t>ORD10586</t>
  </si>
  <si>
    <t>ORD10313</t>
  </si>
  <si>
    <t>ORD10400</t>
  </si>
  <si>
    <t>ORD10467</t>
  </si>
  <si>
    <t>ORD12368</t>
  </si>
  <si>
    <t>ORD10682</t>
  </si>
  <si>
    <t>ORD10895</t>
  </si>
  <si>
    <t>ORD11075</t>
  </si>
  <si>
    <t>ORD13106</t>
  </si>
  <si>
    <t>ORD10832</t>
  </si>
  <si>
    <t>ORD11086</t>
  </si>
  <si>
    <t>ORD12310</t>
  </si>
  <si>
    <t>ORD10555</t>
  </si>
  <si>
    <t>ORD11800</t>
  </si>
  <si>
    <t>ORD13024</t>
  </si>
  <si>
    <t>ORD13684</t>
  </si>
  <si>
    <t>ORD11600</t>
  </si>
  <si>
    <t>ORD11424</t>
  </si>
  <si>
    <t>ORD12007</t>
  </si>
  <si>
    <t>ORD10463</t>
  </si>
  <si>
    <t>ORD13668</t>
  </si>
  <si>
    <t>ORD12869</t>
  </si>
  <si>
    <t>ORD10335</t>
  </si>
  <si>
    <t>ORD13414</t>
  </si>
  <si>
    <t>ORD12482</t>
  </si>
  <si>
    <t>ORD13430</t>
  </si>
  <si>
    <t>ORD13567</t>
  </si>
  <si>
    <t>ORD13298</t>
  </si>
  <si>
    <t>ORD11960</t>
  </si>
  <si>
    <t>ORD13312</t>
  </si>
  <si>
    <t>ORD11409</t>
  </si>
  <si>
    <t>ORD10423</t>
  </si>
  <si>
    <t>ORD12644</t>
  </si>
  <si>
    <t>ORD11185</t>
  </si>
  <si>
    <t>ORD13648</t>
  </si>
  <si>
    <t>ORD12196</t>
  </si>
  <si>
    <t>ORD13787</t>
  </si>
  <si>
    <t>ORD11610</t>
  </si>
  <si>
    <t>ORD12976</t>
  </si>
  <si>
    <t>ORD12597</t>
  </si>
  <si>
    <t>ORD11032</t>
  </si>
  <si>
    <t>ORD10711</t>
  </si>
  <si>
    <t>ORD11501</t>
  </si>
  <si>
    <t>ORD11711</t>
  </si>
  <si>
    <t>ORD10451</t>
  </si>
  <si>
    <t>ORD11197</t>
  </si>
  <si>
    <t>ORD11801</t>
  </si>
  <si>
    <t>ORD13488</t>
  </si>
  <si>
    <t>ORD10524</t>
  </si>
  <si>
    <t>ORD11869</t>
  </si>
  <si>
    <t>ORD11308</t>
  </si>
  <si>
    <t>ORD11242</t>
  </si>
  <si>
    <t>ORD13041</t>
  </si>
  <si>
    <t>ORD10492</t>
  </si>
  <si>
    <t>ORD13230</t>
  </si>
  <si>
    <t>ORD10924</t>
  </si>
  <si>
    <t>ORD13803</t>
  </si>
  <si>
    <t>ORD13907</t>
  </si>
  <si>
    <t>ORD11235</t>
  </si>
  <si>
    <t>ORD11034</t>
  </si>
  <si>
    <t>ORD10167</t>
  </si>
  <si>
    <t>ORD12917</t>
  </si>
  <si>
    <t>ORD11448</t>
  </si>
  <si>
    <t>ORD11072</t>
  </si>
  <si>
    <t>ORD11712</t>
  </si>
  <si>
    <t>ORD13126</t>
  </si>
  <si>
    <t>ORD13439</t>
  </si>
  <si>
    <t>ORD12227</t>
  </si>
  <si>
    <t>ORD13391</t>
  </si>
  <si>
    <t>ORD10890</t>
  </si>
  <si>
    <t>ORD13121</t>
  </si>
  <si>
    <t>ORD12473</t>
  </si>
  <si>
    <t>ORD13772</t>
  </si>
  <si>
    <t>ORD11826</t>
  </si>
  <si>
    <t>ORD11110</t>
  </si>
  <si>
    <t>ORD11411</t>
  </si>
  <si>
    <t>ORD11714</t>
  </si>
  <si>
    <t>ORD12880</t>
  </si>
  <si>
    <t>ORD11688</t>
  </si>
  <si>
    <t>ORD12269</t>
  </si>
  <si>
    <t>ORD13940</t>
  </si>
  <si>
    <t>ORD13652</t>
  </si>
  <si>
    <t>ORD10756</t>
  </si>
  <si>
    <t>ORD11482</t>
  </si>
  <si>
    <t>ORD10634</t>
  </si>
  <si>
    <t>ORD12778</t>
  </si>
  <si>
    <t>ORD10346</t>
  </si>
  <si>
    <t>ORD13848</t>
  </si>
  <si>
    <t>ORD13302</t>
  </si>
  <si>
    <t>ORD10664</t>
  </si>
  <si>
    <t>ORD11053</t>
  </si>
  <si>
    <t>ORD10913</t>
  </si>
  <si>
    <t>ORD13305</t>
  </si>
  <si>
    <t>ORD12283</t>
  </si>
  <si>
    <t>ORD12550</t>
  </si>
  <si>
    <t>ORD11625</t>
  </si>
  <si>
    <t>ORD10532</t>
  </si>
  <si>
    <t>ORD10071</t>
  </si>
  <si>
    <t>ORD13085</t>
  </si>
  <si>
    <t>ORD11721</t>
  </si>
  <si>
    <t>ORD11489</t>
  </si>
  <si>
    <t>ORD13398</t>
  </si>
  <si>
    <t>ORD12674</t>
  </si>
  <si>
    <t>ORD10035</t>
  </si>
  <si>
    <t>ORD11040</t>
  </si>
  <si>
    <t>ORD10429</t>
  </si>
  <si>
    <t>ORD10937</t>
  </si>
  <si>
    <t>ORD10191</t>
  </si>
  <si>
    <t>ORD13850</t>
  </si>
  <si>
    <t>ORD10638</t>
  </si>
  <si>
    <t>ORD11010</t>
  </si>
  <si>
    <t>ORD12426</t>
  </si>
  <si>
    <t>ORD11564</t>
  </si>
  <si>
    <t>ORD10898</t>
  </si>
  <si>
    <t>ORD13624</t>
  </si>
  <si>
    <t>ORD12281</t>
  </si>
  <si>
    <t>ORD12476</t>
  </si>
  <si>
    <t>ORD13113</t>
  </si>
  <si>
    <t>ORD13926</t>
  </si>
  <si>
    <t>ORD10324</t>
  </si>
  <si>
    <t>ORD13044</t>
  </si>
  <si>
    <t>ORD12158</t>
  </si>
  <si>
    <t>ORD13256</t>
  </si>
  <si>
    <t>ORD10693</t>
  </si>
  <si>
    <t>ORD10606</t>
  </si>
  <si>
    <t>ORD13172</t>
  </si>
  <si>
    <t>ORD12406</t>
  </si>
  <si>
    <t>ORD12148</t>
  </si>
  <si>
    <t>ORD13203</t>
  </si>
  <si>
    <t>ORD12152</t>
  </si>
  <si>
    <t>ORD10639</t>
  </si>
  <si>
    <t>ORD11433</t>
  </si>
  <si>
    <t>ORD13952</t>
  </si>
  <si>
    <t>ORD13927</t>
  </si>
  <si>
    <t>ORD11052</t>
  </si>
  <si>
    <t>ORD10403</t>
  </si>
  <si>
    <t>ORD11018</t>
  </si>
  <si>
    <t>ORD13601</t>
  </si>
  <si>
    <t>ORD13649</t>
  </si>
  <si>
    <t>ORD11193</t>
  </si>
  <si>
    <t>ORD10721</t>
  </si>
  <si>
    <t>ORD12318</t>
  </si>
  <si>
    <t>ORD13871</t>
  </si>
  <si>
    <t>ORD13410</t>
  </si>
  <si>
    <t>ORD11157</t>
  </si>
  <si>
    <t>ORD13989</t>
  </si>
  <si>
    <t>ORD13784</t>
  </si>
  <si>
    <t>ORD10538</t>
  </si>
  <si>
    <t>ORD13929</t>
  </si>
  <si>
    <t>ORD11225</t>
  </si>
  <si>
    <t>ORD13346</t>
  </si>
  <si>
    <t>ORD11028</t>
  </si>
  <si>
    <t>ORD12141</t>
  </si>
  <si>
    <t>ORD12439</t>
  </si>
  <si>
    <t>ORD12202</t>
  </si>
  <si>
    <t>ORD10816</t>
  </si>
  <si>
    <t>ORD12611</t>
  </si>
  <si>
    <t>ORD13099</t>
  </si>
  <si>
    <t>ORD10478</t>
  </si>
  <si>
    <t>ORD10020</t>
  </si>
  <si>
    <t>ORD13050</t>
  </si>
  <si>
    <t>ORD13824</t>
  </si>
  <si>
    <t>ORD10747</t>
  </si>
  <si>
    <t>ORD12169</t>
  </si>
  <si>
    <t>ORD13481</t>
  </si>
  <si>
    <t>ORD13262</t>
  </si>
  <si>
    <t>ORD10558</t>
  </si>
  <si>
    <t>ORD11360</t>
  </si>
  <si>
    <t>ORD10652</t>
  </si>
  <si>
    <t>ORD12941</t>
  </si>
  <si>
    <t>ORD12184</t>
  </si>
  <si>
    <t>ORD11839</t>
  </si>
  <si>
    <t>ORD13862</t>
  </si>
  <si>
    <t>ORD11037</t>
  </si>
  <si>
    <t>ORD10742</t>
  </si>
  <si>
    <t>ORD11689</t>
  </si>
  <si>
    <t>ORD11261</t>
  </si>
  <si>
    <t>ORD12618</t>
  </si>
  <si>
    <t>ORD11017</t>
  </si>
  <si>
    <t>ORD13993</t>
  </si>
  <si>
    <t>ORD13541</t>
  </si>
  <si>
    <t>ORD10250</t>
  </si>
  <si>
    <t>ORD13251</t>
  </si>
  <si>
    <t>ORD11605</t>
  </si>
  <si>
    <t>ORD13828</t>
  </si>
  <si>
    <t>ORD10667</t>
  </si>
  <si>
    <t>ORD10772</t>
  </si>
  <si>
    <t>ORD11820</t>
  </si>
  <si>
    <t>ORD10331</t>
  </si>
  <si>
    <t>ORD13328</t>
  </si>
  <si>
    <t>ORD11282</t>
  </si>
  <si>
    <t>ORD13758</t>
  </si>
  <si>
    <t>ORD10992</t>
  </si>
  <si>
    <t>ORD11968</t>
  </si>
  <si>
    <t>ORD13491</t>
  </si>
  <si>
    <t>ORD11059</t>
  </si>
  <si>
    <t>ORD13509</t>
  </si>
  <si>
    <t>ORD10286</t>
  </si>
  <si>
    <t>ORD10935</t>
  </si>
  <si>
    <t>ORD13190</t>
  </si>
  <si>
    <t>ORD12481</t>
  </si>
  <si>
    <t>ORD11812</t>
  </si>
  <si>
    <t>ORD11178</t>
  </si>
  <si>
    <t>ORD11253</t>
  </si>
  <si>
    <t>ORD13884</t>
  </si>
  <si>
    <t>ORD12132</t>
  </si>
  <si>
    <t>ORD11331</t>
  </si>
  <si>
    <t>ORD12414</t>
  </si>
  <si>
    <t>ORD10138</t>
  </si>
  <si>
    <t>ORD11322</t>
  </si>
  <si>
    <t>ORD12077</t>
  </si>
  <si>
    <t>ORD12017</t>
  </si>
  <si>
    <t>ORD11419</t>
  </si>
  <si>
    <t>ORD13925</t>
  </si>
  <si>
    <t>ORD11026</t>
  </si>
  <si>
    <t>ORD11343</t>
  </si>
  <si>
    <t>ORD11272</t>
  </si>
  <si>
    <t>ORD11785</t>
  </si>
  <si>
    <t>ORD10884</t>
  </si>
  <si>
    <t>ORD10325</t>
  </si>
  <si>
    <t>ORD10837</t>
  </si>
  <si>
    <t>ORD13183</t>
  </si>
  <si>
    <t>ORD10298</t>
  </si>
  <si>
    <t>ORD12444</t>
  </si>
  <si>
    <t>CUST1107</t>
  </si>
  <si>
    <t>Customer 107</t>
  </si>
  <si>
    <t>ORD12959</t>
  </si>
  <si>
    <t>ORD11154</t>
  </si>
  <si>
    <t>ORD11886</t>
  </si>
  <si>
    <t>ORD13195</t>
  </si>
  <si>
    <t>ORD13362</t>
  </si>
  <si>
    <t>ORD10271</t>
  </si>
  <si>
    <t>ORD11859</t>
  </si>
  <si>
    <t>ORD11592</t>
  </si>
  <si>
    <t>ORD11505</t>
  </si>
  <si>
    <t>ORD13147</t>
  </si>
  <si>
    <t>ORD13525</t>
  </si>
  <si>
    <t>ORD10015</t>
  </si>
  <si>
    <t>ORD12285</t>
  </si>
  <si>
    <t>ORD10475</t>
  </si>
  <si>
    <t>ORD12336</t>
  </si>
  <si>
    <t>ORD12212</t>
  </si>
  <si>
    <t>ORD13108</t>
  </si>
  <si>
    <t>ORD13916</t>
  </si>
  <si>
    <t>ORD13427</t>
  </si>
  <si>
    <t>ORD11300</t>
  </si>
  <si>
    <t>ORD10739</t>
  </si>
  <si>
    <t>ORD13223</t>
  </si>
  <si>
    <t>ORD13730</t>
  </si>
  <si>
    <t>ORD11814</t>
  </si>
  <si>
    <t>ORD11286</t>
  </si>
  <si>
    <t>ORD11755</t>
  </si>
  <si>
    <t>ORD13603</t>
  </si>
  <si>
    <t>ORD12945</t>
  </si>
  <si>
    <t>ORD11507</t>
  </si>
  <si>
    <t>ORD11865</t>
  </si>
  <si>
    <t>ORD11981</t>
  </si>
  <si>
    <t>ORD13622</t>
  </si>
  <si>
    <t>ORD13752</t>
  </si>
  <si>
    <t>ORD12781</t>
  </si>
  <si>
    <t>ORD12462</t>
  </si>
  <si>
    <t>ORD11192</t>
  </si>
  <si>
    <t>ORD10188</t>
  </si>
  <si>
    <t>ORD12946</t>
  </si>
  <si>
    <t>ORD11665</t>
  </si>
  <si>
    <t>ORD10794</t>
  </si>
  <si>
    <t>ORD10604</t>
  </si>
  <si>
    <t>ORD10926</t>
  </si>
  <si>
    <t>ORD11404</t>
  </si>
  <si>
    <t>ORD12769</t>
  </si>
  <si>
    <t>ORD11168</t>
  </si>
  <si>
    <t>ORD11013</t>
  </si>
  <si>
    <t>ORD11430</t>
  </si>
  <si>
    <t>ORD13253</t>
  </si>
  <si>
    <t>ORD12058</t>
  </si>
  <si>
    <t>ORD12617</t>
  </si>
  <si>
    <t>ORD13485</t>
  </si>
  <si>
    <t>ORD12129</t>
  </si>
  <si>
    <t>ORD12904</t>
  </si>
  <si>
    <t>ORD13849</t>
  </si>
  <si>
    <t>ORD10781</t>
  </si>
  <si>
    <t>ORD12842</t>
  </si>
  <si>
    <t>ORD12098</t>
  </si>
  <si>
    <t>ORD10436</t>
  </si>
  <si>
    <t>ORD12747</t>
  </si>
  <si>
    <t>ORD13425</t>
  </si>
  <si>
    <t>ORD11591</t>
  </si>
  <si>
    <t>ORD13456</t>
  </si>
  <si>
    <t>ORD12407</t>
  </si>
  <si>
    <t>ORD12197</t>
  </si>
  <si>
    <t>ORD13748</t>
  </si>
  <si>
    <t>ORD10932</t>
  </si>
  <si>
    <t>ORD11055</t>
  </si>
  <si>
    <t>ORD11395</t>
  </si>
  <si>
    <t>ORD12864</t>
  </si>
  <si>
    <t>ORD10922</t>
  </si>
  <si>
    <t>ORD11719</t>
  </si>
  <si>
    <t>ORD13200</t>
  </si>
  <si>
    <t>ORD10893</t>
  </si>
  <si>
    <t>ORD11325</t>
  </si>
  <si>
    <t>ORD12187</t>
  </si>
  <si>
    <t>ORD11134</t>
  </si>
  <si>
    <t>ORD11119</t>
  </si>
  <si>
    <t>ORD12365</t>
  </si>
  <si>
    <t>ORD10073</t>
  </si>
  <si>
    <t>ORD13179</t>
  </si>
  <si>
    <t>ORD12340</t>
  </si>
  <si>
    <t>ORD13613</t>
  </si>
  <si>
    <t>ORD11259</t>
  </si>
  <si>
    <t>ORD10559</t>
  </si>
  <si>
    <t>ORD12412</t>
  </si>
  <si>
    <t>ORD12909</t>
  </si>
  <si>
    <t>ORD12726</t>
  </si>
  <si>
    <t>ORD11303</t>
  </si>
  <si>
    <t>ORD12718</t>
  </si>
  <si>
    <t>ORD12509</t>
  </si>
  <si>
    <t>ORD12557</t>
  </si>
  <si>
    <t>ORD12048</t>
  </si>
  <si>
    <t>ORD13141</t>
  </si>
  <si>
    <t>ORD13693</t>
  </si>
  <si>
    <t>ORD10817</t>
  </si>
  <si>
    <t>ORD11012</t>
  </si>
  <si>
    <t>ORD12344</t>
  </si>
  <si>
    <t>ORD11852</t>
  </si>
  <si>
    <t>ORD11470</t>
  </si>
  <si>
    <t>ORD10789</t>
  </si>
  <si>
    <t>ORD11759</t>
  </si>
  <si>
    <t>ORD13440</t>
  </si>
  <si>
    <t>ORD12992</t>
  </si>
  <si>
    <t>ORD12612</t>
  </si>
  <si>
    <t>ORD11112</t>
  </si>
  <si>
    <t>ORD12055</t>
  </si>
  <si>
    <t>ORD13103</t>
  </si>
  <si>
    <t>ORD13052</t>
  </si>
  <si>
    <t>ORD12922</t>
  </si>
  <si>
    <t>ORD11919</t>
  </si>
  <si>
    <t>ORD10964</t>
  </si>
  <si>
    <t>ORD10783</t>
  </si>
  <si>
    <t>ORD12273</t>
  </si>
  <si>
    <t>ORD13381</t>
  </si>
  <si>
    <t>ORD11181</t>
  </si>
  <si>
    <t>ORD10803</t>
  </si>
  <si>
    <t>ORD12474</t>
  </si>
  <si>
    <t>ORD11529</t>
  </si>
  <si>
    <t>ORD13546</t>
  </si>
  <si>
    <t>ORD13119</t>
  </si>
  <si>
    <t>ORD13737</t>
  </si>
  <si>
    <t>ORD11821</t>
  </si>
  <si>
    <t>ORD12428</t>
  </si>
  <si>
    <t>ORD10621</t>
  </si>
  <si>
    <t>ORD10972</t>
  </si>
  <si>
    <t>ORD13770</t>
  </si>
  <si>
    <t>ORD11604</t>
  </si>
  <si>
    <t>ORD10006</t>
  </si>
  <si>
    <t>ORD12823</t>
  </si>
  <si>
    <t>ORD12155</t>
  </si>
  <si>
    <t>ORD12445</t>
  </si>
  <si>
    <t>ORD12755</t>
  </si>
  <si>
    <t>ORD12548</t>
  </si>
  <si>
    <t>ORD10541</t>
  </si>
  <si>
    <t>ORD10493</t>
  </si>
  <si>
    <t>ORD11833</t>
  </si>
  <si>
    <t>ORD13823</t>
  </si>
  <si>
    <t>ORD12591</t>
  </si>
  <si>
    <t>ORD11401</t>
  </si>
  <si>
    <t>ORD13318</t>
  </si>
  <si>
    <t>ORD13110</t>
  </si>
  <si>
    <t>ORD13385</t>
  </si>
  <si>
    <t>ORD10782</t>
  </si>
  <si>
    <t>ORD12446</t>
  </si>
  <si>
    <t>ORD12687</t>
  </si>
  <si>
    <t>ORD13969</t>
  </si>
  <si>
    <t>ORD13206</t>
  </si>
  <si>
    <t>ORD13788</t>
  </si>
  <si>
    <t>ORD12730</t>
  </si>
  <si>
    <t>ORD10315</t>
  </si>
  <si>
    <t>ORD12664</t>
  </si>
  <si>
    <t>ORD13189</t>
  </si>
  <si>
    <t>ORD11609</t>
  </si>
  <si>
    <t>ORD12607</t>
  </si>
  <si>
    <t>ORD11027</t>
  </si>
  <si>
    <t>ORD13045</t>
  </si>
  <si>
    <t>ORD10238</t>
  </si>
  <si>
    <t>ORD13905</t>
  </si>
  <si>
    <t>ORD13809</t>
  </si>
  <si>
    <t>ORD11706</t>
  </si>
  <si>
    <t>ORD10072</t>
  </si>
  <si>
    <t>ORD13701</t>
  </si>
  <si>
    <t>ORD13856</t>
  </si>
  <si>
    <t>ORD13389</t>
  </si>
  <si>
    <t>ORD12771</t>
  </si>
  <si>
    <t>ORD12125</t>
  </si>
  <si>
    <t>ORD13747</t>
  </si>
  <si>
    <t>ORD10959</t>
  </si>
  <si>
    <t>ORD10896</t>
  </si>
  <si>
    <t>ORD12209</t>
  </si>
  <si>
    <t>ORD10554</t>
  </si>
  <si>
    <t>ORD11724</t>
  </si>
  <si>
    <t>ORD11565</t>
  </si>
  <si>
    <t>ORD13016</t>
  </si>
  <si>
    <t>ORD13198</t>
  </si>
  <si>
    <t>ORD13592</t>
  </si>
  <si>
    <t>ORD11267</t>
  </si>
  <si>
    <t>ORD12808</t>
  </si>
  <si>
    <t>ORD11420</t>
  </si>
  <si>
    <t>ORD10644</t>
  </si>
  <si>
    <t>ORD12453</t>
  </si>
  <si>
    <t>ORD10864</t>
  </si>
  <si>
    <t>ORD11111</t>
  </si>
  <si>
    <t>ORD11772</t>
  </si>
  <si>
    <t>ORD10144</t>
  </si>
  <si>
    <t>ORD12419</t>
  </si>
  <si>
    <t>ORD10165</t>
  </si>
  <si>
    <t>ORD10785</t>
  </si>
  <si>
    <t>ORD10064</t>
  </si>
  <si>
    <t>ORD11735</t>
  </si>
  <si>
    <t>ORD13468</t>
  </si>
  <si>
    <t>ORD13334</t>
  </si>
  <si>
    <t>ORD10530</t>
  </si>
  <si>
    <t>ORD10517</t>
  </si>
  <si>
    <t>ORD12095</t>
  </si>
  <si>
    <t>ORD11125</t>
  </si>
  <si>
    <t>ORD12913</t>
  </si>
  <si>
    <t>ORD10845</t>
  </si>
  <si>
    <t>ORD13029</t>
  </si>
  <si>
    <t>ORD13496</t>
  </si>
  <si>
    <t>ORD13944</t>
  </si>
  <si>
    <t>ORD12275</t>
  </si>
  <si>
    <t>ORD10795</t>
  </si>
  <si>
    <t>ORD12263</t>
  </si>
  <si>
    <t>ORD13166</t>
  </si>
  <si>
    <t>ORD13893</t>
  </si>
  <si>
    <t>ORD13637</t>
  </si>
  <si>
    <t>ORD13680</t>
  </si>
  <si>
    <t>ORD10623</t>
  </si>
  <si>
    <t>ORD11123</t>
  </si>
  <si>
    <t>ORD10220</t>
  </si>
  <si>
    <t>ORD12237</t>
  </si>
  <si>
    <t>ORD10820</t>
  </si>
  <si>
    <t>ORD10568</t>
  </si>
  <si>
    <t>ORD13102</t>
  </si>
  <si>
    <t>ORD10489</t>
  </si>
  <si>
    <t>ORD12999</t>
  </si>
  <si>
    <t>ORD10565</t>
  </si>
  <si>
    <t>ORD13227</t>
  </si>
  <si>
    <t>ORD10876</t>
  </si>
  <si>
    <t>ORD11752</t>
  </si>
  <si>
    <t>ORD12377</t>
  </si>
  <si>
    <t>ORD11392</t>
  </si>
  <si>
    <t>ORD12345</t>
  </si>
  <si>
    <t>ORD12735</t>
  </si>
  <si>
    <t>ORD12603</t>
  </si>
  <si>
    <t>ORD12159</t>
  </si>
  <si>
    <t>ORD10860</t>
  </si>
  <si>
    <t>ORD12886</t>
  </si>
  <si>
    <t>ORD10967</t>
  </si>
  <si>
    <t>ORD13946</t>
  </si>
  <si>
    <t>ORD13100</t>
  </si>
  <si>
    <t>ORD10042</t>
  </si>
  <si>
    <t>ORD13888</t>
  </si>
  <si>
    <t>ORD13718</t>
  </si>
  <si>
    <t>ORD10328</t>
  </si>
  <si>
    <t>ORD12699</t>
  </si>
  <si>
    <t>ORD10894</t>
  </si>
  <si>
    <t>ORD10984</t>
  </si>
  <si>
    <t>ORD11904</t>
  </si>
  <si>
    <t>ORD11741</t>
  </si>
  <si>
    <t>ORD11427</t>
  </si>
  <si>
    <t>ORD10170</t>
  </si>
  <si>
    <t>ORD12982</t>
  </si>
  <si>
    <t>ORD10506</t>
  </si>
  <si>
    <t>ORD10766</t>
  </si>
  <si>
    <t>ORD13966</t>
  </si>
  <si>
    <t>ORD11544</t>
  </si>
  <si>
    <t>ORD11731</t>
  </si>
  <si>
    <t>ORD10880</t>
  </si>
  <si>
    <t>ORD12052</t>
  </si>
  <si>
    <t>ORD11541</t>
  </si>
  <si>
    <t>ORD13518</t>
  </si>
  <si>
    <t>ORD10853</t>
  </si>
  <si>
    <t>ORD10963</t>
  </si>
  <si>
    <t>ORD12065</t>
  </si>
  <si>
    <t>ORD13431</t>
  </si>
  <si>
    <t>ORD12194</t>
  </si>
  <si>
    <t>ORD11087</t>
  </si>
  <si>
    <t>ORD10004</t>
  </si>
  <si>
    <t>ORD10157</t>
  </si>
  <si>
    <t>ORD11236</t>
  </si>
  <si>
    <t>ORD10046</t>
  </si>
  <si>
    <t>ORD11944</t>
  </si>
  <si>
    <t>ORD12514</t>
  </si>
  <si>
    <t>ORD13428</t>
  </si>
  <si>
    <t>ORD11258</t>
  </si>
  <si>
    <t>ORD11973</t>
  </si>
  <si>
    <t>ORD13582</t>
  </si>
  <si>
    <t>ORD11813</t>
  </si>
  <si>
    <t>ORD12815</t>
  </si>
  <si>
    <t>ORD10800</t>
  </si>
  <si>
    <t>ORD10029</t>
  </si>
  <si>
    <t>ORD12703</t>
  </si>
  <si>
    <t>ORD13137</t>
  </si>
  <si>
    <t>ORD12156</t>
  </si>
  <si>
    <t>ORD13596</t>
  </si>
  <si>
    <t>ORD10863</t>
  </si>
  <si>
    <t>ORD13881</t>
  </si>
  <si>
    <t>ORD12039</t>
  </si>
  <si>
    <t>ORD10552</t>
  </si>
  <si>
    <t>ORD12075</t>
  </si>
  <si>
    <t>ORD12824</t>
  </si>
  <si>
    <t>ORD13269</t>
  </si>
  <si>
    <t>ORD13602</t>
  </si>
  <si>
    <t>ORD13983</t>
  </si>
  <si>
    <t>ORD13658</t>
  </si>
  <si>
    <t>ORD10142</t>
  </si>
  <si>
    <t>ORD13571</t>
  </si>
  <si>
    <t>ORD12994</t>
  </si>
  <si>
    <t>ORD13914</t>
  </si>
  <si>
    <t>ORD11971</t>
  </si>
  <si>
    <t>ORD11202</t>
  </si>
  <si>
    <t>ORD13274</t>
  </si>
  <si>
    <t>ORD11284</t>
  </si>
  <si>
    <t>ORD10519</t>
  </si>
  <si>
    <t>ORD11368</t>
  </si>
  <si>
    <t>ORD13540</t>
  </si>
  <si>
    <t>ORD10386</t>
  </si>
  <si>
    <t>ORD11356</t>
  </si>
  <si>
    <t>ORD11288</t>
  </si>
  <si>
    <t>ORD13134</t>
  </si>
  <si>
    <t>ORD10636</t>
  </si>
  <si>
    <t>ORD11964</t>
  </si>
  <si>
    <t>ORD12856</t>
  </si>
  <si>
    <t>ORD13131</t>
  </si>
  <si>
    <t>ORD11446</t>
  </si>
  <si>
    <t>ORD12499</t>
  </si>
  <si>
    <t>ORD10683</t>
  </si>
  <si>
    <t>ORD12867</t>
  </si>
  <si>
    <t>ORD11093</t>
  </si>
  <si>
    <t>ORD12235</t>
  </si>
  <si>
    <t>ORD10270</t>
  </si>
  <si>
    <t>ORD10086</t>
  </si>
  <si>
    <t>ORD13974</t>
  </si>
  <si>
    <t>ORD13585</t>
  </si>
  <si>
    <t>ORD11937</t>
  </si>
  <si>
    <t>ORD13185</t>
  </si>
  <si>
    <t>ORD12586</t>
  </si>
  <si>
    <t>ORD12582</t>
  </si>
  <si>
    <t>ORD12642</t>
  </si>
  <si>
    <t>ORD10527</t>
  </si>
  <si>
    <t>ORD11910</t>
  </si>
  <si>
    <t>ORD11386</t>
  </si>
  <si>
    <t>ORD10355</t>
  </si>
  <si>
    <t>ORD13640</t>
  </si>
  <si>
    <t>ORD10408</t>
  </si>
  <si>
    <t>ORD11065</t>
  </si>
  <si>
    <t>ORD12733</t>
  </si>
  <si>
    <t>ORD11431</t>
  </si>
  <si>
    <t>ORD12571</t>
  </si>
  <si>
    <t>ORD11130</t>
  </si>
  <si>
    <t>ORD10900</t>
  </si>
  <si>
    <t>ORD10056</t>
  </si>
  <si>
    <t>ORD11932</t>
  </si>
  <si>
    <t>ORD12255</t>
  </si>
  <si>
    <t>ORD10027</t>
  </si>
  <si>
    <t>ORD13625</t>
  </si>
  <si>
    <t>ORD11174</t>
  </si>
  <si>
    <t>ORD10058</t>
  </si>
  <si>
    <t>ORD11612</t>
  </si>
  <si>
    <t>ORD10843</t>
  </si>
  <si>
    <t>ORD13258</t>
  </si>
  <si>
    <t>ORD12895</t>
  </si>
  <si>
    <t>ORD12267</t>
  </si>
  <si>
    <t>ORD10095</t>
  </si>
  <si>
    <t>ORD13878</t>
  </si>
  <si>
    <t>ORD11537</t>
  </si>
  <si>
    <t>ORD13672</t>
  </si>
  <si>
    <t>ORD13360</t>
  </si>
  <si>
    <t>ORD12478</t>
  </si>
  <si>
    <t>ORD12634</t>
  </si>
  <si>
    <t>ORD10651</t>
  </si>
  <si>
    <t>ORD13075</t>
  </si>
  <si>
    <t>ORD12463</t>
  </si>
  <si>
    <t>ORD12708</t>
  </si>
  <si>
    <t>ORD11218</t>
  </si>
  <si>
    <t>ORD11219</t>
  </si>
  <si>
    <t>ORD10438</t>
  </si>
  <si>
    <t>ORD11567</t>
  </si>
  <si>
    <t>ORD13271</t>
  </si>
  <si>
    <t>ORD10378</t>
  </si>
  <si>
    <t>ORD12111</t>
  </si>
  <si>
    <t>ORD12073</t>
  </si>
  <si>
    <t>ORD13577</t>
  </si>
  <si>
    <t>ORD13610</t>
  </si>
  <si>
    <t>ORD10790</t>
  </si>
  <si>
    <t>ORD11274</t>
  </si>
  <si>
    <t>ORD12628</t>
  </si>
  <si>
    <t>ORD13777</t>
  </si>
  <si>
    <t>ORD10502</t>
  </si>
  <si>
    <t>ORD10808</t>
  </si>
  <si>
    <t>ORD13051</t>
  </si>
  <si>
    <t>ORD12750</t>
  </si>
  <si>
    <t>ORD10318</t>
  </si>
  <si>
    <t>ORD11436</t>
  </si>
  <si>
    <t>ORD13248</t>
  </si>
  <si>
    <t>ORD11999</t>
  </si>
  <si>
    <t>ORD11452</t>
  </si>
  <si>
    <t>ORD11113</t>
  </si>
  <si>
    <t>ORD10836</t>
  </si>
  <si>
    <t>ORD12326</t>
  </si>
  <si>
    <t>ORD11955</t>
  </si>
  <si>
    <t>ORD11103</t>
  </si>
  <si>
    <t>ORD11468</t>
  </si>
  <si>
    <t>ORD10069</t>
  </si>
  <si>
    <t>ORD13844</t>
  </si>
  <si>
    <t>ORD11200</t>
  </si>
  <si>
    <t>ORD11942</t>
  </si>
  <si>
    <t>ORD13889</t>
  </si>
  <si>
    <t>ORD12983</t>
  </si>
  <si>
    <t>ORD11211</t>
  </si>
  <si>
    <t>ORD12343</t>
  </si>
  <si>
    <t>ORD12565</t>
  </si>
  <si>
    <t>ORD13887</t>
  </si>
  <si>
    <t>ORD11462</t>
  </si>
  <si>
    <t>ORD11704</t>
  </si>
  <si>
    <t>ORD10314</t>
  </si>
  <si>
    <t>ORD10566</t>
  </si>
  <si>
    <t>ORD12206</t>
  </si>
  <si>
    <t>ORD12456</t>
  </si>
  <si>
    <t>ORD10140</t>
  </si>
  <si>
    <t>ORD11474</t>
  </si>
  <si>
    <t>ORD13751</t>
  </si>
  <si>
    <t>ORD13358</t>
  </si>
  <si>
    <t>ORD12455</t>
  </si>
  <si>
    <t>ORD11248</t>
  </si>
  <si>
    <t>ORD10085</t>
  </si>
  <si>
    <t>ORD13098</t>
  </si>
  <si>
    <t>ORD10173</t>
  </si>
  <si>
    <t>ORD13998</t>
  </si>
  <si>
    <t>ORD10910</t>
  </si>
  <si>
    <t>ORD10455</t>
  </si>
  <si>
    <t>ORD12828</t>
  </si>
  <si>
    <t>ORD13040</t>
  </si>
  <si>
    <t>ORD10704</t>
  </si>
  <si>
    <t>ORD12544</t>
  </si>
  <si>
    <t>ORD11451</t>
  </si>
  <si>
    <t>ORD13232</t>
  </si>
  <si>
    <t>ORD10363</t>
  </si>
  <si>
    <t>ORD10875</t>
  </si>
  <si>
    <t>ORD11967</t>
  </si>
  <si>
    <t>ORD12911</t>
  </si>
  <si>
    <t>ORD12420</t>
  </si>
  <si>
    <t>ORD11952</t>
  </si>
  <si>
    <t>ORD12422</t>
  </si>
  <si>
    <t>ORD10603</t>
  </si>
  <si>
    <t>ORD12392</t>
  </si>
  <si>
    <t>ORD10645</t>
  </si>
  <si>
    <t>ORD13148</t>
  </si>
  <si>
    <t>ORD13448</t>
  </si>
  <si>
    <t>ORD12502</t>
  </si>
  <si>
    <t>ORD13091</t>
  </si>
  <si>
    <t>ORD12925</t>
  </si>
  <si>
    <t>ORD11493</t>
  </si>
  <si>
    <t>ORD10126</t>
  </si>
  <si>
    <t>ORD10145</t>
  </si>
  <si>
    <t>ORD13922</t>
  </si>
  <si>
    <t>ORD11877</t>
  </si>
  <si>
    <t>ORD10060</t>
  </si>
  <si>
    <t>ORD13392</t>
  </si>
  <si>
    <t>ORD13301</t>
  </si>
  <si>
    <t>ORD13409</t>
  </si>
  <si>
    <t>ORD11811</t>
  </si>
  <si>
    <t>ORD13270</t>
  </si>
  <si>
    <t>ORD10336</t>
  </si>
  <si>
    <t>ORD12278</t>
  </si>
  <si>
    <t>ORD10765</t>
  </si>
  <si>
    <t>ORD13257</t>
  </si>
  <si>
    <t>ORD10136</t>
  </si>
  <si>
    <t>ORD13845</t>
  </si>
  <si>
    <t>ORD13805</t>
  </si>
  <si>
    <t>ORD11915</t>
  </si>
  <si>
    <t>ORD10414</t>
  </si>
  <si>
    <t>ORD13486</t>
  </si>
  <si>
    <t>ORD13304</t>
  </si>
  <si>
    <t>ORD11769</t>
  </si>
  <si>
    <t>ORD12046</t>
  </si>
  <si>
    <t>ORD13714</t>
  </si>
  <si>
    <t>ORD11634</t>
  </si>
  <si>
    <t>ORD11902</t>
  </si>
  <si>
    <t>ORD10797</t>
  </si>
  <si>
    <t>ORD12168</t>
  </si>
  <si>
    <t>ORD11254</t>
  </si>
  <si>
    <t>ORD11463</t>
  </si>
  <si>
    <t>ORD13023</t>
  </si>
  <si>
    <t>ORD13453</t>
  </si>
  <si>
    <t>ORD11582</t>
  </si>
  <si>
    <t>ORD10453</t>
  </si>
  <si>
    <t>ORD11764</t>
  </si>
  <si>
    <t>ORD11855</t>
  </si>
  <si>
    <t>ORD13900</t>
  </si>
  <si>
    <t>ORD11652</t>
  </si>
  <si>
    <t>ORD13677</t>
  </si>
  <si>
    <t>ORD12811</t>
  </si>
  <si>
    <t>ORD11439</t>
  </si>
  <si>
    <t>ORD10982</t>
  </si>
  <si>
    <t>ORD11378</t>
  </si>
  <si>
    <t>ORD10930</t>
  </si>
  <si>
    <t>ORD11760</t>
  </si>
  <si>
    <t>ORD10041</t>
  </si>
  <si>
    <t>ORD11713</t>
  </si>
  <si>
    <t>ORD11554</t>
  </si>
  <si>
    <t>ORD11385</t>
  </si>
  <si>
    <t>ORD11539</t>
  </si>
  <si>
    <t>ORD10773</t>
  </si>
  <si>
    <t>ORD12157</t>
  </si>
  <si>
    <t>ORD10214</t>
  </si>
  <si>
    <t>ORD11990</t>
  </si>
  <si>
    <t>ORD10828</t>
  </si>
  <si>
    <t>ORD11844</t>
  </si>
  <si>
    <t>ORD12176</t>
  </si>
  <si>
    <t>ORD11663</t>
  </si>
  <si>
    <t>ORD12685</t>
  </si>
  <si>
    <t>ORD12460</t>
  </si>
  <si>
    <t>ORD13511</t>
  </si>
  <si>
    <t>ORD13642</t>
  </si>
  <si>
    <t>ORD12719</t>
  </si>
  <si>
    <t>ORD13683</t>
  </si>
  <si>
    <t>ORD11486</t>
  </si>
  <si>
    <t>ORD13320</t>
  </si>
  <si>
    <t>ORD11186</t>
  </si>
  <si>
    <t>ORD11014</t>
  </si>
  <si>
    <t>ORD11934</t>
  </si>
  <si>
    <t>ORD10339</t>
  </si>
  <si>
    <t>ORD10872</t>
  </si>
  <si>
    <t>ORD12436</t>
  </si>
  <si>
    <t>ORD10197</t>
  </si>
  <si>
    <t>ORD10923</t>
  </si>
  <si>
    <t>ORD10732</t>
  </si>
  <si>
    <t>ORD10458</t>
  </si>
  <si>
    <t>ORD13790</t>
  </si>
  <si>
    <t>ORD13070</t>
  </si>
  <si>
    <t>ORD13473</t>
  </si>
  <si>
    <t>ORD12926</t>
  </si>
  <si>
    <t>ORD11477</t>
  </si>
  <si>
    <t>ORD10712</t>
  </si>
  <si>
    <t>ORD11834</t>
  </si>
  <si>
    <t>ORD13519</t>
  </si>
  <si>
    <t>ORD13632</t>
  </si>
  <si>
    <t>ORD10340</t>
  </si>
  <si>
    <t>ORD12578</t>
  </si>
  <si>
    <t>ORD13191</t>
  </si>
  <si>
    <t>ORD13255</t>
  </si>
  <si>
    <t>ORD10392</t>
  </si>
  <si>
    <t>ORD11693</t>
  </si>
  <si>
    <t>ORD12914</t>
  </si>
  <si>
    <t>ORD11162</t>
  </si>
  <si>
    <t>ORD11584</t>
  </si>
  <si>
    <t>ORD11080</t>
  </si>
  <si>
    <t>ORD13293</t>
  </si>
  <si>
    <t>ORD12835</t>
  </si>
  <si>
    <t>ORD11390</t>
  </si>
  <si>
    <t>ORD11878</t>
  </si>
  <si>
    <t>ORD10657</t>
  </si>
  <si>
    <t>ORD11717</t>
  </si>
  <si>
    <t>ORD11770</t>
  </si>
  <si>
    <t>ORD10312</t>
  </si>
  <si>
    <t>ORD12408</t>
  </si>
  <si>
    <t>ORD11457</t>
  </si>
  <si>
    <t>ORD10149</t>
  </si>
  <si>
    <t>ORD11467</t>
  </si>
  <si>
    <t>ORD10597</t>
  </si>
  <si>
    <t>ORD10297</t>
  </si>
  <si>
    <t>ORD13316</t>
  </si>
  <si>
    <t>ORD11533</t>
  </si>
  <si>
    <t>ORD13959</t>
  </si>
  <si>
    <t>ORD10961</t>
  </si>
  <si>
    <t>ORD13760</t>
  </si>
  <si>
    <t>ORD11128</t>
  </si>
  <si>
    <t>ORD12723</t>
  </si>
  <si>
    <t>ORD10075</t>
  </si>
  <si>
    <t>ORD13580</t>
  </si>
  <si>
    <t>ORD13296</t>
  </si>
  <si>
    <t>ORD11480</t>
  </si>
  <si>
    <t>ORD10026</t>
  </si>
  <si>
    <t>ORD12262</t>
  </si>
  <si>
    <t>ORD13504</t>
  </si>
  <si>
    <t>ORD10962</t>
  </si>
  <si>
    <t>ORD10813</t>
  </si>
  <si>
    <t>ORD12631</t>
  </si>
  <si>
    <t>ORD12028</t>
  </si>
  <si>
    <t>ORD12623</t>
  </si>
  <si>
    <t>ORD13193</t>
  </si>
  <si>
    <t>ORD11887</t>
  </si>
  <si>
    <t>ORD11364</t>
  </si>
  <si>
    <t>ORD10097</t>
  </si>
  <si>
    <t>ORD12637</t>
  </si>
  <si>
    <t>ORD13388</t>
  </si>
  <si>
    <t>ORD11221</t>
  </si>
  <si>
    <t>ORD11107</t>
  </si>
  <si>
    <t>ORD11170</t>
  </si>
  <si>
    <t>ORD11549</t>
  </si>
  <si>
    <t>ORD12860</t>
  </si>
  <si>
    <t>ORD12223</t>
  </si>
  <si>
    <t>ORD11326</t>
  </si>
  <si>
    <t>ORD11081</t>
  </si>
  <si>
    <t>ORD11593</t>
  </si>
  <si>
    <t>ORD13235</t>
  </si>
  <si>
    <t>ORD10101</t>
  </si>
  <si>
    <t>ORD11082</t>
  </si>
  <si>
    <t>ORD12366</t>
  </si>
  <si>
    <t>ORD10384</t>
  </si>
  <si>
    <t>ORD10288</t>
  </si>
  <si>
    <t>ORD12862</t>
  </si>
  <si>
    <t>ORD12021</t>
  </si>
  <si>
    <t>ORD10901</t>
  </si>
  <si>
    <t>ORD10280</t>
  </si>
  <si>
    <t>ORD11213</t>
  </si>
  <si>
    <t>ORD10833</t>
  </si>
  <si>
    <t>ORD12711</t>
  </si>
  <si>
    <t>ORD10194</t>
  </si>
  <si>
    <t>ORD12311</t>
  </si>
  <si>
    <t>ORD10902</t>
  </si>
  <si>
    <t>ORD10422</t>
  </si>
  <si>
    <t>ORD12556</t>
  </si>
  <si>
    <t>ORD13101</t>
  </si>
  <si>
    <t>ORD10030</t>
  </si>
  <si>
    <t>ORD12266</t>
  </si>
  <si>
    <t>ORD12188</t>
  </si>
  <si>
    <t>ORD12385</t>
  </si>
  <si>
    <t>ORD11617</t>
  </si>
  <si>
    <t>ORD13012</t>
  </si>
  <si>
    <t>ORD10466</t>
  </si>
  <si>
    <t>ORD10979</t>
  </si>
  <si>
    <t>ORD11890</t>
  </si>
  <si>
    <t>ORD10613</t>
  </si>
  <si>
    <t>ORD12826</t>
  </si>
  <si>
    <t>ORD13665</t>
  </si>
  <si>
    <t>ORD12312</t>
  </si>
  <si>
    <t>ORD13056</t>
  </si>
  <si>
    <t>ORD12161</t>
  </si>
  <si>
    <t>ORD12851</t>
  </si>
  <si>
    <t>ORD13180</t>
  </si>
  <si>
    <t>ORD10952</t>
  </si>
  <si>
    <t>ORD12321</t>
  </si>
  <si>
    <t>ORD12033</t>
  </si>
  <si>
    <t>ORD13639</t>
  </si>
  <si>
    <t>ORD13547</t>
  </si>
  <si>
    <t>ORD12248</t>
  </si>
  <si>
    <t>ORD13472</t>
  </si>
  <si>
    <t>ORD12081</t>
  </si>
  <si>
    <t>ORD11938</t>
  </si>
  <si>
    <t>ORD12080</t>
  </si>
  <si>
    <t>ORD13662</t>
  </si>
  <si>
    <t>ORD10311</t>
  </si>
  <si>
    <t>ORD13332</t>
  </si>
  <si>
    <t>ORD10511</t>
  </si>
  <si>
    <t>ORD11413</t>
  </si>
  <si>
    <t>ORD10544</t>
  </si>
  <si>
    <t>ORD13170</t>
  </si>
  <si>
    <t>ORD13368</t>
  </si>
  <si>
    <t>ORD10851</t>
  </si>
  <si>
    <t>ORD11048</t>
  </si>
  <si>
    <t>ORD13932</t>
  </si>
  <si>
    <t>ORD12956</t>
  </si>
  <si>
    <t>ORD12484</t>
  </si>
  <si>
    <t>ORD12868</t>
  </si>
  <si>
    <t>ORD10300</t>
  </si>
  <si>
    <t>ORD13090</t>
  </si>
  <si>
    <t>ORD11512</t>
  </si>
  <si>
    <t>ORD10617</t>
  </si>
  <si>
    <t>ORD11532</t>
  </si>
  <si>
    <t>ORD12114</t>
  </si>
  <si>
    <t>ORD12595</t>
  </si>
  <si>
    <t>ORD11101</t>
  </si>
  <si>
    <t>ORD12563</t>
  </si>
  <si>
    <t>ORD12364</t>
  </si>
  <si>
    <t>ORD13405</t>
  </si>
  <si>
    <t>ORD10866</t>
  </si>
  <si>
    <t>ORD13706</t>
  </si>
  <si>
    <t>ORD12127</t>
  </si>
  <si>
    <t>ORD10515</t>
  </si>
  <si>
    <t>ORD13135</t>
  </si>
  <si>
    <t>ORD11653</t>
  </si>
  <si>
    <t>ORD12185</t>
  </si>
  <si>
    <t>ORD12503</t>
  </si>
  <si>
    <t>ORD12008</t>
  </si>
  <si>
    <t>ORD11475</t>
  </si>
  <si>
    <t>ORD13612</t>
  </si>
  <si>
    <t>ORD11969</t>
  </si>
  <si>
    <t>ORD10626</t>
  </si>
  <si>
    <t>ORD12494</t>
  </si>
  <si>
    <t>ORD10513</t>
  </si>
  <si>
    <t>ORD10763</t>
  </si>
  <si>
    <t>ORD11856</t>
  </si>
  <si>
    <t>ORD12562</t>
  </si>
  <si>
    <t>ORD11707</t>
  </si>
  <si>
    <t>ORD12734</t>
  </si>
  <si>
    <t>ORD13659</t>
  </si>
  <si>
    <t>ORD12606</t>
  </si>
  <si>
    <t>ORD11263</t>
  </si>
  <si>
    <t>ORD13354</t>
  </si>
  <si>
    <t>ORD12797</t>
  </si>
  <si>
    <t>ORD13671</t>
  </si>
  <si>
    <t>ORD10367</t>
  </si>
  <si>
    <t>ORD10377</t>
  </si>
  <si>
    <t>ORD11108</t>
  </si>
  <si>
    <t>ORD11898</t>
  </si>
  <si>
    <t>ORD12136</t>
  </si>
  <si>
    <t>ORD13343</t>
  </si>
  <si>
    <t>ORD13205</t>
  </si>
  <si>
    <t>ORD13143</t>
  </si>
  <si>
    <t>ORD11568</t>
  </si>
  <si>
    <t>ORD13895</t>
  </si>
  <si>
    <t>ORD11268</t>
  </si>
  <si>
    <t>ORD12026</t>
  </si>
  <si>
    <t>ORD11621</t>
  </si>
  <si>
    <t>ORD13935</t>
  </si>
  <si>
    <t>ORD10090</t>
  </si>
  <si>
    <t>ORD13611</t>
  </si>
  <si>
    <t>ORD12568</t>
  </si>
  <si>
    <t>ORD10857</t>
  </si>
  <si>
    <t>ORD11947</t>
  </si>
  <si>
    <t>ORD13834</t>
  </si>
  <si>
    <t>ORD13591</t>
  </si>
  <si>
    <t>ORD10873</t>
  </si>
  <si>
    <t>ORD12050</t>
  </si>
  <si>
    <t>ORD10976</t>
  </si>
  <si>
    <t>ORD12257</t>
  </si>
  <si>
    <t>ORD11838</t>
  </si>
  <si>
    <t>ORD11319</t>
  </si>
  <si>
    <t>ORD11230</t>
  </si>
  <si>
    <t>ORD11949</t>
  </si>
  <si>
    <t>ORD10356</t>
  </si>
  <si>
    <t>ORD12116</t>
  </si>
  <si>
    <t>ORD11492</t>
  </si>
  <si>
    <t>ORD13307</t>
  </si>
  <si>
    <t>ORD13979</t>
  </si>
  <si>
    <t>ORD10486</t>
  </si>
  <si>
    <t>ORD11079</t>
  </si>
  <si>
    <t>ORD12930</t>
  </si>
  <si>
    <t>ORD12376</t>
  </si>
  <si>
    <t>ORD11598</t>
  </si>
  <si>
    <t>ORD10461</t>
  </si>
  <si>
    <t>ORD13810</t>
  </si>
  <si>
    <t>ORD13342</t>
  </si>
  <si>
    <t>ORD11776</t>
  </si>
  <si>
    <t>ORD10040</t>
  </si>
  <si>
    <t>ORD13132</t>
  </si>
  <si>
    <t>ORD13854</t>
  </si>
  <si>
    <t>ORD12084</t>
  </si>
  <si>
    <t>ORD12794</t>
  </si>
  <si>
    <t>ORD13375</t>
  </si>
  <si>
    <t>ORD11972</t>
  </si>
  <si>
    <t>ORD13745</t>
  </si>
  <si>
    <t>ORD10815</t>
  </si>
  <si>
    <t>ORD12655</t>
  </si>
  <si>
    <t>ORD13768</t>
  </si>
  <si>
    <t>ORD13614</t>
  </si>
  <si>
    <t>ORD12745</t>
  </si>
  <si>
    <t>ORD12972</t>
  </si>
  <si>
    <t>ORD13436</t>
  </si>
  <si>
    <t>ORD13408</t>
  </si>
  <si>
    <t>ORD10887</t>
  </si>
  <si>
    <t>ORD11336</t>
  </si>
  <si>
    <t>ORD10753</t>
  </si>
  <si>
    <t>ORD10805</t>
  </si>
  <si>
    <t>ORD12425</t>
  </si>
  <si>
    <t>ORD13792</t>
  </si>
  <si>
    <t>ORD10676</t>
  </si>
  <si>
    <t>ORD12836</t>
  </si>
  <si>
    <t>ORD10084</t>
  </si>
  <si>
    <t>ORD11491</t>
  </si>
  <si>
    <t>ORD12391</t>
  </si>
  <si>
    <t>ORD12172</t>
  </si>
  <si>
    <t>ORD12198</t>
  </si>
  <si>
    <t>ORD12134</t>
  </si>
  <si>
    <t>ORD10253</t>
  </si>
  <si>
    <t>ORD10413</t>
  </si>
  <si>
    <t>ORD11550</t>
  </si>
  <si>
    <t>ORD10977</t>
  </si>
  <si>
    <t>ORD12833</t>
  </si>
  <si>
    <t>ORD11866</t>
  </si>
  <si>
    <t>ORD12768</t>
  </si>
  <si>
    <t>ORD11305</t>
  </si>
  <si>
    <t>ORD12221</t>
  </si>
  <si>
    <t>ORD10108</t>
  </si>
  <si>
    <t>ORD10534</t>
  </si>
  <si>
    <t>ORD10012</t>
  </si>
  <si>
    <t>ORD11396</t>
  </si>
  <si>
    <t>ORD11802</t>
  </si>
  <si>
    <t>ORD12519</t>
  </si>
  <si>
    <t>ORD11641</t>
  </si>
  <si>
    <t>ORD11255</t>
  </si>
  <si>
    <t>ORD13783</t>
  </si>
  <si>
    <t>ORD10745</t>
  </si>
  <si>
    <t>ORD12306</t>
  </si>
  <si>
    <t>ORD12616</t>
  </si>
  <si>
    <t>ORD13359</t>
  </si>
  <si>
    <t>ORD11011</t>
  </si>
  <si>
    <t>ORD11296</t>
  </si>
  <si>
    <t>ORD10104</t>
  </si>
  <si>
    <t>ORD12173</t>
  </si>
  <si>
    <t>ORD10380</t>
  </si>
  <si>
    <t>ORD12351</t>
  </si>
  <si>
    <t>ORD10364</t>
  </si>
  <si>
    <t>ORD13470</t>
  </si>
  <si>
    <t>ORD11373</t>
  </si>
  <si>
    <t>ORD11266</t>
  </si>
  <si>
    <t>ORD10292</t>
  </si>
  <si>
    <t>ORD10342</t>
  </si>
  <si>
    <t>ORD10237</t>
  </si>
  <si>
    <t>ORD12405</t>
  </si>
  <si>
    <t>ORD12722</t>
  </si>
  <si>
    <t>ORD11265</t>
  </si>
  <si>
    <t>ORD11116</t>
  </si>
  <si>
    <t>ORD12483</t>
  </si>
  <si>
    <t>ORD10956</t>
  </si>
  <si>
    <t>ORD13806</t>
  </si>
  <si>
    <t>ORD12133</t>
  </si>
  <si>
    <t>ORD11561</t>
  </si>
  <si>
    <t>ORD10011</t>
  </si>
  <si>
    <t>ORD11948</t>
  </si>
  <si>
    <t>ORD10520</t>
  </si>
  <si>
    <t>ORD12254</t>
  </si>
  <si>
    <t>ORD12787</t>
  </si>
  <si>
    <t>ORD11588</t>
  </si>
  <si>
    <t>ORD12147</t>
  </si>
  <si>
    <t>ORD13233</t>
  </si>
  <si>
    <t>ORD12135</t>
  </si>
  <si>
    <t>ORD10669</t>
  </si>
  <si>
    <t>ORD12662</t>
  </si>
  <si>
    <t>ORD13107</t>
  </si>
  <si>
    <t>ORD10957</t>
  </si>
  <si>
    <t>ORD12070</t>
  </si>
  <si>
    <t>ORD12348</t>
  </si>
  <si>
    <t>ORD10078</t>
  </si>
  <si>
    <t>ORD11307</t>
  </si>
  <si>
    <t>ORD11788</t>
  </si>
  <si>
    <t>ORD11701</t>
  </si>
  <si>
    <t>ORD10353</t>
  </si>
  <si>
    <t>ORD11613</t>
  </si>
  <si>
    <t>ORD10536</t>
  </si>
  <si>
    <t>ORD11563</t>
  </si>
  <si>
    <t>ORD10266</t>
  </si>
  <si>
    <t>ORD12104</t>
  </si>
  <si>
    <t>ORD13009</t>
  </si>
  <si>
    <t>ORD13290</t>
  </si>
  <si>
    <t>ORD10326</t>
  </si>
  <si>
    <t>ORD13552</t>
  </si>
  <si>
    <t>ORD11841</t>
  </si>
  <si>
    <t>ORD10221</t>
  </si>
  <si>
    <t>ORD11654</t>
  </si>
  <si>
    <t>ORD12102</t>
  </si>
  <si>
    <t>ORD11980</t>
  </si>
  <si>
    <t>ORD12220</t>
  </si>
  <si>
    <t>ORD10553</t>
  </si>
  <si>
    <t>ORD11212</t>
  </si>
  <si>
    <t>ORD12761</t>
  </si>
  <si>
    <t>ORD11778</t>
  </si>
  <si>
    <t>ORD11019</t>
  </si>
  <si>
    <t>ORD12881</t>
  </si>
  <si>
    <t>ORD11485</t>
  </si>
  <si>
    <t>ORD12063</t>
  </si>
  <si>
    <t>ORD10279</t>
  </si>
  <si>
    <t>ORD13089</t>
  </si>
  <si>
    <t>ORD10316</t>
  </si>
  <si>
    <t>ORD10966</t>
  </si>
  <si>
    <t>ORD10446</t>
  </si>
  <si>
    <t>ORD11710</t>
  </si>
  <si>
    <t>ORD12042</t>
  </si>
  <si>
    <t>ORD12786</t>
  </si>
  <si>
    <t>ORD13536</t>
  </si>
  <si>
    <t>ORD10779</t>
  </si>
  <si>
    <t>ORD13215</t>
  </si>
  <si>
    <t>ORD10169</t>
  </si>
  <si>
    <t>ORD13079</t>
  </si>
  <si>
    <t>ORD13306</t>
  </si>
  <si>
    <t>ORD12000</t>
  </si>
  <si>
    <t>ORD11161</t>
  </si>
  <si>
    <t>ORD10345</t>
  </si>
  <si>
    <t>ORD10291</t>
  </si>
  <si>
    <t>ORD13345</t>
  </si>
  <si>
    <t>ORD10834</t>
  </si>
  <si>
    <t>ORD11559</t>
  </si>
  <si>
    <t>ORD11155</t>
  </si>
  <si>
    <t>ORD12110</t>
  </si>
  <si>
    <t>ORD10234</t>
  </si>
  <si>
    <t>ORD13211</t>
  </si>
  <si>
    <t>ORD13446</t>
  </si>
  <si>
    <t>ORD13442</t>
  </si>
  <si>
    <t>ORD10741</t>
  </si>
  <si>
    <t>ORD10437</t>
  </si>
  <si>
    <t>ORD10921</t>
  </si>
  <si>
    <t>ORD12416</t>
  </si>
  <si>
    <t>ORD10665</t>
  </si>
  <si>
    <t>ORD10457</t>
  </si>
  <si>
    <t>ORD12749</t>
  </si>
  <si>
    <t>ORD11359</t>
  </si>
  <si>
    <t>ORD11875</t>
  </si>
  <si>
    <t>ORD11281</t>
  </si>
  <si>
    <t>ORD13971</t>
  </si>
  <si>
    <t>ORD10700</t>
  </si>
  <si>
    <t>ORD11970</t>
  </si>
  <si>
    <t>ORD11309</t>
  </si>
  <si>
    <t>ORD11974</t>
  </si>
  <si>
    <t>ORD12003</t>
  </si>
  <si>
    <t>ORD10088</t>
  </si>
  <si>
    <t>ORD12737</t>
  </si>
  <si>
    <t>ORD11574</t>
  </si>
  <si>
    <t>ORD10891</t>
  </si>
  <si>
    <t>ORD10646</t>
  </si>
  <si>
    <t>ORD13852</t>
  </si>
  <si>
    <t>ORD12036</t>
  </si>
  <si>
    <t>ORD13825</t>
  </si>
  <si>
    <t>ORD11362</t>
  </si>
  <si>
    <t>ORD10210</t>
  </si>
  <si>
    <t>ORD11389</t>
  </si>
  <si>
    <t>ORD10262</t>
  </si>
  <si>
    <t>ORD12558</t>
  </si>
  <si>
    <t>ORD10939</t>
  </si>
  <si>
    <t>ORD11375</t>
  </si>
  <si>
    <t>ORD11243</t>
  </si>
  <si>
    <t>ORD12506</t>
  </si>
  <si>
    <t>ORD12069</t>
  </si>
  <si>
    <t>ORD11953</t>
  </si>
  <si>
    <t>ORD13727</t>
  </si>
  <si>
    <t>ORD12393</t>
  </si>
  <si>
    <t>ORD12507</t>
  </si>
  <si>
    <t>ORD12049</t>
  </si>
  <si>
    <t>ORD12760</t>
  </si>
  <si>
    <t>ORD12624</t>
  </si>
  <si>
    <t>ORD13867</t>
  </si>
  <si>
    <t>ORD13114</t>
  </si>
  <si>
    <t>ORD13821</t>
  </si>
  <si>
    <t>ORD12074</t>
  </si>
  <si>
    <t>ORD11353</t>
  </si>
  <si>
    <t>ORD11443</t>
  </si>
  <si>
    <t>ORD11746</t>
  </si>
  <si>
    <t>ORD12112</t>
  </si>
  <si>
    <t>ORD11204</t>
  </si>
  <si>
    <t>ORD11626</t>
  </si>
  <si>
    <t>ORD12651</t>
  </si>
  <si>
    <t>ORD11913</t>
  </si>
  <si>
    <t>ORD11423</t>
  </si>
  <si>
    <t>ORD10989</t>
  </si>
  <si>
    <t>ORD13027</t>
  </si>
  <si>
    <t>ORD12011</t>
  </si>
  <si>
    <t>ORD10014</t>
  </si>
  <si>
    <t>ORD13837</t>
  </si>
  <si>
    <t>ORD12551</t>
  </si>
  <si>
    <t>ORD13765</t>
  </si>
  <si>
    <t>ORD11380</t>
  </si>
  <si>
    <t>ORD11666</t>
  </si>
  <si>
    <t>ORD12349</t>
  </si>
  <si>
    <t>ORD12742</t>
  </si>
  <si>
    <t>ORD11992</t>
  </si>
  <si>
    <t>ORD12231</t>
  </si>
  <si>
    <t>ORD10734</t>
  </si>
  <si>
    <t>ORD10588</t>
  </si>
  <si>
    <t>ORD10406</t>
  </si>
  <si>
    <t>ORD11313</t>
  </si>
  <si>
    <t>ORD11499</t>
  </si>
  <si>
    <t>ORD11792</t>
  </si>
  <si>
    <t>ORD13377</t>
  </si>
  <si>
    <t>ORD13001</t>
  </si>
  <si>
    <t>ORD12495</t>
  </si>
  <si>
    <t>ORD13317</t>
  </si>
  <si>
    <t>ORD11918</t>
  </si>
  <si>
    <t>ORD13239</t>
  </si>
  <si>
    <t>ORD12919</t>
  </si>
  <si>
    <t>ORD13145</t>
  </si>
  <si>
    <t>ORD13676</t>
  </si>
  <si>
    <t>ORD13025</t>
  </si>
  <si>
    <t>ORD13656</t>
  </si>
  <si>
    <t>ORD11442</t>
  </si>
  <si>
    <t>ORD13956</t>
  </si>
  <si>
    <t>ORD11195</t>
  </si>
  <si>
    <t>ORD10434</t>
  </si>
  <si>
    <t>ORD11447</t>
  </si>
  <si>
    <t>ORD10868</t>
  </si>
  <si>
    <t>ORD11797</t>
  </si>
  <si>
    <t>ORD11280</t>
  </si>
  <si>
    <t>ORD11088</t>
  </si>
  <si>
    <t>ORD11685</t>
  </si>
  <si>
    <t>ORD12118</t>
  </si>
  <si>
    <t>ORD11508</t>
  </si>
  <si>
    <t>ORD12854</t>
  </si>
  <si>
    <t>ORD10410</t>
  </si>
  <si>
    <t>ORD11041</t>
  </si>
  <si>
    <t>ORD13724</t>
  </si>
  <si>
    <t>ORD13877</t>
  </si>
  <si>
    <t>ORD12552</t>
  </si>
  <si>
    <t>ORD10707</t>
  </si>
  <si>
    <t>ORD10812</t>
  </si>
  <si>
    <t>ORD13268</t>
  </si>
  <si>
    <t>ORD11925</t>
  </si>
  <si>
    <t>ORD12934</t>
  </si>
  <si>
    <t>ORD13627</t>
  </si>
  <si>
    <t>ORD10546</t>
  </si>
  <si>
    <t>ORD12728</t>
  </si>
  <si>
    <t>ORD12987</t>
  </si>
  <si>
    <t>ORD10986</t>
  </si>
  <si>
    <t>ORD13779</t>
  </si>
  <si>
    <t>ORD12464</t>
  </si>
  <si>
    <t>ORD11523</t>
  </si>
  <si>
    <t>ORD10582</t>
  </si>
  <si>
    <t>ORD10592</t>
  </si>
  <si>
    <t>ORD10067</t>
  </si>
  <si>
    <t>ORD11056</t>
  </si>
  <si>
    <t>ORD13390</t>
  </si>
  <si>
    <t>ORD12217</t>
  </si>
  <si>
    <t>ORD11843</t>
  </si>
  <si>
    <t>ORD13813</t>
  </si>
  <si>
    <t>ORD13749</t>
  </si>
  <si>
    <t>ORD12062</t>
  </si>
  <si>
    <t>ORD10696</t>
  </si>
  <si>
    <t>ORD11210</t>
  </si>
  <si>
    <t>ORD12906</t>
  </si>
  <si>
    <t>ORD13383</t>
  </si>
  <si>
    <t>ORD11586</t>
  </si>
  <si>
    <t>ORD11516</t>
  </si>
  <si>
    <t>ORD11705</t>
  </si>
  <si>
    <t>ORD12144</t>
  </si>
  <si>
    <t>ORD11977</t>
  </si>
  <si>
    <t>ORD13912</t>
  </si>
  <si>
    <t>ORD11576</t>
  </si>
  <si>
    <t>ORD12505</t>
  </si>
  <si>
    <t>ORD13584</t>
  </si>
  <si>
    <t>ORD12143</t>
  </si>
  <si>
    <t>ORD12490</t>
  </si>
  <si>
    <t>ORD12092</t>
  </si>
  <si>
    <t>ORD12433</t>
  </si>
  <si>
    <t>ORD11807</t>
  </si>
  <si>
    <t>ORD13242</t>
  </si>
  <si>
    <t>ORD12323</t>
  </si>
  <si>
    <t>ORD11819</t>
  </si>
  <si>
    <t>ORD10788</t>
  </si>
  <si>
    <t>ORD10047</t>
  </si>
  <si>
    <t>ORD10697</t>
  </si>
  <si>
    <t>ORD11008</t>
  </si>
  <si>
    <t>ORD11660</t>
  </si>
  <si>
    <t>ORD10357</t>
  </si>
  <si>
    <t>ORD11298</t>
  </si>
  <si>
    <t>ORD12352</t>
  </si>
  <si>
    <t>ORD12032</t>
  </si>
  <si>
    <t>ORD12948</t>
  </si>
  <si>
    <t>ORD10988</t>
  </si>
  <si>
    <t>ORD11958</t>
  </si>
  <si>
    <t>ORD10743</t>
  </si>
  <si>
    <t>ORD13069</t>
  </si>
  <si>
    <t>ORD11500</t>
  </si>
  <si>
    <t>ORD10388</t>
  </si>
  <si>
    <t>ORD13487</t>
  </si>
  <si>
    <t>ORD10022</t>
  </si>
  <si>
    <t>ORD12721</t>
  </si>
  <si>
    <t>ORD12812</t>
  </si>
  <si>
    <t>ORD12706</t>
  </si>
  <si>
    <t>ORD11670</t>
  </si>
  <si>
    <t>ORD12561</t>
  </si>
  <si>
    <t>ORD12986</t>
  </si>
  <si>
    <t>ORD12732</t>
  </si>
  <si>
    <t>ORD11789</t>
  </si>
  <si>
    <t>ORD11453</t>
  </si>
  <si>
    <t>ORD13483</t>
  </si>
  <si>
    <t>ORD11661</t>
  </si>
  <si>
    <t>ORD12980</t>
  </si>
  <si>
    <t>ORD13840</t>
  </si>
  <si>
    <t>ORD11249</t>
  </si>
  <si>
    <t>ORD11809</t>
  </si>
  <si>
    <t>ORD11521</t>
  </si>
  <si>
    <t>ORD13609</t>
  </si>
  <si>
    <t>ORD12766</t>
  </si>
  <si>
    <t>ORD13754</t>
  </si>
  <si>
    <t>ORD10806</t>
  </si>
  <si>
    <t>ORD10390</t>
  </si>
  <si>
    <t>ORD13545</t>
  </si>
  <si>
    <t>ORD10241</t>
  </si>
  <si>
    <t>ORD12590</t>
  </si>
  <si>
    <t>ORD12678</t>
  </si>
  <si>
    <t>ORD10329</t>
  </si>
  <si>
    <t>ORD12195</t>
  </si>
  <si>
    <t>ORD13712</t>
  </si>
  <si>
    <t>ORD12013</t>
  </si>
  <si>
    <t>ORD12044</t>
  </si>
  <si>
    <t>ORD10877</t>
  </si>
  <si>
    <t>ORD13874</t>
  </si>
  <si>
    <t>ORD13339</t>
  </si>
  <si>
    <t>ORD11870</t>
  </si>
  <si>
    <t>ORD10258</t>
  </si>
  <si>
    <t>ORD10883</t>
  </si>
  <si>
    <t>ORD13326</t>
  </si>
  <si>
    <t>ORD13589</t>
  </si>
  <si>
    <t>ORD13124</t>
  </si>
  <si>
    <t>ORD13067</t>
  </si>
  <si>
    <t>ORD11531</t>
  </si>
  <si>
    <t>ORD13393</t>
  </si>
  <si>
    <t>ORD10758</t>
  </si>
  <si>
    <t>ORD13947</t>
  </si>
  <si>
    <t>ORD10740</t>
  </si>
  <si>
    <t>ORD13973</t>
  </si>
  <si>
    <t>ORD10917</t>
  </si>
  <si>
    <t>ORD12890</t>
  </si>
  <si>
    <t>ORD10333</t>
  </si>
  <si>
    <t>ORD10206</t>
  </si>
  <si>
    <t>ORD12469</t>
  </si>
  <si>
    <t>ORD13475</t>
  </si>
  <si>
    <t>ORD10510</t>
  </si>
  <si>
    <t>ORD11203</t>
  </si>
  <si>
    <t>ORD10551</t>
  </si>
  <si>
    <t>ORD12583</t>
  </si>
  <si>
    <t>ORD12029</t>
  </si>
  <si>
    <t>ORD11648</t>
  </si>
  <si>
    <t>ORD11000</t>
  </si>
  <si>
    <t>ORD10306</t>
  </si>
  <si>
    <t>ORD11437</t>
  </si>
  <si>
    <t>ORD12225</t>
  </si>
  <si>
    <t>ORD13402</t>
  </si>
  <si>
    <t>ORD10904</t>
  </si>
  <si>
    <t>ORD13713</t>
  </si>
  <si>
    <t>ORD10074</t>
  </si>
  <si>
    <t>ORD11007</t>
  </si>
  <si>
    <t>ORD11982</t>
  </si>
  <si>
    <t>ORD10119</t>
  </si>
  <si>
    <t>ORD11070</t>
  </si>
  <si>
    <t>ORD10033</t>
  </si>
  <si>
    <t>ORD12228</t>
  </si>
  <si>
    <t>ORD11269</t>
  </si>
  <si>
    <t>ORD10296</t>
  </si>
  <si>
    <t>ORD12472</t>
  </si>
  <si>
    <t>ORD13740</t>
  </si>
  <si>
    <t>ORD10542</t>
  </si>
  <si>
    <t>ORD13600</t>
  </si>
  <si>
    <t>ORD10691</t>
  </si>
  <si>
    <t>ORD11188</t>
  </si>
  <si>
    <t>ORD10404</t>
  </si>
  <si>
    <t>ORD12079</t>
  </si>
  <si>
    <t>ORD12119</t>
  </si>
  <si>
    <t>ORD13729</t>
  </si>
  <si>
    <t>ORD11426</t>
  </si>
  <si>
    <t>ORD10055</t>
  </si>
  <si>
    <t>ORD10379</t>
  </si>
  <si>
    <t>ORD10307</t>
  </si>
  <si>
    <t>ORD11382</t>
  </si>
  <si>
    <t>ORD11884</t>
  </si>
  <si>
    <t>ORD13128</t>
  </si>
  <si>
    <t>ORD11397</t>
  </si>
  <si>
    <t>ORD13097</t>
  </si>
  <si>
    <t>ORD11558</t>
  </si>
  <si>
    <t>ORD11085</t>
  </si>
  <si>
    <t>ORD10736</t>
  </si>
  <si>
    <t>ORD11372</t>
  </si>
  <si>
    <t>ORD10531</t>
  </si>
  <si>
    <t>ORD10370</t>
  </si>
  <si>
    <t>ORD10629</t>
  </si>
  <si>
    <t>ORD13229</t>
  </si>
  <si>
    <t>ORD10462</t>
  </si>
  <si>
    <t>ORD11292</t>
  </si>
  <si>
    <t>ORD13471</t>
  </si>
  <si>
    <t>ORD13272</t>
  </si>
  <si>
    <t>ORD10017</t>
  </si>
  <si>
    <t>ORD10943</t>
  </si>
  <si>
    <t>ORD12725</t>
  </si>
  <si>
    <t>ORD10842</t>
  </si>
  <si>
    <t>ORD12898</t>
  </si>
  <si>
    <t>ORD11020</t>
  </si>
  <si>
    <t>ORD11754</t>
  </si>
  <si>
    <t>ORD13681</t>
  </si>
  <si>
    <t>ORD12891</t>
  </si>
  <si>
    <t>ORD10679</t>
  </si>
  <si>
    <t>ORD12236</t>
  </si>
  <si>
    <t>ORD11208</t>
  </si>
  <si>
    <t>ORD10746</t>
  </si>
  <si>
    <t>ORD12792</t>
  </si>
  <si>
    <t>ORD12641</t>
  </si>
  <si>
    <t>ORD10198</t>
  </si>
  <si>
    <t>ORD13458</t>
  </si>
  <si>
    <t>ORD12367</t>
  </si>
  <si>
    <t>ORD11182</t>
  </si>
  <si>
    <t>ORD11622</t>
  </si>
  <si>
    <t>ORD12650</t>
  </si>
  <si>
    <t>ORD10427</t>
  </si>
  <si>
    <t>ORD11004</t>
  </si>
  <si>
    <t>ORD13014</t>
  </si>
  <si>
    <t>ORD12379</t>
  </si>
  <si>
    <t>ORD12145</t>
  </si>
  <si>
    <t>ORD10879</t>
  </si>
  <si>
    <t>ORD11997</t>
  </si>
  <si>
    <t>ORD11201</t>
  </si>
  <si>
    <t>ORD11510</t>
  </si>
  <si>
    <t>ORD11124</t>
  </si>
  <si>
    <t>ORD10810</t>
  </si>
  <si>
    <t>ORD13690</t>
  </si>
  <si>
    <t>ORD11069</t>
  </si>
  <si>
    <t>ORD12866</t>
  </si>
  <si>
    <t>ORD12307</t>
  </si>
  <si>
    <t>ORD11966</t>
  </si>
  <si>
    <t>ORD10123</t>
  </si>
  <si>
    <t>ORD11515</t>
  </si>
  <si>
    <t>ORD10610</t>
  </si>
  <si>
    <t>ORD10643</t>
  </si>
  <si>
    <t>ORD13774</t>
  </si>
  <si>
    <t>ORD10710</t>
  </si>
  <si>
    <t>ORD12219</t>
  </si>
  <si>
    <t>ORD11697</t>
  </si>
  <si>
    <t>ORD10931</t>
  </si>
  <si>
    <t>ORD10723</t>
  </si>
  <si>
    <t>ORD13080</t>
  </si>
  <si>
    <t>ORD13991</t>
  </si>
  <si>
    <t>ORD11543</t>
  </si>
  <si>
    <t>ORD10738</t>
  </si>
  <si>
    <t>ORD10186</t>
  </si>
  <si>
    <t>ORD13404</t>
  </si>
  <si>
    <t>ORD11744</t>
  </si>
  <si>
    <t>ORD12041</t>
  </si>
  <si>
    <t>ORD11366</t>
  </si>
  <si>
    <t>ORD13666</t>
  </si>
  <si>
    <t>ORD11337</t>
  </si>
  <si>
    <t>ORD13213</t>
  </si>
  <si>
    <t>ORD10309</t>
  </si>
  <si>
    <t>ORD11831</t>
  </si>
  <si>
    <t>ORD10096</t>
  </si>
  <si>
    <t>ORD12574</t>
  </si>
  <si>
    <t>ORD10398</t>
  </si>
  <si>
    <t>ORD10940</t>
  </si>
  <si>
    <t>ORD13309</t>
  </si>
  <si>
    <t>ORD13995</t>
  </si>
  <si>
    <t>ORD12394</t>
  </si>
  <si>
    <t>ORD13977</t>
  </si>
  <si>
    <t>ORD11490</t>
  </si>
  <si>
    <t>ORD12955</t>
  </si>
  <si>
    <t>ORD13855</t>
  </si>
  <si>
    <t>ORD12524</t>
  </si>
  <si>
    <t>ORD10252</t>
  </si>
  <si>
    <t>ORD12315</t>
  </si>
  <si>
    <t>ORD10827</t>
  </si>
  <si>
    <t>ORD10487</t>
  </si>
  <si>
    <t>ORD13586</t>
  </si>
  <si>
    <t>ORD10848</t>
  </si>
  <si>
    <t>ORD13700</t>
  </si>
  <si>
    <t>ORD13703</t>
  </si>
  <si>
    <t>ORD13447</t>
  </si>
  <si>
    <t>ORD12577</t>
  </si>
  <si>
    <t>ORD11145</t>
  </si>
  <si>
    <t>ORD13755</t>
  </si>
  <si>
    <t>ORD12353</t>
  </si>
  <si>
    <t>ORD12746</t>
  </si>
  <si>
    <t>ORD11273</t>
  </si>
  <si>
    <t>ORD12884</t>
  </si>
  <si>
    <t>ORD13822</t>
  </si>
  <si>
    <t>ORD11636</t>
  </si>
  <si>
    <t>ORD12105</t>
  </si>
  <si>
    <t>ORD10474</t>
  </si>
  <si>
    <t>ORD13064</t>
  </si>
  <si>
    <t>ORD12284</t>
  </si>
  <si>
    <t>ORD10543</t>
  </si>
  <si>
    <t>ORD13217</t>
  </si>
  <si>
    <t>ORD12863</t>
  </si>
  <si>
    <t>ORD10285</t>
  </si>
  <si>
    <t>ORD13068</t>
  </si>
  <si>
    <t>ORD11909</t>
  </si>
  <si>
    <t>ORD13450</t>
  </si>
  <si>
    <t>ORD10619</t>
  </si>
  <si>
    <t>ORD11335</t>
  </si>
  <si>
    <t>ORD11054</t>
  </si>
  <si>
    <t>ORD12822</t>
  </si>
  <si>
    <t>ORD13374</t>
  </si>
  <si>
    <t>ORD12300</t>
  </si>
  <si>
    <t>ORD11781</t>
  </si>
  <si>
    <t>ORD10320</t>
  </si>
  <si>
    <t>ORD13678</t>
  </si>
  <si>
    <t>ORD13808</t>
  </si>
  <si>
    <t>ORD13011</t>
  </si>
  <si>
    <t>ORD12912</t>
  </si>
  <si>
    <t>ORD10761</t>
  </si>
  <si>
    <t>ORD12566</t>
  </si>
  <si>
    <t>ORD12045</t>
  </si>
  <si>
    <t>ORD10512</t>
  </si>
  <si>
    <t>ORD12991</t>
  </si>
  <si>
    <t>ORD11458</t>
  </si>
  <si>
    <t>ORD13981</t>
  </si>
  <si>
    <t>ORD13744</t>
  </si>
  <si>
    <t>ORD11465</t>
  </si>
  <si>
    <t>ORD12294</t>
  </si>
  <si>
    <t>ORD13161</t>
  </si>
  <si>
    <t>ORD10561</t>
  </si>
  <si>
    <t>ORD13830</t>
  </si>
  <si>
    <t>ORD13144</t>
  </si>
  <si>
    <t>ORD10106</t>
  </si>
  <si>
    <t>ORD12457</t>
  </si>
  <si>
    <t>ORD10448</t>
  </si>
  <si>
    <t>ORD11350</t>
  </si>
  <si>
    <t>ORD12016</t>
  </si>
  <si>
    <t>ORD11078</t>
  </si>
  <si>
    <t>ORD13778</t>
  </si>
  <si>
    <t>ORD12671</t>
  </si>
  <si>
    <t>ORD12878</t>
  </si>
  <si>
    <t>ORD12754</t>
  </si>
  <si>
    <t>ORD13062</t>
  </si>
  <si>
    <t>ORD10630</t>
  </si>
  <si>
    <t>ORD10419</t>
  </si>
  <si>
    <t>ORD10028</t>
  </si>
  <si>
    <t>ORD12879</t>
  </si>
  <si>
    <t>ORD12387</t>
  </si>
  <si>
    <t>ORD10861</t>
  </si>
  <si>
    <t>ORD10479</t>
  </si>
  <si>
    <t>ORD13757</t>
  </si>
  <si>
    <t>ORD12099</t>
  </si>
  <si>
    <t>ORD12375</t>
  </si>
  <si>
    <t>ORD13868</t>
  </si>
  <si>
    <t>ORD10602</t>
  </si>
  <si>
    <t>ORD13655</t>
  </si>
  <si>
    <t>ORD11022</t>
  </si>
  <si>
    <t>ORD13994</t>
  </si>
  <si>
    <t>ORD13004</t>
  </si>
  <si>
    <t>ORD13759</t>
  </si>
  <si>
    <t>ORD10264</t>
  </si>
  <si>
    <t>ORD13621</t>
  </si>
  <si>
    <t>ORD12192</t>
  </si>
  <si>
    <t>ORD12193</t>
  </si>
  <si>
    <t>ORD11498</t>
  </si>
  <si>
    <t>ORD13234</t>
  </si>
  <si>
    <t>ORD13542</t>
  </si>
  <si>
    <t>ORD12488</t>
  </si>
  <si>
    <t>ORD12692</t>
  </si>
  <si>
    <t>ORD10134</t>
  </si>
  <si>
    <t>ORD12031</t>
  </si>
  <si>
    <t>ORD11940</t>
  </si>
  <si>
    <t>ORD11139</t>
  </si>
  <si>
    <t>ORD12798</t>
  </si>
  <si>
    <t>ORD12296</t>
  </si>
  <si>
    <t>ORD10018</t>
  </si>
  <si>
    <t>ORD11535</t>
  </si>
  <si>
    <t>ORD13469</t>
  </si>
  <si>
    <t>ORD12492</t>
  </si>
  <si>
    <t>ORD13476</t>
  </si>
  <si>
    <t>ORD13120</t>
  </si>
  <si>
    <t>ORD10737</t>
  </si>
  <si>
    <t>ORD10716</t>
  </si>
  <si>
    <t>ORD11050</t>
  </si>
  <si>
    <t>ORD12403</t>
  </si>
  <si>
    <t>ORD10003</t>
  </si>
  <si>
    <t>ORD12581</t>
  </si>
  <si>
    <t>ORD10007</t>
  </si>
  <si>
    <t>ORD10416</t>
  </si>
  <si>
    <t>ORD10658</t>
  </si>
  <si>
    <t>ORD11209</t>
  </si>
  <si>
    <t>ORD10659</t>
  </si>
  <si>
    <t>ORD13750</t>
  </si>
  <si>
    <t>ORD13429</t>
  </si>
  <si>
    <t>ORD12139</t>
  </si>
  <si>
    <t>ORD10201</t>
  </si>
  <si>
    <t>ORD11024</t>
  </si>
  <si>
    <t>ORD12215</t>
  </si>
  <si>
    <t>ORD10405</t>
  </si>
  <si>
    <t>ORD13883</t>
  </si>
  <si>
    <t>ORD13710</t>
  </si>
  <si>
    <t>ORD13984</t>
  </si>
  <si>
    <t>ORD12659</t>
  </si>
  <si>
    <t>ORD13322</t>
  </si>
  <si>
    <t>ORD13095</t>
  </si>
  <si>
    <t>ORD10726</t>
  </si>
  <si>
    <t>ORD10571</t>
  </si>
  <si>
    <t>ORD10222</t>
  </si>
  <si>
    <t>ORD10349</t>
  </si>
  <si>
    <t>ORD11435</t>
  </si>
  <si>
    <t>ORD10791</t>
  </si>
  <si>
    <t>ORD12883</t>
  </si>
  <si>
    <t>ORD12967</t>
  </si>
  <si>
    <t>ORD10649</t>
  </si>
  <si>
    <t>ORD13728</t>
  </si>
  <si>
    <t>ORD11402</t>
  </si>
  <si>
    <t>ORD10769</t>
  </si>
  <si>
    <t>ORD10452</t>
  </si>
  <si>
    <t>ORD11747</t>
  </si>
  <si>
    <t>ORD13380</t>
  </si>
  <si>
    <t>ORD13785</t>
  </si>
  <si>
    <t>ORD13628</t>
  </si>
  <si>
    <t>ORD12165</t>
  </si>
  <si>
    <t>ORD13531</t>
  </si>
  <si>
    <t>ORD13394</t>
  </si>
  <si>
    <t>ORD10777</t>
  </si>
  <si>
    <t>ORD13416</t>
  </si>
  <si>
    <t>ORD12124</t>
  </si>
  <si>
    <t>ORD13928</t>
  </si>
  <si>
    <t>ORD11220</t>
  </si>
  <si>
    <t>ORD10276</t>
  </si>
  <si>
    <t>ORD12649</t>
  </si>
  <si>
    <t>ORD10521</t>
  </si>
  <si>
    <t>ORD12541</t>
  </si>
  <si>
    <t>ORD12560</t>
  </si>
  <si>
    <t>ORD13336</t>
  </si>
  <si>
    <t>ORD13422</t>
  </si>
  <si>
    <t>ORD11928</t>
  </si>
  <si>
    <t>ORD11084</t>
  </si>
  <si>
    <t>ORD11933</t>
  </si>
  <si>
    <t>ORD12370</t>
  </si>
  <si>
    <t>ORD10698</t>
  </si>
  <si>
    <t>ORD13411</t>
  </si>
  <si>
    <t>ORD10533</t>
  </si>
  <si>
    <t>ORD11142</t>
  </si>
  <si>
    <t>ORD12549</t>
  </si>
  <si>
    <t>ORD13373</t>
  </si>
  <si>
    <t>ORD12684</t>
  </si>
  <si>
    <t>ORD12705</t>
  </si>
  <si>
    <t>ORD13960</t>
  </si>
  <si>
    <t>ORD10016</t>
  </si>
  <si>
    <t>ORD11227</t>
  </si>
  <si>
    <t>ORD11587</t>
  </si>
  <si>
    <t>ORD10319</t>
  </si>
  <si>
    <t>ORD13629</t>
  </si>
  <si>
    <t>ORD12600</t>
  </si>
  <si>
    <t>ORD13763</t>
  </si>
  <si>
    <t>ORD11803</t>
  </si>
  <si>
    <t>ORD12304</t>
  </si>
  <si>
    <t>ORD10439</t>
  </si>
  <si>
    <t>ORD12100</t>
  </si>
  <si>
    <t>ORD11357</t>
  </si>
  <si>
    <t>ORD11246</t>
  </si>
  <si>
    <t>ORD13021</t>
  </si>
  <si>
    <t>ORD11184</t>
  </si>
  <si>
    <t>ORD10089</t>
  </si>
  <si>
    <t>ORD11076</t>
  </si>
  <si>
    <t>ORD10981</t>
  </si>
  <si>
    <t>ORD11140</t>
  </si>
  <si>
    <t>ORD11250</t>
  </si>
  <si>
    <t>ORD12865</t>
  </si>
  <si>
    <t>ORD12717</t>
  </si>
  <si>
    <t>ORD12841</t>
  </si>
  <si>
    <t>ORD10505</t>
  </si>
  <si>
    <t>ORD11299</t>
  </si>
  <si>
    <t>ORD13109</t>
  </si>
  <si>
    <t>ORD10616</t>
  </si>
  <si>
    <t>ORD12753</t>
  </si>
  <si>
    <t>ORD10051</t>
  </si>
  <si>
    <t>ORD13608</t>
  </si>
  <si>
    <t>ORD12689</t>
  </si>
  <si>
    <t>ORD13720</t>
  </si>
  <si>
    <t>ORD10425</t>
  </si>
  <si>
    <t>ORD11159</t>
  </si>
  <si>
    <t>ORD12226</t>
  </si>
  <si>
    <t>ORD10849</t>
  </si>
  <si>
    <t>ORD10829</t>
  </si>
  <si>
    <t>ORD11599</t>
  </si>
  <si>
    <t>ORD10871</t>
  </si>
  <si>
    <t>ORD13556</t>
  </si>
  <si>
    <t>ORD11421</t>
  </si>
  <si>
    <t>ORD10113</t>
  </si>
  <si>
    <t>ORD13460</t>
  </si>
  <si>
    <t>ORD13667</t>
  </si>
  <si>
    <t>ORD11029</t>
  </si>
  <si>
    <t>ORD10187</t>
  </si>
  <si>
    <t>ORD13756</t>
  </si>
  <si>
    <t>ORD12799</t>
  </si>
  <si>
    <t>ORD11995</t>
  </si>
  <si>
    <t>ORD10637</t>
  </si>
  <si>
    <t>ORD13698</t>
  </si>
  <si>
    <t>ORD13154</t>
  </si>
  <si>
    <t>ORD10208</t>
  </si>
  <si>
    <t>ORD10925</t>
  </si>
  <si>
    <t>ORD13963</t>
  </si>
  <si>
    <t>ORD10153</t>
  </si>
  <si>
    <t>ORD11695</t>
  </si>
  <si>
    <t>ORD11314</t>
  </si>
  <si>
    <t>ORD13524</t>
  </si>
  <si>
    <t>ORD10094</t>
  </si>
  <si>
    <t>ORD12117</t>
  </si>
  <si>
    <t>ORD13008</t>
  </si>
  <si>
    <t>ORD10548</t>
  </si>
  <si>
    <t>ORD11091</t>
  </si>
  <si>
    <t>ORD11782</t>
  </si>
  <si>
    <t>ORD11677</t>
  </si>
  <si>
    <t>ORD10557</t>
  </si>
  <si>
    <t>ORD12653</t>
  </si>
  <si>
    <t>ORD10569</t>
  </si>
  <si>
    <t>ORD11126</t>
  </si>
  <si>
    <t>ORD10831</t>
  </si>
  <si>
    <t>ORD10677</t>
  </si>
  <si>
    <t>ORD12713</t>
  </si>
  <si>
    <t>ORD12067</t>
  </si>
  <si>
    <t>ORD12411</t>
  </si>
  <si>
    <t>ORD13537</t>
  </si>
  <si>
    <t>ORD12447</t>
  </si>
  <si>
    <t>ORD13026</t>
  </si>
  <si>
    <t>ORD11727</t>
  </si>
  <si>
    <t>ORD11315</t>
  </si>
  <si>
    <t>ORD12537</t>
  </si>
  <si>
    <t>ORD13207</t>
  </si>
  <si>
    <t>ORD13781</t>
  </si>
  <si>
    <t>ORD10994</t>
  </si>
  <si>
    <t>ORD11551</t>
  </si>
  <si>
    <t>ORD13574</t>
  </si>
  <si>
    <t>Amount</t>
  </si>
  <si>
    <t>Total</t>
  </si>
  <si>
    <t xml:space="preserve">Sales </t>
  </si>
  <si>
    <t>Total Sales and Profit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</si>
  <si>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</si>
  <si>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</si>
  <si>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</si>
  <si>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</si>
  <si>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</si>
  <si>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</si>
  <si>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</si>
  <si>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</si>
  <si>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</si>
  <si>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</si>
  <si>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</si>
  <si>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</si>
  <si>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</si>
  <si>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</si>
  <si>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Sum of Sales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</si>
  <si>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</si>
  <si>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</si>
  <si>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</si>
  <si>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</si>
  <si>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</si>
  <si>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</si>
  <si>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</si>
  <si>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</si>
  <si>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</si>
  <si>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</si>
  <si>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</si>
  <si>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Column Labels</t>
  </si>
  <si>
    <t>Row Labels</t>
  </si>
  <si>
    <t>Sales By Category</t>
  </si>
  <si>
    <t>Sales Amount</t>
  </si>
  <si>
    <t>Sum of Profit</t>
  </si>
  <si>
    <t>Profit By Category</t>
  </si>
  <si>
    <t>Top 10 Prodcuts By Sales</t>
  </si>
  <si>
    <t>Sales By Region</t>
  </si>
  <si>
    <t>Metric</t>
  </si>
  <si>
    <t>Total Sales</t>
  </si>
  <si>
    <t>Total Profit</t>
  </si>
  <si>
    <t>Profit Margin</t>
  </si>
  <si>
    <t>Discount %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</si>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</sst>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_ &quot;₹&quot;\ * #,##0_ ;_ &quot;₹&quot;\ * \-#,##0_ ;_ &quot;₹&quot;\ * &quot;-&quot;??_ ;_ @_ "/>
    <numFmt numFmtId="166" formatCode="&quot;₹&quot;\ #,##0"/>
    <numFmt numFmtId="17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5" fontId="0" fillId="0" borderId="0" xfId="2" applyNumberFormat="1" applyFon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164" fontId="0" fillId="0" borderId="0" xfId="2" applyNumberFormat="1" applyFont="1"/>
    <xf numFmtId="10" fontId="0" fillId="0" borderId="0" xfId="3" applyNumberFormat="1" applyFont="1"/>
    <xf numFmtId="174" fontId="0" fillId="0" borderId="0" xfId="0" applyNumberFormat="1" applyAlignment="1">
      <alignment horizontal="left"/>
    </xf>
    <xf numFmtId="9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&quot;₹&quot;\ #,##0"/>
    </dxf>
    <dxf>
      <numFmt numFmtId="164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 By Category!PivotTable2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Electronics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Category'!$B$4:$B$8</c:f>
              <c:numCache>
                <c:formatCode>"₹"\ #,##0.00</c:formatCode>
                <c:ptCount val="4"/>
                <c:pt idx="0">
                  <c:v>14101035</c:v>
                </c:pt>
                <c:pt idx="1">
                  <c:v>11929040</c:v>
                </c:pt>
                <c:pt idx="2">
                  <c:v>7373445</c:v>
                </c:pt>
                <c:pt idx="3">
                  <c:v>1349919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7-4984-B661-08A7A89B8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446127"/>
        <c:axId val="1511777199"/>
      </c:barChart>
      <c:catAx>
        <c:axId val="154244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77199"/>
        <c:crosses val="autoZero"/>
        <c:auto val="1"/>
        <c:lblAlgn val="ctr"/>
        <c:lblOffset val="100"/>
        <c:noMultiLvlLbl val="0"/>
      </c:catAx>
      <c:valAx>
        <c:axId val="15117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4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 By Category!PivotTable2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Electronics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Category'!$B$4:$B$8</c:f>
              <c:numCache>
                <c:formatCode>"₹"\ #,##0.00</c:formatCode>
                <c:ptCount val="4"/>
                <c:pt idx="0">
                  <c:v>14101035</c:v>
                </c:pt>
                <c:pt idx="1">
                  <c:v>11929040</c:v>
                </c:pt>
                <c:pt idx="2">
                  <c:v>7373445</c:v>
                </c:pt>
                <c:pt idx="3">
                  <c:v>1349919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8-4E1A-B30F-132AD804E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97903"/>
        <c:axId val="1511843439"/>
      </c:barChart>
      <c:catAx>
        <c:axId val="9059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43439"/>
        <c:crosses val="autoZero"/>
        <c:auto val="1"/>
        <c:lblAlgn val="ctr"/>
        <c:lblOffset val="100"/>
        <c:noMultiLvlLbl val="0"/>
      </c:catAx>
      <c:valAx>
        <c:axId val="15118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 By Category!PivotTable2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Electronics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Category'!$B$4:$B$8</c:f>
              <c:numCache>
                <c:formatCode>"₹"\ #,##0.00</c:formatCode>
                <c:ptCount val="4"/>
                <c:pt idx="0">
                  <c:v>14101035</c:v>
                </c:pt>
                <c:pt idx="1">
                  <c:v>11929040</c:v>
                </c:pt>
                <c:pt idx="2">
                  <c:v>7373445</c:v>
                </c:pt>
                <c:pt idx="3">
                  <c:v>1349919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A-4393-8D48-532B78B10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444271"/>
        <c:axId val="1511724399"/>
      </c:barChart>
      <c:catAx>
        <c:axId val="154244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24399"/>
        <c:crosses val="autoZero"/>
        <c:auto val="1"/>
        <c:lblAlgn val="ctr"/>
        <c:lblOffset val="100"/>
        <c:noMultiLvlLbl val="0"/>
      </c:catAx>
      <c:valAx>
        <c:axId val="15117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4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[Sales_Analysis.xlsx]Profit By Category!PivotTable4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Category'!$A$3:$A$7</c:f>
              <c:strCache>
                <c:ptCount val="4"/>
                <c:pt idx="0">
                  <c:v>Furniture</c:v>
                </c:pt>
                <c:pt idx="1">
                  <c:v>Electronics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'Profit By Category'!$B$3:$B$7</c:f>
              <c:numCache>
                <c:formatCode>"₹"\ #,##0</c:formatCode>
                <c:ptCount val="4"/>
                <c:pt idx="0">
                  <c:v>3142435</c:v>
                </c:pt>
                <c:pt idx="1">
                  <c:v>2691280</c:v>
                </c:pt>
                <c:pt idx="2">
                  <c:v>1731495</c:v>
                </c:pt>
                <c:pt idx="3">
                  <c:v>448099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3-42AD-82A2-CD5C7198C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805359"/>
        <c:axId val="1511760879"/>
      </c:barChart>
      <c:catAx>
        <c:axId val="152880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60879"/>
        <c:crosses val="autoZero"/>
        <c:auto val="1"/>
        <c:lblAlgn val="ctr"/>
        <c:lblOffset val="100"/>
        <c:noMultiLvlLbl val="0"/>
      </c:catAx>
      <c:valAx>
        <c:axId val="151176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0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[Sales_Analysis.xlsx]Top 10 Product By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Prodcuts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 By Sales'!$B$2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 By Sales'!$A$3:$A$13</c:f>
              <c:strCache>
                <c:ptCount val="10"/>
                <c:pt idx="0">
                  <c:v>Monitor 24-inch</c:v>
                </c:pt>
                <c:pt idx="1">
                  <c:v>Office Chair</c:v>
                </c:pt>
                <c:pt idx="2">
                  <c:v>Air Fryer</c:v>
                </c:pt>
                <c:pt idx="3">
                  <c:v>Study Table</c:v>
                </c:pt>
                <c:pt idx="4">
                  <c:v>Filing Cabinet</c:v>
                </c:pt>
                <c:pt idx="5">
                  <c:v>Bookshelf</c:v>
                </c:pt>
                <c:pt idx="6">
                  <c:v>Mixer Grinder</c:v>
                </c:pt>
                <c:pt idx="7">
                  <c:v>Headphones</c:v>
                </c:pt>
                <c:pt idx="8">
                  <c:v>Bluetooth Speaker</c:v>
                </c:pt>
                <c:pt idx="9">
                  <c:v>Table Fan</c:v>
                </c:pt>
              </c:strCache>
            </c:strRef>
          </c:cat>
          <c:val>
            <c:numRef>
              <c:f>'Top 10 Product By Sales'!$B$3:$B$13</c:f>
              <c:numCache>
                <c:formatCode>"₹"\ #,##0</c:formatCode>
                <c:ptCount val="10"/>
                <c:pt idx="0">
                  <c:v>6611325</c:v>
                </c:pt>
                <c:pt idx="1">
                  <c:v>4667625</c:v>
                </c:pt>
                <c:pt idx="2">
                  <c:v>3643780</c:v>
                </c:pt>
                <c:pt idx="3">
                  <c:v>3523770</c:v>
                </c:pt>
                <c:pt idx="4">
                  <c:v>3465000</c:v>
                </c:pt>
                <c:pt idx="5">
                  <c:v>2444640</c:v>
                </c:pt>
                <c:pt idx="6">
                  <c:v>1900920</c:v>
                </c:pt>
                <c:pt idx="7">
                  <c:v>1765260</c:v>
                </c:pt>
                <c:pt idx="8">
                  <c:v>1288870</c:v>
                </c:pt>
                <c:pt idx="9">
                  <c:v>975360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B-4DD9-8324-0F788621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87695"/>
        <c:axId val="1511847759"/>
      </c:barChart>
      <c:catAx>
        <c:axId val="9058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47759"/>
        <c:crosses val="autoZero"/>
        <c:auto val="1"/>
        <c:lblAlgn val="ctr"/>
        <c:lblOffset val="100"/>
        <c:noMultiLvlLbl val="0"/>
      </c:catAx>
      <c:valAx>
        <c:axId val="1511847759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 By Region!PivotTable9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Region'!$A$3:$A$7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'Sales By Region'!$B$3:$B$7</c:f>
              <c:numCache>
                <c:formatCode>"₹"\ #,##0</c:formatCode>
                <c:ptCount val="4"/>
                <c:pt idx="0">
                  <c:v>14737556.5</c:v>
                </c:pt>
                <c:pt idx="1">
                  <c:v>9511001.5</c:v>
                </c:pt>
                <c:pt idx="2">
                  <c:v>6288800.5</c:v>
                </c:pt>
                <c:pt idx="3">
                  <c:v>4216080.5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5-4974-BD0E-FAC48C07E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86671"/>
        <c:axId val="1511790639"/>
      </c:barChart>
      <c:catAx>
        <c:axId val="4378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90639"/>
        <c:crosses val="autoZero"/>
        <c:auto val="1"/>
        <c:lblAlgn val="ctr"/>
        <c:lblOffset val="100"/>
        <c:noMultiLvlLbl val="0"/>
      </c:catAx>
      <c:valAx>
        <c:axId val="1511790639"/>
        <c:scaling>
          <c:orientation val="minMax"/>
          <c:min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90487</xdr:rowOff>
    </xdr:from>
    <xdr:to>
      <xdr:col>9</xdr:col>
      <xdr:colOff>333375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2ECB4-11F8-FC69-16C9-1E609E27D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3</xdr:row>
      <xdr:rowOff>90487</xdr:rowOff>
    </xdr:from>
    <xdr:to>
      <xdr:col>9</xdr:col>
      <xdr:colOff>523875</xdr:colOff>
      <xdr:row>17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FF75E1-FE04-D78F-CEF1-46E988567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219075</xdr:colOff>
      <xdr:row>3</xdr:row>
      <xdr:rowOff>90487</xdr:rowOff>
    </xdr:from>
    <xdr:to>
      <xdr:col>9</xdr:col>
      <xdr:colOff>523875</xdr:colOff>
      <xdr:row>17</xdr:row>
      <xdr:rowOff>166687</xdr:rowOff>
    </xdr:to>
    <xdr:graphicFrame macro="">
      <xdr:nvGraphicFramePr>
        <xdr:cNvPr id="5" name="Sales Category">
          <a:extLst>
            <a:ext uri="{FF2B5EF4-FFF2-40B4-BE49-F238E27FC236}">
              <a16:creationId xmlns:a16="http://schemas.microsoft.com/office/drawing/2014/main" id="{8B9DD775-6C23-E467-7923-0196421A4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23812</xdr:rowOff>
    </xdr:from>
    <xdr:to>
      <xdr:col>10</xdr:col>
      <xdr:colOff>314325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9145C-C7D7-192D-89F2-54CB7F342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0</xdr:row>
      <xdr:rowOff>52387</xdr:rowOff>
    </xdr:from>
    <xdr:to>
      <xdr:col>10</xdr:col>
      <xdr:colOff>319087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6DE24D-C436-BBDA-69D4-6D55DD490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33337</xdr:rowOff>
    </xdr:from>
    <xdr:to>
      <xdr:col>10</xdr:col>
      <xdr:colOff>285750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92FA6-53BF-1FA1-C4F1-699964176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465229629626" createdVersion="8" refreshedVersion="8" minRefreshableVersion="3" recordCount="4000" xr:uid="{FD8A948A-2DB4-4EC0-97DF-BA46F0DD3D02}">
  <cacheSource type="worksheet">
    <worksheetSource name="SalesData"/>
  </cacheSource>
  <cacheFields count="18">
    <cacheField name="Order ID" numFmtId="0">
      <sharedItems/>
    </cacheField>
    <cacheField name="Order Date" numFmtId="14">
      <sharedItems containsSemiMixedTypes="0" containsNonDate="0" containsDate="1" containsString="0" minDate="2025-01-01T00:00:00" maxDate="2035-12-15T00:00:00" count="400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</sharedItems>
      <fieldGroup par="16"/>
    </cacheField>
    <cacheField name="Customer ID" numFmtId="0">
      <sharedItems/>
    </cacheField>
    <cacheField name="Customer Name" numFmtId="0">
      <sharedItems/>
    </cacheField>
    <cacheField name="Region" numFmtId="0">
      <sharedItems count="4">
        <s v="East"/>
        <s v="South"/>
        <s v="West"/>
        <s v="North"/>
      </sharedItems>
    </cacheField>
    <cacheField name="State" numFmtId="0">
      <sharedItems/>
    </cacheField>
    <cacheField name="Category" numFmtId="0">
      <sharedItems count="4">
        <s v="Office Supplies"/>
        <s v="Home Appliances"/>
        <s v="Electronics"/>
        <s v="Furniture"/>
      </sharedItems>
    </cacheField>
    <cacheField name="Sub-Category" numFmtId="0">
      <sharedItems/>
    </cacheField>
    <cacheField name="Product" numFmtId="0">
      <sharedItems count="19">
        <s v="Desk Organizer"/>
        <s v="Electric Kettle"/>
        <s v="Mixer Grinder"/>
        <s v="Printer Paper"/>
        <s v="Air Fryer"/>
        <s v="Bluetooth Speaker"/>
        <s v="Filing Cabinet"/>
        <s v="Table Fan"/>
        <s v="Laptop Stand"/>
        <s v="Wireless Mouse"/>
        <s v="Stapler"/>
        <s v="Monitor 24-inch"/>
        <s v="Office Chair"/>
        <s v="Keyboard"/>
        <s v="Bookshelf"/>
        <s v="Notebook Pack"/>
        <s v="Study Table"/>
        <s v="Headphones"/>
        <s v="Pen Set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80" maxValue="10500"/>
    </cacheField>
    <cacheField name="Discount" numFmtId="0">
      <sharedItems containsSemiMixedTypes="0" containsString="0" containsNumber="1" minValue="0" maxValue="0.25" count="6">
        <n v="0.1"/>
        <n v="0.25"/>
        <n v="0"/>
        <n v="0.15"/>
        <n v="0.05"/>
        <n v="0.2"/>
      </sharedItems>
    </cacheField>
    <cacheField name="Sales" numFmtId="0">
      <sharedItems containsSemiMixedTypes="0" containsString="0" containsNumber="1" minValue="210" maxValue="52500"/>
    </cacheField>
    <cacheField name="Cost" numFmtId="0">
      <sharedItems containsSemiMixedTypes="0" containsString="0" containsNumber="1" containsInteger="1" minValue="160" maxValue="38000"/>
    </cacheField>
    <cacheField name="Profit" numFmtId="0">
      <sharedItems containsSemiMixedTypes="0" containsString="0" containsNumber="1" minValue="50" maxValue="14500"/>
    </cacheField>
    <cacheField name="Months (Order Date)" numFmtId="0" databaseField="0">
      <fieldGroup base="1">
        <rangePr groupBy="months" startDate="2025-01-01T00:00:00" endDate="2035-12-15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12-2035"/>
        </groupItems>
      </fieldGroup>
    </cacheField>
    <cacheField name="Years (Order Date)" numFmtId="0" databaseField="0">
      <fieldGroup base="1">
        <rangePr groupBy="years" startDate="2025-01-01T00:00:00" endDate="2035-12-15T00:00:00"/>
        <groupItems count="13">
          <s v="&lt;01-01-2025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15-12-2035"/>
        </groupItems>
      </fieldGroup>
    </cacheField>
    <cacheField name="Profit 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s v="ORD10824"/>
    <x v="0"/>
    <s v="CUST1326"/>
    <s v="Customer 326"/>
    <x v="0"/>
    <s v="Jharkhand"/>
    <x v="0"/>
    <s v="Accessories"/>
    <x v="0"/>
    <n v="4"/>
    <n v="650"/>
    <x v="0"/>
    <n v="2340"/>
    <n v="1560"/>
    <n v="780"/>
  </r>
  <r>
    <s v="ORD13420"/>
    <x v="1"/>
    <s v="CUST1143"/>
    <s v="Customer 143"/>
    <x v="1"/>
    <s v="Telangana"/>
    <x v="1"/>
    <s v="Kitchen"/>
    <x v="1"/>
    <n v="4"/>
    <n v="1900"/>
    <x v="1"/>
    <n v="5700"/>
    <n v="5000"/>
    <n v="700"/>
  </r>
  <r>
    <s v="ORD13465"/>
    <x v="2"/>
    <s v="CUST1180"/>
    <s v="Customer 180"/>
    <x v="1"/>
    <s v="Tamil Nadu"/>
    <x v="1"/>
    <s v="Kitchen"/>
    <x v="2"/>
    <n v="1"/>
    <n v="4200"/>
    <x v="2"/>
    <n v="4200"/>
    <n v="2900"/>
    <n v="1300"/>
  </r>
  <r>
    <s v="ORD11547"/>
    <x v="3"/>
    <s v="CUST1344"/>
    <s v="Customer 344"/>
    <x v="2"/>
    <s v="Rajasthan"/>
    <x v="0"/>
    <s v="Paper"/>
    <x v="3"/>
    <n v="3"/>
    <n v="520"/>
    <x v="0"/>
    <n v="1404"/>
    <n v="990"/>
    <n v="414"/>
  </r>
  <r>
    <s v="ORD12438"/>
    <x v="4"/>
    <s v="CUST1339"/>
    <s v="Customer 339"/>
    <x v="1"/>
    <s v="Karnataka"/>
    <x v="1"/>
    <s v="Kitchen"/>
    <x v="4"/>
    <n v="1"/>
    <n v="6800"/>
    <x v="3"/>
    <n v="5780"/>
    <n v="4700"/>
    <n v="1080"/>
  </r>
  <r>
    <s v="ORD10093"/>
    <x v="5"/>
    <s v="CUST1421"/>
    <s v="Customer 421"/>
    <x v="2"/>
    <s v="Rajasthan"/>
    <x v="2"/>
    <s v="Audio"/>
    <x v="5"/>
    <n v="5"/>
    <n v="2200"/>
    <x v="4"/>
    <n v="10450"/>
    <n v="7250"/>
    <n v="3200"/>
  </r>
  <r>
    <s v="ORD13812"/>
    <x v="6"/>
    <s v="CUST1223"/>
    <s v="Customer 223"/>
    <x v="1"/>
    <s v="Tamil Nadu"/>
    <x v="3"/>
    <s v="Storage"/>
    <x v="6"/>
    <n v="1"/>
    <n v="5600"/>
    <x v="2"/>
    <n v="5600"/>
    <n v="3900"/>
    <n v="1700"/>
  </r>
  <r>
    <s v="ORD13842"/>
    <x v="7"/>
    <s v="CUST1248"/>
    <s v="Customer 248"/>
    <x v="1"/>
    <s v="Telangana"/>
    <x v="1"/>
    <s v="Appliances"/>
    <x v="7"/>
    <n v="2"/>
    <n v="2400"/>
    <x v="1"/>
    <n v="3600"/>
    <n v="3300"/>
    <n v="300"/>
  </r>
  <r>
    <s v="ORD10514"/>
    <x v="8"/>
    <s v="CUST1409"/>
    <s v="Customer 409"/>
    <x v="1"/>
    <s v="Telangana"/>
    <x v="1"/>
    <s v="Kitchen"/>
    <x v="4"/>
    <n v="4"/>
    <n v="6800"/>
    <x v="4"/>
    <n v="25840"/>
    <n v="18800"/>
    <n v="7040"/>
  </r>
  <r>
    <s v="ORD10899"/>
    <x v="9"/>
    <s v="CUST1036"/>
    <s v="Customer 036"/>
    <x v="2"/>
    <s v="Gujarat"/>
    <x v="2"/>
    <s v="Accessories"/>
    <x v="8"/>
    <n v="3"/>
    <n v="1800"/>
    <x v="1"/>
    <n v="4050"/>
    <n v="3300"/>
    <n v="750"/>
  </r>
  <r>
    <s v="ORD13544"/>
    <x v="10"/>
    <s v="CUST1388"/>
    <s v="Customer 388"/>
    <x v="2"/>
    <s v="Maharashtra"/>
    <x v="1"/>
    <s v="Kitchen"/>
    <x v="2"/>
    <n v="3"/>
    <n v="4200"/>
    <x v="2"/>
    <n v="12600"/>
    <n v="8700"/>
    <n v="3900"/>
  </r>
  <r>
    <s v="ORD11005"/>
    <x v="11"/>
    <s v="CUST1065"/>
    <s v="Customer 065"/>
    <x v="1"/>
    <s v="Karnataka"/>
    <x v="2"/>
    <s v="Accessories"/>
    <x v="9"/>
    <n v="5"/>
    <n v="850"/>
    <x v="0"/>
    <n v="3825"/>
    <n v="2800"/>
    <n v="1025"/>
  </r>
  <r>
    <s v="ORD13872"/>
    <x v="12"/>
    <s v="CUST1052"/>
    <s v="Customer 052"/>
    <x v="1"/>
    <s v="Karnataka"/>
    <x v="0"/>
    <s v="Stationery"/>
    <x v="10"/>
    <n v="3"/>
    <n v="280"/>
    <x v="5"/>
    <n v="672"/>
    <n v="480"/>
    <n v="192"/>
  </r>
  <r>
    <s v="ORD13181"/>
    <x v="13"/>
    <s v="CUST1112"/>
    <s v="Customer 112"/>
    <x v="2"/>
    <s v="Maharashtra"/>
    <x v="2"/>
    <s v="Monitors"/>
    <x v="11"/>
    <n v="3"/>
    <n v="10500"/>
    <x v="0"/>
    <n v="28350"/>
    <n v="22800"/>
    <n v="5550"/>
  </r>
  <r>
    <s v="ORD11736"/>
    <x v="14"/>
    <s v="CUST1400"/>
    <s v="Customer 400"/>
    <x v="0"/>
    <s v="West Bengal"/>
    <x v="0"/>
    <s v="Accessories"/>
    <x v="0"/>
    <n v="3"/>
    <n v="650"/>
    <x v="0"/>
    <n v="1755"/>
    <n v="1170"/>
    <n v="585"/>
  </r>
  <r>
    <s v="ORD13140"/>
    <x v="15"/>
    <s v="CUST1248"/>
    <s v="Customer 248"/>
    <x v="3"/>
    <s v="Uttar Pradesh"/>
    <x v="2"/>
    <s v="Accessories"/>
    <x v="8"/>
    <n v="4"/>
    <n v="1800"/>
    <x v="1"/>
    <n v="5400"/>
    <n v="4400"/>
    <n v="1000"/>
  </r>
  <r>
    <s v="ORD13184"/>
    <x v="16"/>
    <s v="CUST1029"/>
    <s v="Customer 029"/>
    <x v="3"/>
    <s v="Uttar Pradesh"/>
    <x v="1"/>
    <s v="Kitchen"/>
    <x v="4"/>
    <n v="3"/>
    <n v="6800"/>
    <x v="2"/>
    <n v="20400"/>
    <n v="14100"/>
    <n v="6300"/>
  </r>
  <r>
    <s v="ORD13598"/>
    <x v="17"/>
    <s v="CUST1278"/>
    <s v="Customer 278"/>
    <x v="1"/>
    <s v="Karnataka"/>
    <x v="3"/>
    <s v="Chairs"/>
    <x v="12"/>
    <n v="1"/>
    <n v="7500"/>
    <x v="0"/>
    <n v="6750"/>
    <n v="5200"/>
    <n v="1550"/>
  </r>
  <r>
    <s v="ORD10498"/>
    <x v="18"/>
    <s v="CUST1188"/>
    <s v="Customer 188"/>
    <x v="1"/>
    <s v="Telangana"/>
    <x v="1"/>
    <s v="Kitchen"/>
    <x v="4"/>
    <n v="2"/>
    <n v="6800"/>
    <x v="3"/>
    <n v="11560"/>
    <n v="9400"/>
    <n v="2160"/>
  </r>
  <r>
    <s v="ORD12666"/>
    <x v="19"/>
    <s v="CUST1269"/>
    <s v="Customer 269"/>
    <x v="1"/>
    <s v="Karnataka"/>
    <x v="0"/>
    <s v="Stationery"/>
    <x v="10"/>
    <n v="2"/>
    <n v="280"/>
    <x v="5"/>
    <n v="448"/>
    <n v="320"/>
    <n v="128"/>
  </r>
  <r>
    <s v="ORD12714"/>
    <x v="20"/>
    <s v="CUST1261"/>
    <s v="Customer 261"/>
    <x v="0"/>
    <s v="Bihar"/>
    <x v="2"/>
    <s v="Accessories"/>
    <x v="13"/>
    <n v="3"/>
    <n v="1400"/>
    <x v="3"/>
    <n v="3570"/>
    <n v="2700"/>
    <n v="870"/>
  </r>
  <r>
    <s v="ORD11881"/>
    <x v="21"/>
    <s v="CUST1193"/>
    <s v="Customer 193"/>
    <x v="3"/>
    <s v="Punjab"/>
    <x v="2"/>
    <s v="Accessories"/>
    <x v="13"/>
    <n v="3"/>
    <n v="1400"/>
    <x v="2"/>
    <n v="4200"/>
    <n v="2700"/>
    <n v="1500"/>
  </r>
  <r>
    <s v="ORD13288"/>
    <x v="22"/>
    <s v="CUST1101"/>
    <s v="Customer 101"/>
    <x v="2"/>
    <s v="Goa"/>
    <x v="1"/>
    <s v="Kitchen"/>
    <x v="1"/>
    <n v="5"/>
    <n v="1900"/>
    <x v="0"/>
    <n v="8550"/>
    <n v="6250"/>
    <n v="2300"/>
  </r>
  <r>
    <s v="ORD12773"/>
    <x v="23"/>
    <s v="CUST1102"/>
    <s v="Customer 102"/>
    <x v="1"/>
    <s v="Kerala"/>
    <x v="3"/>
    <s v="Storage"/>
    <x v="14"/>
    <n v="1"/>
    <n v="4800"/>
    <x v="3"/>
    <n v="4080"/>
    <n v="3300"/>
    <n v="780"/>
  </r>
  <r>
    <s v="ORD11851"/>
    <x v="24"/>
    <s v="CUST1041"/>
    <s v="Customer 041"/>
    <x v="2"/>
    <s v="Maharashtra"/>
    <x v="2"/>
    <s v="Audio"/>
    <x v="5"/>
    <n v="5"/>
    <n v="2200"/>
    <x v="3"/>
    <n v="9350"/>
    <n v="7250"/>
    <n v="2100"/>
  </r>
  <r>
    <s v="ORD13721"/>
    <x v="25"/>
    <s v="CUST1320"/>
    <s v="Customer 320"/>
    <x v="3"/>
    <s v="Uttar Pradesh"/>
    <x v="2"/>
    <s v="Accessories"/>
    <x v="9"/>
    <n v="2"/>
    <n v="850"/>
    <x v="5"/>
    <n v="1360"/>
    <n v="1120"/>
    <n v="240"/>
  </r>
  <r>
    <s v="ORD11616"/>
    <x v="26"/>
    <s v="CUST1087"/>
    <s v="Customer 087"/>
    <x v="3"/>
    <s v="Uttar Pradesh"/>
    <x v="3"/>
    <s v="Storage"/>
    <x v="6"/>
    <n v="1"/>
    <n v="5600"/>
    <x v="4"/>
    <n v="5320"/>
    <n v="3900"/>
    <n v="1420"/>
  </r>
  <r>
    <s v="ORD13534"/>
    <x v="27"/>
    <s v="CUST1495"/>
    <s v="Customer 495"/>
    <x v="1"/>
    <s v="Telangana"/>
    <x v="0"/>
    <s v="Accessories"/>
    <x v="0"/>
    <n v="2"/>
    <n v="650"/>
    <x v="4"/>
    <n v="1235"/>
    <n v="780"/>
    <n v="455"/>
  </r>
  <r>
    <s v="ORD10702"/>
    <x v="28"/>
    <s v="CUST1309"/>
    <s v="Customer 309"/>
    <x v="2"/>
    <s v="Rajasthan"/>
    <x v="3"/>
    <s v="Storage"/>
    <x v="6"/>
    <n v="1"/>
    <n v="5600"/>
    <x v="3"/>
    <n v="4760"/>
    <n v="3900"/>
    <n v="860"/>
  </r>
  <r>
    <s v="ORD11560"/>
    <x v="29"/>
    <s v="CUST1428"/>
    <s v="Customer 428"/>
    <x v="2"/>
    <s v="Goa"/>
    <x v="0"/>
    <s v="Accessories"/>
    <x v="0"/>
    <n v="1"/>
    <n v="650"/>
    <x v="2"/>
    <n v="650"/>
    <n v="390"/>
    <n v="260"/>
  </r>
  <r>
    <s v="ORD11620"/>
    <x v="30"/>
    <s v="CUST1496"/>
    <s v="Customer 496"/>
    <x v="0"/>
    <s v="Jharkhand"/>
    <x v="0"/>
    <s v="Paper"/>
    <x v="3"/>
    <n v="2"/>
    <n v="520"/>
    <x v="3"/>
    <n v="884"/>
    <n v="660"/>
    <n v="224"/>
  </r>
  <r>
    <s v="ORD13685"/>
    <x v="31"/>
    <s v="CUST1488"/>
    <s v="Customer 488"/>
    <x v="2"/>
    <s v="Goa"/>
    <x v="1"/>
    <s v="Kitchen"/>
    <x v="1"/>
    <n v="3"/>
    <n v="1900"/>
    <x v="2"/>
    <n v="5700"/>
    <n v="3750"/>
    <n v="1950"/>
  </r>
  <r>
    <s v="ORD12072"/>
    <x v="32"/>
    <s v="CUST1324"/>
    <s v="Customer 324"/>
    <x v="2"/>
    <s v="Goa"/>
    <x v="1"/>
    <s v="Kitchen"/>
    <x v="4"/>
    <n v="4"/>
    <n v="6800"/>
    <x v="1"/>
    <n v="20400"/>
    <n v="18800"/>
    <n v="1600"/>
  </r>
  <r>
    <s v="ORD11921"/>
    <x v="33"/>
    <s v="CUST1197"/>
    <s v="Customer 197"/>
    <x v="1"/>
    <s v="Karnataka"/>
    <x v="2"/>
    <s v="Accessories"/>
    <x v="9"/>
    <n v="3"/>
    <n v="850"/>
    <x v="2"/>
    <n v="2550"/>
    <n v="1680"/>
    <n v="870"/>
  </r>
  <r>
    <s v="ORD10825"/>
    <x v="34"/>
    <s v="CUST1312"/>
    <s v="Customer 312"/>
    <x v="0"/>
    <s v="Bihar"/>
    <x v="1"/>
    <s v="Kitchen"/>
    <x v="4"/>
    <n v="5"/>
    <n v="6800"/>
    <x v="4"/>
    <n v="32300"/>
    <n v="23500"/>
    <n v="8800"/>
  </r>
  <r>
    <s v="ORD10174"/>
    <x v="35"/>
    <s v="CUST1362"/>
    <s v="Customer 362"/>
    <x v="1"/>
    <s v="Kerala"/>
    <x v="3"/>
    <s v="Storage"/>
    <x v="14"/>
    <n v="2"/>
    <n v="4800"/>
    <x v="5"/>
    <n v="7680"/>
    <n v="6600"/>
    <n v="1080"/>
  </r>
  <r>
    <s v="ORD12277"/>
    <x v="36"/>
    <s v="CUST1105"/>
    <s v="Customer 105"/>
    <x v="1"/>
    <s v="Karnataka"/>
    <x v="0"/>
    <s v="Stationery"/>
    <x v="15"/>
    <n v="5"/>
    <n v="450"/>
    <x v="4"/>
    <n v="2137.5"/>
    <n v="1300"/>
    <n v="837.5"/>
  </r>
  <r>
    <s v="ORD10480"/>
    <x v="37"/>
    <s v="CUST1055"/>
    <s v="Customer 055"/>
    <x v="0"/>
    <s v="Bihar"/>
    <x v="0"/>
    <s v="Accessories"/>
    <x v="0"/>
    <n v="5"/>
    <n v="650"/>
    <x v="2"/>
    <n v="3250"/>
    <n v="1950"/>
    <n v="1300"/>
  </r>
  <r>
    <s v="ORD11817"/>
    <x v="38"/>
    <s v="CUST1118"/>
    <s v="Customer 118"/>
    <x v="2"/>
    <s v="Rajasthan"/>
    <x v="2"/>
    <s v="Accessories"/>
    <x v="13"/>
    <n v="5"/>
    <n v="1400"/>
    <x v="4"/>
    <n v="6650"/>
    <n v="4500"/>
    <n v="2150"/>
  </r>
  <r>
    <s v="ORD12840"/>
    <x v="39"/>
    <s v="CUST1486"/>
    <s v="Customer 486"/>
    <x v="1"/>
    <s v="Tamil Nadu"/>
    <x v="0"/>
    <s v="Stationery"/>
    <x v="10"/>
    <n v="3"/>
    <n v="280"/>
    <x v="1"/>
    <n v="630"/>
    <n v="480"/>
    <n v="150"/>
  </r>
  <r>
    <s v="ORD11762"/>
    <x v="40"/>
    <s v="CUST1205"/>
    <s v="Customer 205"/>
    <x v="1"/>
    <s v="Tamil Nadu"/>
    <x v="2"/>
    <s v="Accessories"/>
    <x v="9"/>
    <n v="2"/>
    <n v="850"/>
    <x v="0"/>
    <n v="1530"/>
    <n v="1120"/>
    <n v="410"/>
  </r>
  <r>
    <s v="ORD11023"/>
    <x v="41"/>
    <s v="CUST1435"/>
    <s v="Customer 435"/>
    <x v="2"/>
    <s v="Maharashtra"/>
    <x v="1"/>
    <s v="Appliances"/>
    <x v="7"/>
    <n v="3"/>
    <n v="2400"/>
    <x v="3"/>
    <n v="6120"/>
    <n v="4950"/>
    <n v="1170"/>
  </r>
  <r>
    <s v="ORD10733"/>
    <x v="42"/>
    <s v="CUST1461"/>
    <s v="Customer 461"/>
    <x v="2"/>
    <s v="Goa"/>
    <x v="3"/>
    <s v="Tables"/>
    <x v="16"/>
    <n v="5"/>
    <n v="6200"/>
    <x v="5"/>
    <n v="24800"/>
    <n v="21500"/>
    <n v="3300"/>
  </r>
  <r>
    <s v="ORD10694"/>
    <x v="43"/>
    <s v="CUST1474"/>
    <s v="Customer 474"/>
    <x v="0"/>
    <s v="Jharkhand"/>
    <x v="2"/>
    <s v="Accessories"/>
    <x v="9"/>
    <n v="3"/>
    <n v="850"/>
    <x v="0"/>
    <n v="2295"/>
    <n v="1680"/>
    <n v="615"/>
  </r>
  <r>
    <s v="ORD11222"/>
    <x v="44"/>
    <s v="CUST1277"/>
    <s v="Customer 277"/>
    <x v="3"/>
    <s v="Haryana"/>
    <x v="2"/>
    <s v="Monitors"/>
    <x v="11"/>
    <n v="2"/>
    <n v="10500"/>
    <x v="2"/>
    <n v="21000"/>
    <n v="15200"/>
    <n v="5800"/>
  </r>
  <r>
    <s v="ORD11628"/>
    <x v="45"/>
    <s v="CUST1293"/>
    <s v="Customer 293"/>
    <x v="3"/>
    <s v="Delhi"/>
    <x v="3"/>
    <s v="Tables"/>
    <x v="16"/>
    <n v="3"/>
    <n v="6200"/>
    <x v="5"/>
    <n v="14880"/>
    <n v="12900"/>
    <n v="1980"/>
  </r>
  <r>
    <s v="ORD13572"/>
    <x v="46"/>
    <s v="CUST1422"/>
    <s v="Customer 422"/>
    <x v="1"/>
    <s v="Andhra Pradesh"/>
    <x v="1"/>
    <s v="Kitchen"/>
    <x v="4"/>
    <n v="2"/>
    <n v="6800"/>
    <x v="0"/>
    <n v="12240"/>
    <n v="9400"/>
    <n v="2840"/>
  </r>
  <r>
    <s v="ORD13885"/>
    <x v="47"/>
    <s v="CUST1082"/>
    <s v="Customer 082"/>
    <x v="2"/>
    <s v="Maharashtra"/>
    <x v="2"/>
    <s v="Audio"/>
    <x v="17"/>
    <n v="1"/>
    <n v="2800"/>
    <x v="4"/>
    <n v="2660"/>
    <n v="1800"/>
    <n v="860"/>
  </r>
  <r>
    <s v="ORD13894"/>
    <x v="48"/>
    <s v="CUST1101"/>
    <s v="Customer 101"/>
    <x v="3"/>
    <s v="Uttar Pradesh"/>
    <x v="0"/>
    <s v="Stationery"/>
    <x v="18"/>
    <n v="2"/>
    <n v="300"/>
    <x v="2"/>
    <n v="600"/>
    <n v="340"/>
    <n v="260"/>
  </r>
  <r>
    <s v="ORD10440"/>
    <x v="49"/>
    <s v="CUST1199"/>
    <s v="Customer 199"/>
    <x v="3"/>
    <s v="Punjab"/>
    <x v="2"/>
    <s v="Monitors"/>
    <x v="11"/>
    <n v="3"/>
    <n v="10500"/>
    <x v="4"/>
    <n v="29925"/>
    <n v="22800"/>
    <n v="7125"/>
  </r>
  <r>
    <s v="ORD11339"/>
    <x v="50"/>
    <s v="CUST1388"/>
    <s v="Customer 388"/>
    <x v="1"/>
    <s v="Andhra Pradesh"/>
    <x v="0"/>
    <s v="Paper"/>
    <x v="3"/>
    <n v="4"/>
    <n v="520"/>
    <x v="5"/>
    <n v="1664"/>
    <n v="1320"/>
    <n v="344"/>
  </r>
  <r>
    <s v="ORD11894"/>
    <x v="51"/>
    <s v="CUST1356"/>
    <s v="Customer 356"/>
    <x v="2"/>
    <s v="Goa"/>
    <x v="1"/>
    <s v="Kitchen"/>
    <x v="2"/>
    <n v="5"/>
    <n v="4200"/>
    <x v="0"/>
    <n v="18900"/>
    <n v="14500"/>
    <n v="4400"/>
  </r>
  <r>
    <s v="ORD10454"/>
    <x v="52"/>
    <s v="CUST1013"/>
    <s v="Customer 013"/>
    <x v="3"/>
    <s v="Punjab"/>
    <x v="1"/>
    <s v="Kitchen"/>
    <x v="1"/>
    <n v="5"/>
    <n v="1900"/>
    <x v="5"/>
    <n v="7600"/>
    <n v="6250"/>
    <n v="1350"/>
  </r>
  <r>
    <s v="ORD12767"/>
    <x v="53"/>
    <s v="CUST1185"/>
    <s v="Customer 185"/>
    <x v="2"/>
    <s v="Maharashtra"/>
    <x v="2"/>
    <s v="Monitors"/>
    <x v="11"/>
    <n v="2"/>
    <n v="10500"/>
    <x v="5"/>
    <n v="16800"/>
    <n v="15200"/>
    <n v="1600"/>
  </r>
  <r>
    <s v="ORD13565"/>
    <x v="54"/>
    <s v="CUST1391"/>
    <s v="Customer 391"/>
    <x v="0"/>
    <s v="Odisha"/>
    <x v="2"/>
    <s v="Audio"/>
    <x v="17"/>
    <n v="5"/>
    <n v="2800"/>
    <x v="3"/>
    <n v="11900"/>
    <n v="9000"/>
    <n v="2900"/>
  </r>
  <r>
    <s v="ORD12485"/>
    <x v="55"/>
    <s v="CUST1172"/>
    <s v="Customer 172"/>
    <x v="3"/>
    <s v="Punjab"/>
    <x v="2"/>
    <s v="Accessories"/>
    <x v="8"/>
    <n v="3"/>
    <n v="1800"/>
    <x v="3"/>
    <n v="4590"/>
    <n v="3300"/>
    <n v="1290"/>
  </r>
  <r>
    <s v="ORD13367"/>
    <x v="56"/>
    <s v="CUST1311"/>
    <s v="Customer 311"/>
    <x v="2"/>
    <s v="Goa"/>
    <x v="2"/>
    <s v="Audio"/>
    <x v="5"/>
    <n v="1"/>
    <n v="2200"/>
    <x v="4"/>
    <n v="2090"/>
    <n v="1450"/>
    <n v="640"/>
  </r>
  <r>
    <s v="ORD10508"/>
    <x v="57"/>
    <s v="CUST1124"/>
    <s v="Customer 124"/>
    <x v="0"/>
    <s v="Odisha"/>
    <x v="2"/>
    <s v="Accessories"/>
    <x v="9"/>
    <n v="1"/>
    <n v="850"/>
    <x v="4"/>
    <n v="807.5"/>
    <n v="560"/>
    <n v="247.5"/>
  </r>
  <r>
    <s v="ORD11330"/>
    <x v="58"/>
    <s v="CUST1171"/>
    <s v="Customer 171"/>
    <x v="1"/>
    <s v="Karnataka"/>
    <x v="0"/>
    <s v="Stationery"/>
    <x v="15"/>
    <n v="4"/>
    <n v="450"/>
    <x v="1"/>
    <n v="1350"/>
    <n v="1040"/>
    <n v="310"/>
  </r>
  <r>
    <s v="ORD12848"/>
    <x v="59"/>
    <s v="CUST1194"/>
    <s v="Customer 194"/>
    <x v="2"/>
    <s v="Gujarat"/>
    <x v="2"/>
    <s v="Audio"/>
    <x v="17"/>
    <n v="1"/>
    <n v="2800"/>
    <x v="3"/>
    <n v="2380"/>
    <n v="1800"/>
    <n v="580"/>
  </r>
  <r>
    <s v="ORD13356"/>
    <x v="60"/>
    <s v="CUST1221"/>
    <s v="Customer 221"/>
    <x v="0"/>
    <s v="Jharkhand"/>
    <x v="2"/>
    <s v="Accessories"/>
    <x v="13"/>
    <n v="3"/>
    <n v="1400"/>
    <x v="2"/>
    <n v="4200"/>
    <n v="2700"/>
    <n v="1500"/>
  </r>
  <r>
    <s v="ORD11979"/>
    <x v="61"/>
    <s v="CUST1029"/>
    <s v="Customer 029"/>
    <x v="2"/>
    <s v="Goa"/>
    <x v="2"/>
    <s v="Monitors"/>
    <x v="11"/>
    <n v="2"/>
    <n v="10500"/>
    <x v="3"/>
    <n v="17850"/>
    <n v="15200"/>
    <n v="2650"/>
  </r>
  <r>
    <s v="ORD11983"/>
    <x v="62"/>
    <s v="CUST1028"/>
    <s v="Customer 028"/>
    <x v="2"/>
    <s v="Maharashtra"/>
    <x v="1"/>
    <s v="Kitchen"/>
    <x v="4"/>
    <n v="5"/>
    <n v="6800"/>
    <x v="3"/>
    <n v="28900"/>
    <n v="23500"/>
    <n v="5400"/>
  </r>
  <r>
    <s v="ORD12672"/>
    <x v="63"/>
    <s v="CUST1428"/>
    <s v="Customer 428"/>
    <x v="1"/>
    <s v="Andhra Pradesh"/>
    <x v="0"/>
    <s v="Paper"/>
    <x v="3"/>
    <n v="5"/>
    <n v="520"/>
    <x v="2"/>
    <n v="2600"/>
    <n v="1650"/>
    <n v="950"/>
  </r>
  <r>
    <s v="ORD10059"/>
    <x v="64"/>
    <s v="CUST1372"/>
    <s v="Customer 372"/>
    <x v="1"/>
    <s v="Karnataka"/>
    <x v="0"/>
    <s v="Stationery"/>
    <x v="18"/>
    <n v="1"/>
    <n v="300"/>
    <x v="5"/>
    <n v="240"/>
    <n v="170"/>
    <n v="70"/>
  </r>
  <r>
    <s v="ORD13387"/>
    <x v="65"/>
    <s v="CUST1388"/>
    <s v="Customer 388"/>
    <x v="1"/>
    <s v="Andhra Pradesh"/>
    <x v="2"/>
    <s v="Audio"/>
    <x v="17"/>
    <n v="5"/>
    <n v="2800"/>
    <x v="3"/>
    <n v="11900"/>
    <n v="9000"/>
    <n v="2900"/>
  </r>
  <r>
    <s v="ORD11408"/>
    <x v="66"/>
    <s v="CUST1438"/>
    <s v="Customer 438"/>
    <x v="1"/>
    <s v="Tamil Nadu"/>
    <x v="2"/>
    <s v="Monitors"/>
    <x v="11"/>
    <n v="4"/>
    <n v="10500"/>
    <x v="4"/>
    <n v="39900"/>
    <n v="30400"/>
    <n v="9500"/>
  </r>
  <r>
    <s v="ORD13396"/>
    <x v="67"/>
    <s v="CUST1398"/>
    <s v="Customer 398"/>
    <x v="1"/>
    <s v="Andhra Pradesh"/>
    <x v="0"/>
    <s v="Paper"/>
    <x v="3"/>
    <n v="4"/>
    <n v="520"/>
    <x v="4"/>
    <n v="1976"/>
    <n v="1320"/>
    <n v="656"/>
  </r>
  <r>
    <s v="ORD13444"/>
    <x v="68"/>
    <s v="CUST1111"/>
    <s v="Customer 111"/>
    <x v="3"/>
    <s v="Uttar Pradesh"/>
    <x v="2"/>
    <s v="Accessories"/>
    <x v="13"/>
    <n v="1"/>
    <n v="1400"/>
    <x v="3"/>
    <n v="1190"/>
    <n v="900"/>
    <n v="290"/>
  </r>
  <r>
    <s v="ORD12532"/>
    <x v="69"/>
    <s v="CUST1404"/>
    <s v="Customer 404"/>
    <x v="1"/>
    <s v="Tamil Nadu"/>
    <x v="2"/>
    <s v="Audio"/>
    <x v="17"/>
    <n v="3"/>
    <n v="2800"/>
    <x v="4"/>
    <n v="7980"/>
    <n v="5400"/>
    <n v="2580"/>
  </r>
  <r>
    <s v="ORD12669"/>
    <x v="70"/>
    <s v="CUST1039"/>
    <s v="Customer 039"/>
    <x v="0"/>
    <s v="Bihar"/>
    <x v="2"/>
    <s v="Accessories"/>
    <x v="9"/>
    <n v="3"/>
    <n v="850"/>
    <x v="4"/>
    <n v="2422.5"/>
    <n v="1680"/>
    <n v="742.5"/>
  </r>
  <r>
    <s v="ORD13562"/>
    <x v="71"/>
    <s v="CUST1085"/>
    <s v="Customer 085"/>
    <x v="1"/>
    <s v="Telangana"/>
    <x v="3"/>
    <s v="Tables"/>
    <x v="16"/>
    <n v="2"/>
    <n v="6200"/>
    <x v="5"/>
    <n v="9920"/>
    <n v="8600"/>
    <n v="1320"/>
  </r>
  <r>
    <s v="ORD11127"/>
    <x v="72"/>
    <s v="CUST1428"/>
    <s v="Customer 428"/>
    <x v="2"/>
    <s v="Goa"/>
    <x v="2"/>
    <s v="Accessories"/>
    <x v="13"/>
    <n v="5"/>
    <n v="1400"/>
    <x v="2"/>
    <n v="7000"/>
    <n v="4500"/>
    <n v="2500"/>
  </r>
  <r>
    <s v="ORD10944"/>
    <x v="73"/>
    <s v="CUST1238"/>
    <s v="Customer 238"/>
    <x v="1"/>
    <s v="Telangana"/>
    <x v="0"/>
    <s v="Paper"/>
    <x v="3"/>
    <n v="4"/>
    <n v="520"/>
    <x v="0"/>
    <n v="1872"/>
    <n v="1320"/>
    <n v="552"/>
  </r>
  <r>
    <s v="ORD13616"/>
    <x v="74"/>
    <s v="CUST1224"/>
    <s v="Customer 224"/>
    <x v="1"/>
    <s v="Karnataka"/>
    <x v="2"/>
    <s v="Accessories"/>
    <x v="13"/>
    <n v="5"/>
    <n v="1400"/>
    <x v="4"/>
    <n v="6650"/>
    <n v="4500"/>
    <n v="2150"/>
  </r>
  <r>
    <s v="ORD12729"/>
    <x v="75"/>
    <s v="CUST1291"/>
    <s v="Customer 291"/>
    <x v="2"/>
    <s v="Gujarat"/>
    <x v="0"/>
    <s v="Stationery"/>
    <x v="10"/>
    <n v="3"/>
    <n v="280"/>
    <x v="1"/>
    <n v="630"/>
    <n v="480"/>
    <n v="150"/>
  </r>
  <r>
    <s v="ORD11100"/>
    <x v="76"/>
    <s v="CUST1217"/>
    <s v="Customer 217"/>
    <x v="1"/>
    <s v="Karnataka"/>
    <x v="1"/>
    <s v="Kitchen"/>
    <x v="2"/>
    <n v="3"/>
    <n v="4200"/>
    <x v="4"/>
    <n v="11970"/>
    <n v="8700"/>
    <n v="3270"/>
  </r>
  <r>
    <s v="ORD13007"/>
    <x v="77"/>
    <s v="CUST1300"/>
    <s v="Customer 300"/>
    <x v="3"/>
    <s v="Punjab"/>
    <x v="0"/>
    <s v="Stationery"/>
    <x v="18"/>
    <n v="5"/>
    <n v="300"/>
    <x v="4"/>
    <n v="1425"/>
    <n v="850"/>
    <n v="575"/>
  </r>
  <r>
    <s v="ORD12142"/>
    <x v="78"/>
    <s v="CUST1438"/>
    <s v="Customer 438"/>
    <x v="2"/>
    <s v="Goa"/>
    <x v="1"/>
    <s v="Kitchen"/>
    <x v="4"/>
    <n v="5"/>
    <n v="6800"/>
    <x v="2"/>
    <n v="34000"/>
    <n v="23500"/>
    <n v="10500"/>
  </r>
  <r>
    <s v="ORD11773"/>
    <x v="79"/>
    <s v="CUST1182"/>
    <s v="Customer 182"/>
    <x v="3"/>
    <s v="Uttar Pradesh"/>
    <x v="0"/>
    <s v="Stationery"/>
    <x v="15"/>
    <n v="3"/>
    <n v="450"/>
    <x v="0"/>
    <n v="1215"/>
    <n v="780"/>
    <n v="435"/>
  </r>
  <r>
    <s v="ORD10236"/>
    <x v="80"/>
    <s v="CUST1360"/>
    <s v="Customer 360"/>
    <x v="0"/>
    <s v="West Bengal"/>
    <x v="2"/>
    <s v="Monitors"/>
    <x v="11"/>
    <n v="5"/>
    <n v="10500"/>
    <x v="3"/>
    <n v="44625"/>
    <n v="38000"/>
    <n v="6625"/>
  </r>
  <r>
    <s v="ORD11849"/>
    <x v="81"/>
    <s v="CUST1261"/>
    <s v="Customer 261"/>
    <x v="1"/>
    <s v="Kerala"/>
    <x v="3"/>
    <s v="Storage"/>
    <x v="14"/>
    <n v="3"/>
    <n v="4800"/>
    <x v="3"/>
    <n v="12240"/>
    <n v="9900"/>
    <n v="2340"/>
  </r>
  <r>
    <s v="ORD13955"/>
    <x v="82"/>
    <s v="CUST1297"/>
    <s v="Customer 297"/>
    <x v="2"/>
    <s v="Goa"/>
    <x v="1"/>
    <s v="Kitchen"/>
    <x v="2"/>
    <n v="4"/>
    <n v="4200"/>
    <x v="2"/>
    <n v="16800"/>
    <n v="11600"/>
    <n v="5200"/>
  </r>
  <r>
    <s v="ORD12859"/>
    <x v="83"/>
    <s v="CUST1363"/>
    <s v="Customer 363"/>
    <x v="1"/>
    <s v="Andhra Pradesh"/>
    <x v="0"/>
    <s v="Paper"/>
    <x v="3"/>
    <n v="4"/>
    <n v="520"/>
    <x v="2"/>
    <n v="2080"/>
    <n v="1320"/>
    <n v="760"/>
  </r>
  <r>
    <s v="ORD11962"/>
    <x v="84"/>
    <s v="CUST1495"/>
    <s v="Customer 495"/>
    <x v="1"/>
    <s v="Andhra Pradesh"/>
    <x v="3"/>
    <s v="Chairs"/>
    <x v="12"/>
    <n v="5"/>
    <n v="7500"/>
    <x v="4"/>
    <n v="35625"/>
    <n v="26000"/>
    <n v="9625"/>
  </r>
  <r>
    <s v="ORD13638"/>
    <x v="85"/>
    <s v="CUST1250"/>
    <s v="Customer 250"/>
    <x v="3"/>
    <s v="Uttar Pradesh"/>
    <x v="0"/>
    <s v="Paper"/>
    <x v="3"/>
    <n v="3"/>
    <n v="520"/>
    <x v="3"/>
    <n v="1326"/>
    <n v="990"/>
    <n v="336"/>
  </r>
  <r>
    <s v="ORD12208"/>
    <x v="86"/>
    <s v="CUST1420"/>
    <s v="Customer 420"/>
    <x v="1"/>
    <s v="Tamil Nadu"/>
    <x v="2"/>
    <s v="Monitors"/>
    <x v="11"/>
    <n v="5"/>
    <n v="10500"/>
    <x v="0"/>
    <n v="47250"/>
    <n v="38000"/>
    <n v="9250"/>
  </r>
  <r>
    <s v="ORD13697"/>
    <x v="87"/>
    <s v="CUST1155"/>
    <s v="Customer 155"/>
    <x v="1"/>
    <s v="Kerala"/>
    <x v="0"/>
    <s v="Paper"/>
    <x v="3"/>
    <n v="3"/>
    <n v="520"/>
    <x v="4"/>
    <n v="1482"/>
    <n v="990"/>
    <n v="492"/>
  </r>
  <r>
    <s v="ORD11847"/>
    <x v="88"/>
    <s v="CUST1202"/>
    <s v="Customer 202"/>
    <x v="3"/>
    <s v="Punjab"/>
    <x v="1"/>
    <s v="Kitchen"/>
    <x v="1"/>
    <n v="2"/>
    <n v="1900"/>
    <x v="5"/>
    <n v="3040"/>
    <n v="2500"/>
    <n v="540"/>
  </r>
  <r>
    <s v="ORD10283"/>
    <x v="89"/>
    <s v="CUST1336"/>
    <s v="Customer 336"/>
    <x v="1"/>
    <s v="Telangana"/>
    <x v="3"/>
    <s v="Storage"/>
    <x v="14"/>
    <n v="2"/>
    <n v="4800"/>
    <x v="1"/>
    <n v="7200"/>
    <n v="6600"/>
    <n v="600"/>
  </r>
  <r>
    <s v="ORD13208"/>
    <x v="90"/>
    <s v="CUST1408"/>
    <s v="Customer 408"/>
    <x v="0"/>
    <s v="Bihar"/>
    <x v="0"/>
    <s v="Paper"/>
    <x v="3"/>
    <n v="1"/>
    <n v="520"/>
    <x v="3"/>
    <n v="442"/>
    <n v="330"/>
    <n v="112"/>
  </r>
  <r>
    <s v="ORD11412"/>
    <x v="91"/>
    <s v="CUST1281"/>
    <s v="Customer 281"/>
    <x v="1"/>
    <s v="Kerala"/>
    <x v="3"/>
    <s v="Storage"/>
    <x v="6"/>
    <n v="3"/>
    <n v="5600"/>
    <x v="2"/>
    <n v="16800"/>
    <n v="11700"/>
    <n v="5100"/>
  </r>
  <r>
    <s v="ORD12538"/>
    <x v="92"/>
    <s v="CUST1250"/>
    <s v="Customer 250"/>
    <x v="3"/>
    <s v="Uttar Pradesh"/>
    <x v="0"/>
    <s v="Stationery"/>
    <x v="10"/>
    <n v="4"/>
    <n v="280"/>
    <x v="0"/>
    <n v="1008"/>
    <n v="640"/>
    <n v="368"/>
  </r>
  <r>
    <s v="ORD11872"/>
    <x v="93"/>
    <s v="CUST1104"/>
    <s v="Customer 104"/>
    <x v="1"/>
    <s v="Telangana"/>
    <x v="1"/>
    <s v="Kitchen"/>
    <x v="2"/>
    <n v="3"/>
    <n v="4200"/>
    <x v="0"/>
    <n v="11340"/>
    <n v="8700"/>
    <n v="2640"/>
  </r>
  <r>
    <s v="ORD13670"/>
    <x v="94"/>
    <s v="CUST1109"/>
    <s v="Customer 109"/>
    <x v="3"/>
    <s v="Haryana"/>
    <x v="0"/>
    <s v="Accessories"/>
    <x v="0"/>
    <n v="4"/>
    <n v="650"/>
    <x v="0"/>
    <n v="2340"/>
    <n v="1560"/>
    <n v="780"/>
  </r>
  <r>
    <s v="ORD13366"/>
    <x v="95"/>
    <s v="CUST1375"/>
    <s v="Customer 375"/>
    <x v="0"/>
    <s v="Odisha"/>
    <x v="1"/>
    <s v="Kitchen"/>
    <x v="1"/>
    <n v="3"/>
    <n v="1900"/>
    <x v="5"/>
    <n v="4560"/>
    <n v="3750"/>
    <n v="810"/>
  </r>
  <r>
    <s v="ORD11673"/>
    <x v="96"/>
    <s v="CUST1134"/>
    <s v="Customer 134"/>
    <x v="1"/>
    <s v="Karnataka"/>
    <x v="1"/>
    <s v="Kitchen"/>
    <x v="2"/>
    <n v="5"/>
    <n v="4200"/>
    <x v="5"/>
    <n v="16800"/>
    <n v="14500"/>
    <n v="2300"/>
  </r>
  <r>
    <s v="ORD11133"/>
    <x v="97"/>
    <s v="CUST1398"/>
    <s v="Customer 398"/>
    <x v="1"/>
    <s v="Telangana"/>
    <x v="3"/>
    <s v="Chairs"/>
    <x v="12"/>
    <n v="1"/>
    <n v="7500"/>
    <x v="3"/>
    <n v="6375"/>
    <n v="5200"/>
    <n v="1175"/>
  </r>
  <r>
    <s v="ORD10190"/>
    <x v="98"/>
    <s v="CUST1151"/>
    <s v="Customer 151"/>
    <x v="0"/>
    <s v="Jharkhand"/>
    <x v="0"/>
    <s v="Stationery"/>
    <x v="10"/>
    <n v="5"/>
    <n v="280"/>
    <x v="5"/>
    <n v="1120"/>
    <n v="800"/>
    <n v="320"/>
  </r>
  <r>
    <s v="ORD13171"/>
    <x v="99"/>
    <s v="CUST1315"/>
    <s v="Customer 315"/>
    <x v="3"/>
    <s v="Uttar Pradesh"/>
    <x v="2"/>
    <s v="Accessories"/>
    <x v="8"/>
    <n v="4"/>
    <n v="1800"/>
    <x v="0"/>
    <n v="6480"/>
    <n v="4400"/>
    <n v="2080"/>
  </r>
  <r>
    <s v="ORD10903"/>
    <x v="100"/>
    <s v="CUST1110"/>
    <s v="Customer 110"/>
    <x v="1"/>
    <s v="Tamil Nadu"/>
    <x v="0"/>
    <s v="Stationery"/>
    <x v="10"/>
    <n v="3"/>
    <n v="280"/>
    <x v="4"/>
    <n v="798"/>
    <n v="480"/>
    <n v="318"/>
  </r>
  <r>
    <s v="ORD13807"/>
    <x v="101"/>
    <s v="CUST1052"/>
    <s v="Customer 052"/>
    <x v="3"/>
    <s v="Punjab"/>
    <x v="0"/>
    <s v="Stationery"/>
    <x v="10"/>
    <n v="3"/>
    <n v="280"/>
    <x v="2"/>
    <n v="840"/>
    <n v="480"/>
    <n v="360"/>
  </r>
  <r>
    <s v="ORD11830"/>
    <x v="102"/>
    <s v="CUST1492"/>
    <s v="Customer 492"/>
    <x v="2"/>
    <s v="Goa"/>
    <x v="3"/>
    <s v="Chairs"/>
    <x v="12"/>
    <n v="4"/>
    <n v="7500"/>
    <x v="5"/>
    <n v="24000"/>
    <n v="20800"/>
    <n v="3200"/>
  </r>
  <r>
    <s v="ORD13581"/>
    <x v="103"/>
    <s v="CUST1441"/>
    <s v="Customer 441"/>
    <x v="3"/>
    <s v="Punjab"/>
    <x v="3"/>
    <s v="Storage"/>
    <x v="6"/>
    <n v="5"/>
    <n v="5600"/>
    <x v="0"/>
    <n v="25200"/>
    <n v="19500"/>
    <n v="5700"/>
  </r>
  <r>
    <s v="ORD13277"/>
    <x v="104"/>
    <s v="CUST1036"/>
    <s v="Customer 036"/>
    <x v="2"/>
    <s v="Goa"/>
    <x v="2"/>
    <s v="Accessories"/>
    <x v="13"/>
    <n v="2"/>
    <n v="1400"/>
    <x v="2"/>
    <n v="2800"/>
    <n v="1800"/>
    <n v="1000"/>
  </r>
  <r>
    <s v="ORD10948"/>
    <x v="105"/>
    <s v="CUST1068"/>
    <s v="Customer 068"/>
    <x v="3"/>
    <s v="Haryana"/>
    <x v="0"/>
    <s v="Stationery"/>
    <x v="15"/>
    <n v="5"/>
    <n v="450"/>
    <x v="4"/>
    <n v="2137.5"/>
    <n v="1300"/>
    <n v="837.5"/>
  </r>
  <r>
    <s v="ORD13762"/>
    <x v="106"/>
    <s v="CUST1253"/>
    <s v="Customer 253"/>
    <x v="0"/>
    <s v="Odisha"/>
    <x v="3"/>
    <s v="Storage"/>
    <x v="14"/>
    <n v="3"/>
    <n v="4800"/>
    <x v="5"/>
    <n v="11520"/>
    <n v="9900"/>
    <n v="1620"/>
  </r>
  <r>
    <s v="ORD11114"/>
    <x v="107"/>
    <s v="CUST1147"/>
    <s v="Customer 147"/>
    <x v="2"/>
    <s v="Rajasthan"/>
    <x v="3"/>
    <s v="Chairs"/>
    <x v="12"/>
    <n v="2"/>
    <n v="7500"/>
    <x v="0"/>
    <n v="13500"/>
    <n v="10400"/>
    <n v="3100"/>
  </r>
  <r>
    <s v="ORD11518"/>
    <x v="108"/>
    <s v="CUST1025"/>
    <s v="Customer 025"/>
    <x v="1"/>
    <s v="Kerala"/>
    <x v="3"/>
    <s v="Tables"/>
    <x v="16"/>
    <n v="3"/>
    <n v="6200"/>
    <x v="4"/>
    <n v="17670"/>
    <n v="12900"/>
    <n v="4770"/>
  </r>
  <r>
    <s v="ORD12038"/>
    <x v="109"/>
    <s v="CUST1021"/>
    <s v="Customer 021"/>
    <x v="3"/>
    <s v="Delhi"/>
    <x v="0"/>
    <s v="Paper"/>
    <x v="3"/>
    <n v="4"/>
    <n v="520"/>
    <x v="0"/>
    <n v="1872"/>
    <n v="1320"/>
    <n v="552"/>
  </r>
  <r>
    <s v="ORD13228"/>
    <x v="110"/>
    <s v="CUST1190"/>
    <s v="Customer 190"/>
    <x v="1"/>
    <s v="Kerala"/>
    <x v="0"/>
    <s v="Accessories"/>
    <x v="0"/>
    <n v="4"/>
    <n v="650"/>
    <x v="4"/>
    <n v="2470"/>
    <n v="1560"/>
    <n v="910"/>
  </r>
  <r>
    <s v="ORD10147"/>
    <x v="111"/>
    <s v="CUST1018"/>
    <s v="Customer 018"/>
    <x v="1"/>
    <s v="Tamil Nadu"/>
    <x v="2"/>
    <s v="Accessories"/>
    <x v="8"/>
    <n v="1"/>
    <n v="1800"/>
    <x v="3"/>
    <n v="1530"/>
    <n v="1100"/>
    <n v="430"/>
  </r>
  <r>
    <s v="ORD12965"/>
    <x v="112"/>
    <s v="CUST1367"/>
    <s v="Customer 367"/>
    <x v="1"/>
    <s v="Tamil Nadu"/>
    <x v="3"/>
    <s v="Storage"/>
    <x v="6"/>
    <n v="5"/>
    <n v="5600"/>
    <x v="3"/>
    <n v="23800"/>
    <n v="19500"/>
    <n v="4300"/>
  </r>
  <r>
    <s v="ORD11105"/>
    <x v="113"/>
    <s v="CUST1154"/>
    <s v="Customer 154"/>
    <x v="2"/>
    <s v="Maharashtra"/>
    <x v="0"/>
    <s v="Stationery"/>
    <x v="18"/>
    <n v="2"/>
    <n v="300"/>
    <x v="2"/>
    <n v="600"/>
    <n v="340"/>
    <n v="260"/>
  </r>
  <r>
    <s v="ORD11438"/>
    <x v="114"/>
    <s v="CUST1327"/>
    <s v="Customer 327"/>
    <x v="1"/>
    <s v="Telangana"/>
    <x v="0"/>
    <s v="Paper"/>
    <x v="3"/>
    <n v="4"/>
    <n v="520"/>
    <x v="3"/>
    <n v="1768"/>
    <n v="1320"/>
    <n v="448"/>
  </r>
  <r>
    <s v="ORD13310"/>
    <x v="115"/>
    <s v="CUST1472"/>
    <s v="Customer 472"/>
    <x v="1"/>
    <s v="Karnataka"/>
    <x v="2"/>
    <s v="Audio"/>
    <x v="5"/>
    <n v="2"/>
    <n v="2200"/>
    <x v="4"/>
    <n v="4180"/>
    <n v="2900"/>
    <n v="1280"/>
  </r>
  <r>
    <s v="ORD13962"/>
    <x v="116"/>
    <s v="CUST1430"/>
    <s v="Customer 430"/>
    <x v="1"/>
    <s v="Karnataka"/>
    <x v="2"/>
    <s v="Audio"/>
    <x v="17"/>
    <n v="5"/>
    <n v="2800"/>
    <x v="1"/>
    <n v="10500"/>
    <n v="9000"/>
    <n v="1500"/>
  </r>
  <r>
    <s v="ORD10668"/>
    <x v="117"/>
    <s v="CUST1431"/>
    <s v="Customer 431"/>
    <x v="1"/>
    <s v="Kerala"/>
    <x v="0"/>
    <s v="Paper"/>
    <x v="3"/>
    <n v="4"/>
    <n v="520"/>
    <x v="5"/>
    <n v="1664"/>
    <n v="1320"/>
    <n v="344"/>
  </r>
  <r>
    <s v="ORD11575"/>
    <x v="118"/>
    <s v="CUST1075"/>
    <s v="Customer 075"/>
    <x v="1"/>
    <s v="Telangana"/>
    <x v="2"/>
    <s v="Accessories"/>
    <x v="8"/>
    <n v="1"/>
    <n v="1800"/>
    <x v="5"/>
    <n v="1440"/>
    <n v="1100"/>
    <n v="340"/>
  </r>
  <r>
    <s v="ORD12230"/>
    <x v="119"/>
    <s v="CUST1491"/>
    <s v="Customer 491"/>
    <x v="1"/>
    <s v="Andhra Pradesh"/>
    <x v="3"/>
    <s v="Chairs"/>
    <x v="12"/>
    <n v="2"/>
    <n v="7500"/>
    <x v="0"/>
    <n v="13500"/>
    <n v="10400"/>
    <n v="3100"/>
  </r>
  <r>
    <s v="ORD13194"/>
    <x v="120"/>
    <s v="CUST1096"/>
    <s v="Customer 096"/>
    <x v="3"/>
    <s v="Punjab"/>
    <x v="0"/>
    <s v="Paper"/>
    <x v="3"/>
    <n v="1"/>
    <n v="520"/>
    <x v="0"/>
    <n v="468"/>
    <n v="330"/>
    <n v="138"/>
  </r>
  <r>
    <s v="ORD13423"/>
    <x v="121"/>
    <s v="CUST1301"/>
    <s v="Customer 301"/>
    <x v="3"/>
    <s v="Punjab"/>
    <x v="0"/>
    <s v="Stationery"/>
    <x v="18"/>
    <n v="5"/>
    <n v="300"/>
    <x v="4"/>
    <n v="1425"/>
    <n v="850"/>
    <n v="575"/>
  </r>
  <r>
    <s v="ORD12302"/>
    <x v="122"/>
    <s v="CUST1072"/>
    <s v="Customer 072"/>
    <x v="3"/>
    <s v="Haryana"/>
    <x v="0"/>
    <s v="Accessories"/>
    <x v="0"/>
    <n v="5"/>
    <n v="650"/>
    <x v="3"/>
    <n v="2762.5"/>
    <n v="1950"/>
    <n v="812.5"/>
  </r>
  <r>
    <s v="ORD13192"/>
    <x v="123"/>
    <s v="CUST1341"/>
    <s v="Customer 341"/>
    <x v="3"/>
    <s v="Uttar Pradesh"/>
    <x v="2"/>
    <s v="Audio"/>
    <x v="5"/>
    <n v="2"/>
    <n v="2200"/>
    <x v="3"/>
    <n v="3740"/>
    <n v="2900"/>
    <n v="840"/>
  </r>
  <r>
    <s v="ORD13282"/>
    <x v="124"/>
    <s v="CUST1378"/>
    <s v="Customer 378"/>
    <x v="1"/>
    <s v="Tamil Nadu"/>
    <x v="0"/>
    <s v="Stationery"/>
    <x v="15"/>
    <n v="4"/>
    <n v="450"/>
    <x v="0"/>
    <n v="1620"/>
    <n v="1040"/>
    <n v="580"/>
  </r>
  <r>
    <s v="ORD10622"/>
    <x v="125"/>
    <s v="CUST1239"/>
    <s v="Customer 239"/>
    <x v="0"/>
    <s v="West Bengal"/>
    <x v="0"/>
    <s v="Stationery"/>
    <x v="18"/>
    <n v="4"/>
    <n v="300"/>
    <x v="3"/>
    <n v="1020"/>
    <n v="680"/>
    <n v="340"/>
  </r>
  <r>
    <s v="ORD13076"/>
    <x v="126"/>
    <s v="CUST1374"/>
    <s v="Customer 374"/>
    <x v="1"/>
    <s v="Andhra Pradesh"/>
    <x v="2"/>
    <s v="Accessories"/>
    <x v="8"/>
    <n v="1"/>
    <n v="1800"/>
    <x v="2"/>
    <n v="1800"/>
    <n v="1100"/>
    <n v="700"/>
  </r>
  <r>
    <s v="ORD12427"/>
    <x v="127"/>
    <s v="CUST1079"/>
    <s v="Customer 079"/>
    <x v="1"/>
    <s v="Andhra Pradesh"/>
    <x v="2"/>
    <s v="Audio"/>
    <x v="17"/>
    <n v="5"/>
    <n v="2800"/>
    <x v="3"/>
    <n v="11900"/>
    <n v="9000"/>
    <n v="2900"/>
  </r>
  <r>
    <s v="ORD12587"/>
    <x v="128"/>
    <s v="CUST1185"/>
    <s v="Customer 185"/>
    <x v="2"/>
    <s v="Rajasthan"/>
    <x v="0"/>
    <s v="Paper"/>
    <x v="3"/>
    <n v="1"/>
    <n v="520"/>
    <x v="4"/>
    <n v="494"/>
    <n v="330"/>
    <n v="164"/>
  </r>
  <r>
    <s v="ORD12858"/>
    <x v="129"/>
    <s v="CUST1390"/>
    <s v="Customer 390"/>
    <x v="2"/>
    <s v="Goa"/>
    <x v="0"/>
    <s v="Stationery"/>
    <x v="15"/>
    <n v="3"/>
    <n v="450"/>
    <x v="4"/>
    <n v="1282.5"/>
    <n v="780"/>
    <n v="502.5"/>
  </r>
  <r>
    <s v="ORD12756"/>
    <x v="130"/>
    <s v="CUST1436"/>
    <s v="Customer 436"/>
    <x v="2"/>
    <s v="Rajasthan"/>
    <x v="3"/>
    <s v="Storage"/>
    <x v="14"/>
    <n v="4"/>
    <n v="4800"/>
    <x v="4"/>
    <n v="18240"/>
    <n v="13200"/>
    <n v="5040"/>
  </r>
  <r>
    <s v="ORD13815"/>
    <x v="131"/>
    <s v="CUST1192"/>
    <s v="Customer 192"/>
    <x v="2"/>
    <s v="Rajasthan"/>
    <x v="3"/>
    <s v="Storage"/>
    <x v="14"/>
    <n v="4"/>
    <n v="4800"/>
    <x v="0"/>
    <n v="17280"/>
    <n v="13200"/>
    <n v="4080"/>
  </r>
  <r>
    <s v="ORD12199"/>
    <x v="132"/>
    <s v="CUST1286"/>
    <s v="Customer 286"/>
    <x v="1"/>
    <s v="Telangana"/>
    <x v="0"/>
    <s v="Paper"/>
    <x v="3"/>
    <n v="3"/>
    <n v="520"/>
    <x v="0"/>
    <n v="1404"/>
    <n v="990"/>
    <n v="414"/>
  </r>
  <r>
    <s v="ORD13250"/>
    <x v="133"/>
    <s v="CUST1198"/>
    <s v="Customer 198"/>
    <x v="3"/>
    <s v="Punjab"/>
    <x v="3"/>
    <s v="Chairs"/>
    <x v="12"/>
    <n v="5"/>
    <n v="7500"/>
    <x v="3"/>
    <n v="31875"/>
    <n v="26000"/>
    <n v="5875"/>
  </r>
  <r>
    <s v="ORD11096"/>
    <x v="134"/>
    <s v="CUST1041"/>
    <s v="Customer 041"/>
    <x v="1"/>
    <s v="Kerala"/>
    <x v="0"/>
    <s v="Stationery"/>
    <x v="15"/>
    <n v="3"/>
    <n v="450"/>
    <x v="0"/>
    <n v="1215"/>
    <n v="780"/>
    <n v="435"/>
  </r>
  <r>
    <s v="ORD10449"/>
    <x v="135"/>
    <s v="CUST1261"/>
    <s v="Customer 261"/>
    <x v="2"/>
    <s v="Goa"/>
    <x v="2"/>
    <s v="Audio"/>
    <x v="17"/>
    <n v="3"/>
    <n v="2800"/>
    <x v="0"/>
    <n v="7560"/>
    <n v="5400"/>
    <n v="2160"/>
  </r>
  <r>
    <s v="ORD11690"/>
    <x v="136"/>
    <s v="CUST1048"/>
    <s v="Customer 048"/>
    <x v="1"/>
    <s v="Telangana"/>
    <x v="2"/>
    <s v="Accessories"/>
    <x v="13"/>
    <n v="5"/>
    <n v="1400"/>
    <x v="0"/>
    <n v="6300"/>
    <n v="4500"/>
    <n v="1800"/>
  </r>
  <r>
    <s v="ORD10287"/>
    <x v="137"/>
    <s v="CUST1081"/>
    <s v="Customer 081"/>
    <x v="0"/>
    <s v="Odisha"/>
    <x v="3"/>
    <s v="Chairs"/>
    <x v="12"/>
    <n v="4"/>
    <n v="7500"/>
    <x v="0"/>
    <n v="27000"/>
    <n v="20800"/>
    <n v="6200"/>
  </r>
  <r>
    <s v="ORD12374"/>
    <x v="138"/>
    <s v="CUST1200"/>
    <s v="Customer 200"/>
    <x v="1"/>
    <s v="Karnataka"/>
    <x v="2"/>
    <s v="Accessories"/>
    <x v="13"/>
    <n v="2"/>
    <n v="1400"/>
    <x v="0"/>
    <n v="2520"/>
    <n v="1800"/>
    <n v="720"/>
  </r>
  <r>
    <s v="ORD11798"/>
    <x v="139"/>
    <s v="CUST1093"/>
    <s v="Customer 093"/>
    <x v="3"/>
    <s v="Haryana"/>
    <x v="2"/>
    <s v="Monitors"/>
    <x v="11"/>
    <n v="5"/>
    <n v="10500"/>
    <x v="4"/>
    <n v="49875"/>
    <n v="38000"/>
    <n v="11875"/>
  </r>
  <r>
    <s v="ORD12470"/>
    <x v="140"/>
    <s v="CUST1108"/>
    <s v="Customer 108"/>
    <x v="1"/>
    <s v="Telangana"/>
    <x v="2"/>
    <s v="Monitors"/>
    <x v="11"/>
    <n v="3"/>
    <n v="10500"/>
    <x v="2"/>
    <n v="31500"/>
    <n v="22800"/>
    <n v="8700"/>
  </r>
  <r>
    <s v="ORD11991"/>
    <x v="141"/>
    <s v="CUST1266"/>
    <s v="Customer 266"/>
    <x v="0"/>
    <s v="West Bengal"/>
    <x v="2"/>
    <s v="Audio"/>
    <x v="5"/>
    <n v="5"/>
    <n v="2200"/>
    <x v="0"/>
    <n v="9900"/>
    <n v="7250"/>
    <n v="2650"/>
  </r>
  <r>
    <s v="ORD10010"/>
    <x v="142"/>
    <s v="CUST1048"/>
    <s v="Customer 048"/>
    <x v="3"/>
    <s v="Delhi"/>
    <x v="0"/>
    <s v="Stationery"/>
    <x v="15"/>
    <n v="1"/>
    <n v="450"/>
    <x v="2"/>
    <n v="450"/>
    <n v="260"/>
    <n v="190"/>
  </r>
  <r>
    <s v="ORD12785"/>
    <x v="143"/>
    <s v="CUST1456"/>
    <s v="Customer 456"/>
    <x v="0"/>
    <s v="West Bengal"/>
    <x v="1"/>
    <s v="Kitchen"/>
    <x v="4"/>
    <n v="4"/>
    <n v="6800"/>
    <x v="3"/>
    <n v="23120"/>
    <n v="18800"/>
    <n v="4320"/>
  </r>
  <r>
    <s v="ORD13623"/>
    <x v="144"/>
    <s v="CUST1166"/>
    <s v="Customer 166"/>
    <x v="2"/>
    <s v="Rajasthan"/>
    <x v="3"/>
    <s v="Storage"/>
    <x v="14"/>
    <n v="3"/>
    <n v="4800"/>
    <x v="2"/>
    <n v="14400"/>
    <n v="9900"/>
    <n v="4500"/>
  </r>
  <r>
    <s v="ORD10277"/>
    <x v="145"/>
    <s v="CUST1234"/>
    <s v="Customer 234"/>
    <x v="2"/>
    <s v="Rajasthan"/>
    <x v="3"/>
    <s v="Chairs"/>
    <x v="12"/>
    <n v="2"/>
    <n v="7500"/>
    <x v="4"/>
    <n v="14250"/>
    <n v="10400"/>
    <n v="3850"/>
  </r>
  <r>
    <s v="ORD10499"/>
    <x v="146"/>
    <s v="CUST1464"/>
    <s v="Customer 464"/>
    <x v="3"/>
    <s v="Delhi"/>
    <x v="3"/>
    <s v="Storage"/>
    <x v="14"/>
    <n v="1"/>
    <n v="4800"/>
    <x v="5"/>
    <n v="3840"/>
    <n v="3300"/>
    <n v="540"/>
  </r>
  <r>
    <s v="ORD10983"/>
    <x v="147"/>
    <s v="CUST1274"/>
    <s v="Customer 274"/>
    <x v="1"/>
    <s v="Telangana"/>
    <x v="0"/>
    <s v="Stationery"/>
    <x v="18"/>
    <n v="4"/>
    <n v="300"/>
    <x v="2"/>
    <n v="1200"/>
    <n v="680"/>
    <n v="520"/>
  </r>
  <r>
    <s v="ORD13437"/>
    <x v="148"/>
    <s v="CUST1148"/>
    <s v="Customer 148"/>
    <x v="3"/>
    <s v="Uttar Pradesh"/>
    <x v="2"/>
    <s v="Accessories"/>
    <x v="13"/>
    <n v="5"/>
    <n v="1400"/>
    <x v="0"/>
    <n v="6300"/>
    <n v="4500"/>
    <n v="1800"/>
  </r>
  <r>
    <s v="ORD11603"/>
    <x v="149"/>
    <s v="CUST1413"/>
    <s v="Customer 413"/>
    <x v="2"/>
    <s v="Gujarat"/>
    <x v="0"/>
    <s v="Stationery"/>
    <x v="15"/>
    <n v="4"/>
    <n v="450"/>
    <x v="1"/>
    <n v="1350"/>
    <n v="1040"/>
    <n v="310"/>
  </r>
  <r>
    <s v="ORD10509"/>
    <x v="150"/>
    <s v="CUST1135"/>
    <s v="Customer 135"/>
    <x v="2"/>
    <s v="Gujarat"/>
    <x v="1"/>
    <s v="Kitchen"/>
    <x v="1"/>
    <n v="1"/>
    <n v="1900"/>
    <x v="0"/>
    <n v="1710"/>
    <n v="1250"/>
    <n v="460"/>
  </r>
  <r>
    <s v="ORD12936"/>
    <x v="151"/>
    <s v="CUST1115"/>
    <s v="Customer 115"/>
    <x v="1"/>
    <s v="Tamil Nadu"/>
    <x v="2"/>
    <s v="Monitors"/>
    <x v="11"/>
    <n v="2"/>
    <n v="10500"/>
    <x v="3"/>
    <n v="17850"/>
    <n v="15200"/>
    <n v="2650"/>
  </r>
  <r>
    <s v="ORD13479"/>
    <x v="152"/>
    <s v="CUST1205"/>
    <s v="Customer 205"/>
    <x v="2"/>
    <s v="Maharashtra"/>
    <x v="0"/>
    <s v="Stationery"/>
    <x v="15"/>
    <n v="2"/>
    <n v="450"/>
    <x v="1"/>
    <n v="675"/>
    <n v="520"/>
    <n v="155"/>
  </r>
  <r>
    <s v="ORD11581"/>
    <x v="153"/>
    <s v="CUST1149"/>
    <s v="Customer 149"/>
    <x v="3"/>
    <s v="Punjab"/>
    <x v="0"/>
    <s v="Paper"/>
    <x v="3"/>
    <n v="3"/>
    <n v="520"/>
    <x v="4"/>
    <n v="1482"/>
    <n v="990"/>
    <n v="492"/>
  </r>
  <r>
    <s v="ORD12857"/>
    <x v="154"/>
    <s v="CUST1285"/>
    <s v="Customer 285"/>
    <x v="2"/>
    <s v="Gujarat"/>
    <x v="0"/>
    <s v="Paper"/>
    <x v="3"/>
    <n v="2"/>
    <n v="520"/>
    <x v="2"/>
    <n v="1040"/>
    <n v="660"/>
    <n v="380"/>
  </r>
  <r>
    <s v="ORD10195"/>
    <x v="155"/>
    <s v="CUST1480"/>
    <s v="Customer 480"/>
    <x v="2"/>
    <s v="Maharashtra"/>
    <x v="1"/>
    <s v="Kitchen"/>
    <x v="4"/>
    <n v="3"/>
    <n v="6800"/>
    <x v="4"/>
    <n v="19380"/>
    <n v="14100"/>
    <n v="5280"/>
  </r>
  <r>
    <s v="ORD11036"/>
    <x v="156"/>
    <s v="CUST1372"/>
    <s v="Customer 372"/>
    <x v="3"/>
    <s v="Haryana"/>
    <x v="2"/>
    <s v="Accessories"/>
    <x v="13"/>
    <n v="3"/>
    <n v="1400"/>
    <x v="3"/>
    <n v="3570"/>
    <n v="2700"/>
    <n v="870"/>
  </r>
  <r>
    <s v="ORD13669"/>
    <x v="157"/>
    <s v="CUST1213"/>
    <s v="Customer 213"/>
    <x v="2"/>
    <s v="Gujarat"/>
    <x v="3"/>
    <s v="Tables"/>
    <x v="16"/>
    <n v="1"/>
    <n v="6200"/>
    <x v="4"/>
    <n v="5890"/>
    <n v="4300"/>
    <n v="1590"/>
  </r>
  <r>
    <s v="ORD11311"/>
    <x v="158"/>
    <s v="CUST1263"/>
    <s v="Customer 263"/>
    <x v="0"/>
    <s v="Jharkhand"/>
    <x v="2"/>
    <s v="Accessories"/>
    <x v="9"/>
    <n v="4"/>
    <n v="850"/>
    <x v="2"/>
    <n v="3400"/>
    <n v="2240"/>
    <n v="1160"/>
  </r>
  <r>
    <s v="ORD12356"/>
    <x v="159"/>
    <s v="CUST1184"/>
    <s v="Customer 184"/>
    <x v="3"/>
    <s v="Uttar Pradesh"/>
    <x v="0"/>
    <s v="Paper"/>
    <x v="3"/>
    <n v="4"/>
    <n v="520"/>
    <x v="2"/>
    <n v="2080"/>
    <n v="1320"/>
    <n v="760"/>
  </r>
  <r>
    <s v="ORD10255"/>
    <x v="160"/>
    <s v="CUST1331"/>
    <s v="Customer 331"/>
    <x v="0"/>
    <s v="Jharkhand"/>
    <x v="0"/>
    <s v="Stationery"/>
    <x v="15"/>
    <n v="1"/>
    <n v="450"/>
    <x v="5"/>
    <n v="360"/>
    <n v="260"/>
    <n v="100"/>
  </r>
  <r>
    <s v="ORD11642"/>
    <x v="161"/>
    <s v="CUST1026"/>
    <s v="Customer 026"/>
    <x v="1"/>
    <s v="Telangana"/>
    <x v="2"/>
    <s v="Accessories"/>
    <x v="13"/>
    <n v="2"/>
    <n v="1400"/>
    <x v="0"/>
    <n v="2520"/>
    <n v="1800"/>
    <n v="720"/>
  </r>
  <r>
    <s v="ORD11459"/>
    <x v="162"/>
    <s v="CUST1132"/>
    <s v="Customer 132"/>
    <x v="1"/>
    <s v="Tamil Nadu"/>
    <x v="0"/>
    <s v="Stationery"/>
    <x v="18"/>
    <n v="4"/>
    <n v="300"/>
    <x v="3"/>
    <n v="1020"/>
    <n v="680"/>
    <n v="340"/>
  </r>
  <r>
    <s v="ORD12233"/>
    <x v="163"/>
    <s v="CUST1470"/>
    <s v="Customer 470"/>
    <x v="3"/>
    <s v="Haryana"/>
    <x v="2"/>
    <s v="Audio"/>
    <x v="17"/>
    <n v="3"/>
    <n v="2800"/>
    <x v="3"/>
    <n v="7140"/>
    <n v="5400"/>
    <n v="1740"/>
  </r>
  <r>
    <s v="ORD10870"/>
    <x v="164"/>
    <s v="CUST1021"/>
    <s v="Customer 021"/>
    <x v="1"/>
    <s v="Kerala"/>
    <x v="0"/>
    <s v="Accessories"/>
    <x v="0"/>
    <n v="1"/>
    <n v="650"/>
    <x v="2"/>
    <n v="650"/>
    <n v="390"/>
    <n v="260"/>
  </r>
  <r>
    <s v="ORD13594"/>
    <x v="165"/>
    <s v="CUST1285"/>
    <s v="Customer 285"/>
    <x v="1"/>
    <s v="Karnataka"/>
    <x v="0"/>
    <s v="Stationery"/>
    <x v="15"/>
    <n v="5"/>
    <n v="450"/>
    <x v="0"/>
    <n v="2025"/>
    <n v="1300"/>
    <n v="725"/>
  </r>
  <r>
    <s v="ORD11264"/>
    <x v="166"/>
    <s v="CUST1412"/>
    <s v="Customer 412"/>
    <x v="2"/>
    <s v="Maharashtra"/>
    <x v="1"/>
    <s v="Kitchen"/>
    <x v="4"/>
    <n v="1"/>
    <n v="6800"/>
    <x v="4"/>
    <n v="6460"/>
    <n v="4700"/>
    <n v="1760"/>
  </r>
  <r>
    <s v="ORD13801"/>
    <x v="167"/>
    <s v="CUST1462"/>
    <s v="Customer 462"/>
    <x v="1"/>
    <s v="Karnataka"/>
    <x v="0"/>
    <s v="Accessories"/>
    <x v="0"/>
    <n v="5"/>
    <n v="650"/>
    <x v="0"/>
    <n v="2925"/>
    <n v="1950"/>
    <n v="975"/>
  </r>
  <r>
    <s v="ORD11432"/>
    <x v="168"/>
    <s v="CUST1093"/>
    <s v="Customer 093"/>
    <x v="2"/>
    <s v="Rajasthan"/>
    <x v="2"/>
    <s v="Accessories"/>
    <x v="13"/>
    <n v="1"/>
    <n v="1400"/>
    <x v="5"/>
    <n v="1120"/>
    <n v="900"/>
    <n v="220"/>
  </r>
  <r>
    <s v="ORD11232"/>
    <x v="169"/>
    <s v="CUST1367"/>
    <s v="Customer 367"/>
    <x v="1"/>
    <s v="Tamil Nadu"/>
    <x v="0"/>
    <s v="Accessories"/>
    <x v="0"/>
    <n v="5"/>
    <n v="650"/>
    <x v="3"/>
    <n v="2762.5"/>
    <n v="1950"/>
    <n v="812.5"/>
  </r>
  <r>
    <s v="ORD13055"/>
    <x v="170"/>
    <s v="CUST1394"/>
    <s v="Customer 394"/>
    <x v="3"/>
    <s v="Haryana"/>
    <x v="2"/>
    <s v="Audio"/>
    <x v="17"/>
    <n v="4"/>
    <n v="2800"/>
    <x v="2"/>
    <n v="11200"/>
    <n v="7200"/>
    <n v="4000"/>
  </r>
  <r>
    <s v="ORD10929"/>
    <x v="171"/>
    <s v="CUST1210"/>
    <s v="Customer 210"/>
    <x v="1"/>
    <s v="Tamil Nadu"/>
    <x v="3"/>
    <s v="Storage"/>
    <x v="14"/>
    <n v="4"/>
    <n v="4800"/>
    <x v="3"/>
    <n v="16320"/>
    <n v="13200"/>
    <n v="3120"/>
  </r>
  <r>
    <s v="ORD13156"/>
    <x v="172"/>
    <s v="CUST1424"/>
    <s v="Customer 424"/>
    <x v="1"/>
    <s v="Tamil Nadu"/>
    <x v="2"/>
    <s v="Accessories"/>
    <x v="8"/>
    <n v="1"/>
    <n v="1800"/>
    <x v="4"/>
    <n v="1710"/>
    <n v="1100"/>
    <n v="610"/>
  </r>
  <r>
    <s v="ORD12286"/>
    <x v="173"/>
    <s v="CUST1417"/>
    <s v="Customer 417"/>
    <x v="1"/>
    <s v="Telangana"/>
    <x v="2"/>
    <s v="Accessories"/>
    <x v="13"/>
    <n v="3"/>
    <n v="1400"/>
    <x v="4"/>
    <n v="3990"/>
    <n v="2700"/>
    <n v="1290"/>
  </r>
  <r>
    <s v="ORD10100"/>
    <x v="174"/>
    <s v="CUST1070"/>
    <s v="Customer 070"/>
    <x v="1"/>
    <s v="Kerala"/>
    <x v="1"/>
    <s v="Kitchen"/>
    <x v="4"/>
    <n v="4"/>
    <n v="6800"/>
    <x v="0"/>
    <n v="24480"/>
    <n v="18800"/>
    <n v="5680"/>
  </r>
  <r>
    <s v="ORD11751"/>
    <x v="175"/>
    <s v="CUST1466"/>
    <s v="Customer 466"/>
    <x v="1"/>
    <s v="Kerala"/>
    <x v="1"/>
    <s v="Kitchen"/>
    <x v="2"/>
    <n v="3"/>
    <n v="4200"/>
    <x v="2"/>
    <n v="12600"/>
    <n v="8700"/>
    <n v="3900"/>
  </r>
  <r>
    <s v="ORD10958"/>
    <x v="176"/>
    <s v="CUST1318"/>
    <s v="Customer 318"/>
    <x v="1"/>
    <s v="Karnataka"/>
    <x v="0"/>
    <s v="Stationery"/>
    <x v="18"/>
    <n v="4"/>
    <n v="300"/>
    <x v="2"/>
    <n v="1200"/>
    <n v="680"/>
    <n v="520"/>
  </r>
  <r>
    <s v="ORD10418"/>
    <x v="177"/>
    <s v="CUST1061"/>
    <s v="Customer 061"/>
    <x v="2"/>
    <s v="Maharashtra"/>
    <x v="1"/>
    <s v="Kitchen"/>
    <x v="2"/>
    <n v="4"/>
    <n v="4200"/>
    <x v="3"/>
    <n v="14280"/>
    <n v="11600"/>
    <n v="2680"/>
  </r>
  <r>
    <s v="ORD12138"/>
    <x v="178"/>
    <s v="CUST1012"/>
    <s v="Customer 012"/>
    <x v="3"/>
    <s v="Punjab"/>
    <x v="0"/>
    <s v="Stationery"/>
    <x v="15"/>
    <n v="1"/>
    <n v="450"/>
    <x v="2"/>
    <n v="450"/>
    <n v="260"/>
    <n v="190"/>
  </r>
  <r>
    <s v="ORD10770"/>
    <x v="179"/>
    <s v="CUST1189"/>
    <s v="Customer 189"/>
    <x v="0"/>
    <s v="West Bengal"/>
    <x v="2"/>
    <s v="Audio"/>
    <x v="17"/>
    <n v="3"/>
    <n v="2800"/>
    <x v="5"/>
    <n v="6720"/>
    <n v="5400"/>
    <n v="1320"/>
  </r>
  <r>
    <s v="ORD11680"/>
    <x v="180"/>
    <s v="CUST1258"/>
    <s v="Customer 258"/>
    <x v="1"/>
    <s v="Andhra Pradesh"/>
    <x v="3"/>
    <s v="Storage"/>
    <x v="6"/>
    <n v="5"/>
    <n v="5600"/>
    <x v="4"/>
    <n v="26600"/>
    <n v="19500"/>
    <n v="7100"/>
  </r>
  <r>
    <s v="ORD10308"/>
    <x v="181"/>
    <s v="CUST1278"/>
    <s v="Customer 278"/>
    <x v="2"/>
    <s v="Gujarat"/>
    <x v="0"/>
    <s v="Stationery"/>
    <x v="10"/>
    <n v="3"/>
    <n v="280"/>
    <x v="4"/>
    <n v="798"/>
    <n v="480"/>
    <n v="318"/>
  </r>
  <r>
    <s v="ORD12701"/>
    <x v="182"/>
    <s v="CUST1441"/>
    <s v="Customer 441"/>
    <x v="0"/>
    <s v="West Bengal"/>
    <x v="0"/>
    <s v="Paper"/>
    <x v="3"/>
    <n v="3"/>
    <n v="520"/>
    <x v="5"/>
    <n v="1248"/>
    <n v="990"/>
    <n v="258"/>
  </r>
  <r>
    <s v="ORD13502"/>
    <x v="183"/>
    <s v="CUST1321"/>
    <s v="Customer 321"/>
    <x v="2"/>
    <s v="Rajasthan"/>
    <x v="3"/>
    <s v="Storage"/>
    <x v="14"/>
    <n v="3"/>
    <n v="4800"/>
    <x v="0"/>
    <n v="12960"/>
    <n v="9900"/>
    <n v="3060"/>
  </r>
  <r>
    <s v="ORD12545"/>
    <x v="184"/>
    <s v="CUST1403"/>
    <s v="Customer 403"/>
    <x v="1"/>
    <s v="Karnataka"/>
    <x v="2"/>
    <s v="Audio"/>
    <x v="17"/>
    <n v="3"/>
    <n v="2800"/>
    <x v="2"/>
    <n v="8400"/>
    <n v="5400"/>
    <n v="3000"/>
  </r>
  <r>
    <s v="ORD10999"/>
    <x v="185"/>
    <s v="CUST1481"/>
    <s v="Customer 481"/>
    <x v="0"/>
    <s v="West Bengal"/>
    <x v="1"/>
    <s v="Kitchen"/>
    <x v="4"/>
    <n v="3"/>
    <n v="6800"/>
    <x v="3"/>
    <n v="17340"/>
    <n v="14100"/>
    <n v="3240"/>
  </r>
  <r>
    <s v="ORD11907"/>
    <x v="186"/>
    <s v="CUST1149"/>
    <s v="Customer 149"/>
    <x v="3"/>
    <s v="Uttar Pradesh"/>
    <x v="3"/>
    <s v="Storage"/>
    <x v="6"/>
    <n v="3"/>
    <n v="5600"/>
    <x v="3"/>
    <n v="14280"/>
    <n v="11700"/>
    <n v="2580"/>
  </r>
  <r>
    <s v="ORD13736"/>
    <x v="187"/>
    <s v="CUST1102"/>
    <s v="Customer 102"/>
    <x v="0"/>
    <s v="West Bengal"/>
    <x v="1"/>
    <s v="Appliances"/>
    <x v="7"/>
    <n v="1"/>
    <n v="2400"/>
    <x v="3"/>
    <n v="2040"/>
    <n v="1650"/>
    <n v="390"/>
  </r>
  <r>
    <s v="ORD13938"/>
    <x v="188"/>
    <s v="CUST1237"/>
    <s v="Customer 237"/>
    <x v="1"/>
    <s v="Tamil Nadu"/>
    <x v="1"/>
    <s v="Kitchen"/>
    <x v="1"/>
    <n v="2"/>
    <n v="1900"/>
    <x v="4"/>
    <n v="3610"/>
    <n v="2500"/>
    <n v="1110"/>
  </r>
  <r>
    <s v="ORD13125"/>
    <x v="189"/>
    <s v="CUST1221"/>
    <s v="Customer 221"/>
    <x v="2"/>
    <s v="Maharashtra"/>
    <x v="1"/>
    <s v="Kitchen"/>
    <x v="2"/>
    <n v="1"/>
    <n v="4200"/>
    <x v="1"/>
    <n v="3150"/>
    <n v="2900"/>
    <n v="250"/>
  </r>
  <r>
    <s v="ORD11879"/>
    <x v="190"/>
    <s v="CUST1364"/>
    <s v="Customer 364"/>
    <x v="1"/>
    <s v="Andhra Pradesh"/>
    <x v="2"/>
    <s v="Monitors"/>
    <x v="11"/>
    <n v="4"/>
    <n v="10500"/>
    <x v="2"/>
    <n v="42000"/>
    <n v="30400"/>
    <n v="11600"/>
  </r>
  <r>
    <s v="ORD13798"/>
    <x v="191"/>
    <s v="CUST1033"/>
    <s v="Customer 033"/>
    <x v="0"/>
    <s v="Jharkhand"/>
    <x v="3"/>
    <s v="Tables"/>
    <x v="16"/>
    <n v="4"/>
    <n v="6200"/>
    <x v="3"/>
    <n v="21080"/>
    <n v="17200"/>
    <n v="3880"/>
  </r>
  <r>
    <s v="ORD10780"/>
    <x v="192"/>
    <s v="CUST1426"/>
    <s v="Customer 426"/>
    <x v="1"/>
    <s v="Karnataka"/>
    <x v="2"/>
    <s v="Monitors"/>
    <x v="11"/>
    <n v="3"/>
    <n v="10500"/>
    <x v="4"/>
    <n v="29925"/>
    <n v="22800"/>
    <n v="7125"/>
  </r>
  <r>
    <s v="ORD10821"/>
    <x v="193"/>
    <s v="CUST1012"/>
    <s v="Customer 012"/>
    <x v="1"/>
    <s v="Kerala"/>
    <x v="3"/>
    <s v="Storage"/>
    <x v="6"/>
    <n v="1"/>
    <n v="5600"/>
    <x v="4"/>
    <n v="5320"/>
    <n v="3900"/>
    <n v="1420"/>
  </r>
  <r>
    <s v="ORD12969"/>
    <x v="194"/>
    <s v="CUST1360"/>
    <s v="Customer 360"/>
    <x v="1"/>
    <s v="Karnataka"/>
    <x v="0"/>
    <s v="Stationery"/>
    <x v="18"/>
    <n v="4"/>
    <n v="300"/>
    <x v="4"/>
    <n v="1140"/>
    <n v="680"/>
    <n v="460"/>
  </r>
  <r>
    <s v="ORD12821"/>
    <x v="195"/>
    <s v="CUST1271"/>
    <s v="Customer 271"/>
    <x v="3"/>
    <s v="Uttar Pradesh"/>
    <x v="1"/>
    <s v="Appliances"/>
    <x v="7"/>
    <n v="5"/>
    <n v="2400"/>
    <x v="0"/>
    <n v="10800"/>
    <n v="8250"/>
    <n v="2550"/>
  </r>
  <r>
    <s v="ORD12744"/>
    <x v="196"/>
    <s v="CUST1474"/>
    <s v="Customer 474"/>
    <x v="1"/>
    <s v="Andhra Pradesh"/>
    <x v="0"/>
    <s v="Stationery"/>
    <x v="10"/>
    <n v="3"/>
    <n v="280"/>
    <x v="2"/>
    <n v="840"/>
    <n v="480"/>
    <n v="360"/>
  </r>
  <r>
    <s v="ORD12928"/>
    <x v="197"/>
    <s v="CUST1161"/>
    <s v="Customer 161"/>
    <x v="2"/>
    <s v="Rajasthan"/>
    <x v="1"/>
    <s v="Kitchen"/>
    <x v="2"/>
    <n v="2"/>
    <n v="4200"/>
    <x v="0"/>
    <n v="7560"/>
    <n v="5800"/>
    <n v="1760"/>
  </r>
  <r>
    <s v="ORD11104"/>
    <x v="198"/>
    <s v="CUST1076"/>
    <s v="Customer 076"/>
    <x v="3"/>
    <s v="Delhi"/>
    <x v="0"/>
    <s v="Paper"/>
    <x v="3"/>
    <n v="4"/>
    <n v="520"/>
    <x v="3"/>
    <n v="1768"/>
    <n v="1320"/>
    <n v="448"/>
  </r>
  <r>
    <s v="ORD11449"/>
    <x v="199"/>
    <s v="CUST1370"/>
    <s v="Customer 370"/>
    <x v="1"/>
    <s v="Karnataka"/>
    <x v="2"/>
    <s v="Accessories"/>
    <x v="9"/>
    <n v="4"/>
    <n v="850"/>
    <x v="1"/>
    <n v="2550"/>
    <n v="2240"/>
    <n v="310"/>
  </r>
  <r>
    <s v="ORD13691"/>
    <x v="200"/>
    <s v="CUST1201"/>
    <s v="Customer 201"/>
    <x v="2"/>
    <s v="Maharashtra"/>
    <x v="2"/>
    <s v="Audio"/>
    <x v="5"/>
    <n v="4"/>
    <n v="2200"/>
    <x v="2"/>
    <n v="8800"/>
    <n v="5800"/>
    <n v="3000"/>
  </r>
  <r>
    <s v="ORD13618"/>
    <x v="201"/>
    <s v="CUST1205"/>
    <s v="Customer 205"/>
    <x v="3"/>
    <s v="Uttar Pradesh"/>
    <x v="2"/>
    <s v="Audio"/>
    <x v="17"/>
    <n v="2"/>
    <n v="2800"/>
    <x v="0"/>
    <n v="5040"/>
    <n v="3600"/>
    <n v="1440"/>
  </r>
  <r>
    <s v="ORD12589"/>
    <x v="202"/>
    <s v="CUST1486"/>
    <s v="Customer 486"/>
    <x v="2"/>
    <s v="Goa"/>
    <x v="2"/>
    <s v="Accessories"/>
    <x v="13"/>
    <n v="4"/>
    <n v="1400"/>
    <x v="2"/>
    <n v="5600"/>
    <n v="3600"/>
    <n v="2000"/>
  </r>
  <r>
    <s v="ORD11926"/>
    <x v="203"/>
    <s v="CUST1066"/>
    <s v="Customer 066"/>
    <x v="2"/>
    <s v="Goa"/>
    <x v="1"/>
    <s v="Appliances"/>
    <x v="7"/>
    <n v="2"/>
    <n v="2400"/>
    <x v="3"/>
    <n v="4080"/>
    <n v="3300"/>
    <n v="780"/>
  </r>
  <r>
    <s v="ORD11577"/>
    <x v="204"/>
    <s v="CUST1275"/>
    <s v="Customer 275"/>
    <x v="3"/>
    <s v="Haryana"/>
    <x v="2"/>
    <s v="Audio"/>
    <x v="17"/>
    <n v="4"/>
    <n v="2800"/>
    <x v="3"/>
    <n v="9520"/>
    <n v="7200"/>
    <n v="2320"/>
  </r>
  <r>
    <s v="ORD12076"/>
    <x v="205"/>
    <s v="CUST1205"/>
    <s v="Customer 205"/>
    <x v="1"/>
    <s v="Telangana"/>
    <x v="0"/>
    <s v="Accessories"/>
    <x v="0"/>
    <n v="1"/>
    <n v="650"/>
    <x v="1"/>
    <n v="487.5"/>
    <n v="390"/>
    <n v="97.5"/>
  </r>
  <r>
    <s v="ORD12335"/>
    <x v="206"/>
    <s v="CUST1277"/>
    <s v="Customer 277"/>
    <x v="3"/>
    <s v="Haryana"/>
    <x v="2"/>
    <s v="Audio"/>
    <x v="17"/>
    <n v="4"/>
    <n v="2800"/>
    <x v="2"/>
    <n v="11200"/>
    <n v="7200"/>
    <n v="4000"/>
  </r>
  <r>
    <s v="ORD10503"/>
    <x v="207"/>
    <s v="CUST1482"/>
    <s v="Customer 482"/>
    <x v="0"/>
    <s v="West Bengal"/>
    <x v="2"/>
    <s v="Accessories"/>
    <x v="8"/>
    <n v="4"/>
    <n v="1800"/>
    <x v="3"/>
    <n v="6120"/>
    <n v="4400"/>
    <n v="1720"/>
  </r>
  <r>
    <s v="ORD10112"/>
    <x v="208"/>
    <s v="CUST1391"/>
    <s v="Customer 391"/>
    <x v="2"/>
    <s v="Maharashtra"/>
    <x v="2"/>
    <s v="Audio"/>
    <x v="17"/>
    <n v="5"/>
    <n v="2800"/>
    <x v="1"/>
    <n v="10500"/>
    <n v="9000"/>
    <n v="1500"/>
  </r>
  <r>
    <s v="ORD10482"/>
    <x v="209"/>
    <s v="CUST1415"/>
    <s v="Customer 415"/>
    <x v="1"/>
    <s v="Telangana"/>
    <x v="2"/>
    <s v="Monitors"/>
    <x v="11"/>
    <n v="3"/>
    <n v="10500"/>
    <x v="0"/>
    <n v="28350"/>
    <n v="22800"/>
    <n v="5550"/>
  </r>
  <r>
    <s v="ORD12350"/>
    <x v="210"/>
    <s v="CUST1253"/>
    <s v="Customer 253"/>
    <x v="3"/>
    <s v="Punjab"/>
    <x v="1"/>
    <s v="Kitchen"/>
    <x v="1"/>
    <n v="2"/>
    <n v="1900"/>
    <x v="2"/>
    <n v="3800"/>
    <n v="2500"/>
    <n v="1300"/>
  </r>
  <r>
    <s v="ORD13118"/>
    <x v="211"/>
    <s v="CUST1322"/>
    <s v="Customer 322"/>
    <x v="3"/>
    <s v="Uttar Pradesh"/>
    <x v="3"/>
    <s v="Storage"/>
    <x v="6"/>
    <n v="1"/>
    <n v="5600"/>
    <x v="4"/>
    <n v="5320"/>
    <n v="3900"/>
    <n v="1420"/>
  </r>
  <r>
    <s v="ORD13157"/>
    <x v="212"/>
    <s v="CUST1386"/>
    <s v="Customer 386"/>
    <x v="1"/>
    <s v="Telangana"/>
    <x v="1"/>
    <s v="Appliances"/>
    <x v="7"/>
    <n v="3"/>
    <n v="2400"/>
    <x v="4"/>
    <n v="6840"/>
    <n v="4950"/>
    <n v="1890"/>
  </r>
  <r>
    <s v="ORD12274"/>
    <x v="213"/>
    <s v="CUST1231"/>
    <s v="Customer 231"/>
    <x v="3"/>
    <s v="Delhi"/>
    <x v="3"/>
    <s v="Chairs"/>
    <x v="12"/>
    <n v="4"/>
    <n v="7500"/>
    <x v="4"/>
    <n v="28500"/>
    <n v="20800"/>
    <n v="7700"/>
  </r>
  <r>
    <s v="ORD11334"/>
    <x v="214"/>
    <s v="CUST1404"/>
    <s v="Customer 404"/>
    <x v="1"/>
    <s v="Andhra Pradesh"/>
    <x v="0"/>
    <s v="Stationery"/>
    <x v="15"/>
    <n v="4"/>
    <n v="450"/>
    <x v="0"/>
    <n v="1620"/>
    <n v="1040"/>
    <n v="580"/>
  </r>
  <r>
    <s v="ORD10382"/>
    <x v="215"/>
    <s v="CUST1469"/>
    <s v="Customer 469"/>
    <x v="1"/>
    <s v="Andhra Pradesh"/>
    <x v="0"/>
    <s v="Accessories"/>
    <x v="0"/>
    <n v="2"/>
    <n v="650"/>
    <x v="2"/>
    <n v="1300"/>
    <n v="780"/>
    <n v="520"/>
  </r>
  <r>
    <s v="ORD12264"/>
    <x v="216"/>
    <s v="CUST1259"/>
    <s v="Customer 259"/>
    <x v="3"/>
    <s v="Haryana"/>
    <x v="2"/>
    <s v="Monitors"/>
    <x v="11"/>
    <n v="1"/>
    <n v="10500"/>
    <x v="5"/>
    <n v="8400"/>
    <n v="7600"/>
    <n v="800"/>
  </r>
  <r>
    <s v="ORD10175"/>
    <x v="217"/>
    <s v="CUST1349"/>
    <s v="Customer 349"/>
    <x v="1"/>
    <s v="Tamil Nadu"/>
    <x v="2"/>
    <s v="Monitors"/>
    <x v="11"/>
    <n v="4"/>
    <n v="10500"/>
    <x v="0"/>
    <n v="37800"/>
    <n v="30400"/>
    <n v="7400"/>
  </r>
  <r>
    <s v="ORD10699"/>
    <x v="218"/>
    <s v="CUST1026"/>
    <s v="Customer 026"/>
    <x v="1"/>
    <s v="Telangana"/>
    <x v="2"/>
    <s v="Accessories"/>
    <x v="8"/>
    <n v="1"/>
    <n v="1800"/>
    <x v="0"/>
    <n v="1620"/>
    <n v="1100"/>
    <n v="520"/>
  </r>
  <r>
    <s v="ORD13663"/>
    <x v="219"/>
    <s v="CUST1485"/>
    <s v="Customer 485"/>
    <x v="2"/>
    <s v="Gujarat"/>
    <x v="2"/>
    <s v="Accessories"/>
    <x v="8"/>
    <n v="1"/>
    <n v="1800"/>
    <x v="0"/>
    <n v="1620"/>
    <n v="1100"/>
    <n v="520"/>
  </r>
  <r>
    <s v="ORD11876"/>
    <x v="220"/>
    <s v="CUST1061"/>
    <s v="Customer 061"/>
    <x v="1"/>
    <s v="Kerala"/>
    <x v="3"/>
    <s v="Tables"/>
    <x v="16"/>
    <n v="3"/>
    <n v="6200"/>
    <x v="3"/>
    <n v="15810"/>
    <n v="12900"/>
    <n v="2910"/>
  </r>
  <r>
    <s v="ORD10299"/>
    <x v="221"/>
    <s v="CUST1143"/>
    <s v="Customer 143"/>
    <x v="1"/>
    <s v="Andhra Pradesh"/>
    <x v="2"/>
    <s v="Accessories"/>
    <x v="13"/>
    <n v="4"/>
    <n v="1400"/>
    <x v="3"/>
    <n v="4760"/>
    <n v="3600"/>
    <n v="1160"/>
  </r>
  <r>
    <s v="ORD12681"/>
    <x v="222"/>
    <s v="CUST1059"/>
    <s v="Customer 059"/>
    <x v="0"/>
    <s v="West Bengal"/>
    <x v="3"/>
    <s v="Storage"/>
    <x v="6"/>
    <n v="2"/>
    <n v="5600"/>
    <x v="0"/>
    <n v="10080"/>
    <n v="7800"/>
    <n v="2280"/>
  </r>
  <r>
    <s v="ORD13903"/>
    <x v="223"/>
    <s v="CUST1255"/>
    <s v="Customer 255"/>
    <x v="1"/>
    <s v="Telangana"/>
    <x v="3"/>
    <s v="Chairs"/>
    <x v="12"/>
    <n v="4"/>
    <n v="7500"/>
    <x v="3"/>
    <n v="25500"/>
    <n v="20800"/>
    <n v="4700"/>
  </r>
  <r>
    <s v="ORD11602"/>
    <x v="224"/>
    <s v="CUST1370"/>
    <s v="Customer 370"/>
    <x v="1"/>
    <s v="Kerala"/>
    <x v="2"/>
    <s v="Accessories"/>
    <x v="8"/>
    <n v="3"/>
    <n v="1800"/>
    <x v="1"/>
    <n v="4050"/>
    <n v="3300"/>
    <n v="750"/>
  </r>
  <r>
    <s v="ORD10143"/>
    <x v="225"/>
    <s v="CUST1139"/>
    <s v="Customer 139"/>
    <x v="3"/>
    <s v="Delhi"/>
    <x v="2"/>
    <s v="Monitors"/>
    <x v="11"/>
    <n v="5"/>
    <n v="10500"/>
    <x v="1"/>
    <n v="39375"/>
    <n v="38000"/>
    <n v="1375"/>
  </r>
  <r>
    <s v="ORD12932"/>
    <x v="226"/>
    <s v="CUST1337"/>
    <s v="Customer 337"/>
    <x v="2"/>
    <s v="Maharashtra"/>
    <x v="0"/>
    <s v="Stationery"/>
    <x v="15"/>
    <n v="3"/>
    <n v="450"/>
    <x v="5"/>
    <n v="1080"/>
    <n v="780"/>
    <n v="300"/>
  </r>
  <r>
    <s v="ORD12677"/>
    <x v="227"/>
    <s v="CUST1482"/>
    <s v="Customer 482"/>
    <x v="1"/>
    <s v="Tamil Nadu"/>
    <x v="3"/>
    <s v="Chairs"/>
    <x v="12"/>
    <n v="3"/>
    <n v="7500"/>
    <x v="5"/>
    <n v="18000"/>
    <n v="15600"/>
    <n v="2400"/>
  </r>
  <r>
    <s v="ORD11245"/>
    <x v="228"/>
    <s v="CUST1438"/>
    <s v="Customer 438"/>
    <x v="1"/>
    <s v="Karnataka"/>
    <x v="3"/>
    <s v="Tables"/>
    <x v="16"/>
    <n v="1"/>
    <n v="6200"/>
    <x v="0"/>
    <n v="5580"/>
    <n v="4300"/>
    <n v="1280"/>
  </r>
  <r>
    <s v="ORD13832"/>
    <x v="229"/>
    <s v="CUST1102"/>
    <s v="Customer 102"/>
    <x v="1"/>
    <s v="Andhra Pradesh"/>
    <x v="2"/>
    <s v="Audio"/>
    <x v="17"/>
    <n v="3"/>
    <n v="2800"/>
    <x v="5"/>
    <n v="6720"/>
    <n v="5400"/>
    <n v="1320"/>
  </r>
  <r>
    <s v="ORD11513"/>
    <x v="230"/>
    <s v="CUST1372"/>
    <s v="Customer 372"/>
    <x v="0"/>
    <s v="Odisha"/>
    <x v="2"/>
    <s v="Accessories"/>
    <x v="9"/>
    <n v="3"/>
    <n v="850"/>
    <x v="0"/>
    <n v="2295"/>
    <n v="1680"/>
    <n v="615"/>
  </r>
  <r>
    <s v="ORD10951"/>
    <x v="231"/>
    <s v="CUST1047"/>
    <s v="Customer 047"/>
    <x v="1"/>
    <s v="Tamil Nadu"/>
    <x v="2"/>
    <s v="Audio"/>
    <x v="5"/>
    <n v="5"/>
    <n v="2200"/>
    <x v="5"/>
    <n v="8800"/>
    <n v="7250"/>
    <n v="1550"/>
  </r>
  <r>
    <s v="ORD12313"/>
    <x v="232"/>
    <s v="CUST1256"/>
    <s v="Customer 256"/>
    <x v="1"/>
    <s v="Karnataka"/>
    <x v="0"/>
    <s v="Stationery"/>
    <x v="10"/>
    <n v="2"/>
    <n v="280"/>
    <x v="0"/>
    <n v="504"/>
    <n v="320"/>
    <n v="184"/>
  </r>
  <r>
    <s v="ORD12491"/>
    <x v="233"/>
    <s v="CUST1172"/>
    <s v="Customer 172"/>
    <x v="2"/>
    <s v="Goa"/>
    <x v="2"/>
    <s v="Audio"/>
    <x v="17"/>
    <n v="4"/>
    <n v="2800"/>
    <x v="4"/>
    <n v="10640"/>
    <n v="7200"/>
    <n v="3440"/>
  </r>
  <r>
    <s v="ORD12984"/>
    <x v="234"/>
    <s v="CUST1412"/>
    <s v="Customer 412"/>
    <x v="1"/>
    <s v="Andhra Pradesh"/>
    <x v="2"/>
    <s v="Monitors"/>
    <x v="11"/>
    <n v="4"/>
    <n v="10500"/>
    <x v="0"/>
    <n v="37800"/>
    <n v="30400"/>
    <n v="7400"/>
  </r>
  <r>
    <s v="ORD11519"/>
    <x v="235"/>
    <s v="CUST1248"/>
    <s v="Customer 248"/>
    <x v="2"/>
    <s v="Rajasthan"/>
    <x v="2"/>
    <s v="Audio"/>
    <x v="17"/>
    <n v="5"/>
    <n v="2800"/>
    <x v="1"/>
    <n v="10500"/>
    <n v="9000"/>
    <n v="1500"/>
  </r>
  <r>
    <s v="ORD13122"/>
    <x v="236"/>
    <s v="CUST1500"/>
    <s v="Customer 500"/>
    <x v="1"/>
    <s v="Andhra Pradesh"/>
    <x v="3"/>
    <s v="Chairs"/>
    <x v="12"/>
    <n v="1"/>
    <n v="7500"/>
    <x v="4"/>
    <n v="7125"/>
    <n v="5200"/>
    <n v="1925"/>
  </r>
  <r>
    <s v="ORD12087"/>
    <x v="237"/>
    <s v="CUST1367"/>
    <s v="Customer 367"/>
    <x v="2"/>
    <s v="Gujarat"/>
    <x v="0"/>
    <s v="Stationery"/>
    <x v="18"/>
    <n v="3"/>
    <n v="300"/>
    <x v="1"/>
    <n v="675"/>
    <n v="510"/>
    <n v="165"/>
  </r>
  <r>
    <s v="ORD12636"/>
    <x v="238"/>
    <s v="CUST1014"/>
    <s v="Customer 014"/>
    <x v="1"/>
    <s v="Andhra Pradesh"/>
    <x v="2"/>
    <s v="Accessories"/>
    <x v="13"/>
    <n v="2"/>
    <n v="1400"/>
    <x v="3"/>
    <n v="2380"/>
    <n v="1800"/>
    <n v="580"/>
  </r>
  <r>
    <s v="ORD12493"/>
    <x v="239"/>
    <s v="CUST1465"/>
    <s v="Customer 465"/>
    <x v="0"/>
    <s v="West Bengal"/>
    <x v="1"/>
    <s v="Kitchen"/>
    <x v="1"/>
    <n v="4"/>
    <n v="1900"/>
    <x v="0"/>
    <n v="6840"/>
    <n v="5000"/>
    <n v="1840"/>
  </r>
  <r>
    <s v="ORD12615"/>
    <x v="240"/>
    <s v="CUST1053"/>
    <s v="Customer 053"/>
    <x v="1"/>
    <s v="Andhra Pradesh"/>
    <x v="0"/>
    <s v="Stationery"/>
    <x v="18"/>
    <n v="3"/>
    <n v="300"/>
    <x v="4"/>
    <n v="855"/>
    <n v="510"/>
    <n v="345"/>
  </r>
  <r>
    <s v="ORD11794"/>
    <x v="241"/>
    <s v="CUST1140"/>
    <s v="Customer 140"/>
    <x v="1"/>
    <s v="Andhra Pradesh"/>
    <x v="2"/>
    <s v="Accessories"/>
    <x v="13"/>
    <n v="4"/>
    <n v="1400"/>
    <x v="2"/>
    <n v="5600"/>
    <n v="3600"/>
    <n v="2000"/>
  </r>
  <r>
    <s v="ORD13516"/>
    <x v="242"/>
    <s v="CUST1487"/>
    <s v="Customer 487"/>
    <x v="0"/>
    <s v="West Bengal"/>
    <x v="3"/>
    <s v="Tables"/>
    <x v="16"/>
    <n v="5"/>
    <n v="6200"/>
    <x v="0"/>
    <n v="27900"/>
    <n v="21500"/>
    <n v="6400"/>
  </r>
  <r>
    <s v="ORD10232"/>
    <x v="243"/>
    <s v="CUST1429"/>
    <s v="Customer 429"/>
    <x v="2"/>
    <s v="Rajasthan"/>
    <x v="2"/>
    <s v="Accessories"/>
    <x v="13"/>
    <n v="3"/>
    <n v="1400"/>
    <x v="4"/>
    <n v="3990"/>
    <n v="2700"/>
    <n v="1290"/>
  </r>
  <r>
    <s v="ORD13344"/>
    <x v="244"/>
    <s v="CUST1310"/>
    <s v="Customer 310"/>
    <x v="2"/>
    <s v="Maharashtra"/>
    <x v="2"/>
    <s v="Accessories"/>
    <x v="8"/>
    <n v="3"/>
    <n v="1800"/>
    <x v="0"/>
    <n v="4860"/>
    <n v="3300"/>
    <n v="1560"/>
  </r>
  <r>
    <s v="ORD10591"/>
    <x v="245"/>
    <s v="CUST1401"/>
    <s v="Customer 401"/>
    <x v="3"/>
    <s v="Delhi"/>
    <x v="3"/>
    <s v="Tables"/>
    <x v="16"/>
    <n v="4"/>
    <n v="6200"/>
    <x v="4"/>
    <n v="23560"/>
    <n v="17200"/>
    <n v="6360"/>
  </r>
  <r>
    <s v="ORD10663"/>
    <x v="246"/>
    <s v="CUST1018"/>
    <s v="Customer 018"/>
    <x v="1"/>
    <s v="Tamil Nadu"/>
    <x v="1"/>
    <s v="Kitchen"/>
    <x v="2"/>
    <n v="5"/>
    <n v="4200"/>
    <x v="0"/>
    <n v="18900"/>
    <n v="14500"/>
    <n v="4400"/>
  </r>
  <r>
    <s v="ORD12805"/>
    <x v="247"/>
    <s v="CUST1087"/>
    <s v="Customer 087"/>
    <x v="3"/>
    <s v="Delhi"/>
    <x v="3"/>
    <s v="Chairs"/>
    <x v="12"/>
    <n v="1"/>
    <n v="7500"/>
    <x v="4"/>
    <n v="7125"/>
    <n v="5200"/>
    <n v="1925"/>
  </r>
  <r>
    <s v="ORD13197"/>
    <x v="248"/>
    <s v="CUST1113"/>
    <s v="Customer 113"/>
    <x v="2"/>
    <s v="Goa"/>
    <x v="2"/>
    <s v="Audio"/>
    <x v="5"/>
    <n v="1"/>
    <n v="2200"/>
    <x v="4"/>
    <n v="2090"/>
    <n v="1450"/>
    <n v="640"/>
  </r>
  <r>
    <s v="ORD10670"/>
    <x v="249"/>
    <s v="CUST1067"/>
    <s v="Customer 067"/>
    <x v="2"/>
    <s v="Goa"/>
    <x v="1"/>
    <s v="Kitchen"/>
    <x v="1"/>
    <n v="4"/>
    <n v="1900"/>
    <x v="0"/>
    <n v="6840"/>
    <n v="5000"/>
    <n v="1840"/>
  </r>
  <r>
    <s v="ORD11659"/>
    <x v="250"/>
    <s v="CUST1420"/>
    <s v="Customer 420"/>
    <x v="0"/>
    <s v="West Bengal"/>
    <x v="1"/>
    <s v="Kitchen"/>
    <x v="4"/>
    <n v="4"/>
    <n v="6800"/>
    <x v="4"/>
    <n v="25840"/>
    <n v="18800"/>
    <n v="7040"/>
  </r>
  <r>
    <s v="ORD13978"/>
    <x v="251"/>
    <s v="CUST1494"/>
    <s v="Customer 494"/>
    <x v="1"/>
    <s v="Telangana"/>
    <x v="3"/>
    <s v="Storage"/>
    <x v="6"/>
    <n v="4"/>
    <n v="5600"/>
    <x v="2"/>
    <n v="22400"/>
    <n v="15600"/>
    <n v="6800"/>
  </r>
  <r>
    <s v="ORD12234"/>
    <x v="252"/>
    <s v="CUST1069"/>
    <s v="Customer 069"/>
    <x v="3"/>
    <s v="Punjab"/>
    <x v="2"/>
    <s v="Audio"/>
    <x v="17"/>
    <n v="3"/>
    <n v="2800"/>
    <x v="3"/>
    <n v="7140"/>
    <n v="5400"/>
    <n v="1740"/>
  </r>
  <r>
    <s v="ORD11090"/>
    <x v="253"/>
    <s v="CUST1071"/>
    <s v="Customer 071"/>
    <x v="0"/>
    <s v="Odisha"/>
    <x v="3"/>
    <s v="Tables"/>
    <x v="16"/>
    <n v="5"/>
    <n v="6200"/>
    <x v="0"/>
    <n v="27900"/>
    <n v="21500"/>
    <n v="6400"/>
  </r>
  <r>
    <s v="ORD11682"/>
    <x v="254"/>
    <s v="CUST1007"/>
    <s v="Customer 007"/>
    <x v="1"/>
    <s v="Telangana"/>
    <x v="2"/>
    <s v="Audio"/>
    <x v="17"/>
    <n v="2"/>
    <n v="2800"/>
    <x v="5"/>
    <n v="4480"/>
    <n v="3600"/>
    <n v="880"/>
  </r>
  <r>
    <s v="ORD12727"/>
    <x v="255"/>
    <s v="CUST1069"/>
    <s v="Customer 069"/>
    <x v="3"/>
    <s v="Punjab"/>
    <x v="0"/>
    <s v="Stationery"/>
    <x v="10"/>
    <n v="5"/>
    <n v="280"/>
    <x v="0"/>
    <n v="1260"/>
    <n v="800"/>
    <n v="460"/>
  </r>
  <r>
    <s v="ORD11016"/>
    <x v="256"/>
    <s v="CUST1419"/>
    <s v="Customer 419"/>
    <x v="3"/>
    <s v="Delhi"/>
    <x v="1"/>
    <s v="Kitchen"/>
    <x v="4"/>
    <n v="2"/>
    <n v="6800"/>
    <x v="0"/>
    <n v="12240"/>
    <n v="9400"/>
    <n v="2840"/>
  </r>
  <r>
    <s v="ORD13441"/>
    <x v="257"/>
    <s v="CUST1474"/>
    <s v="Customer 474"/>
    <x v="1"/>
    <s v="Kerala"/>
    <x v="2"/>
    <s v="Audio"/>
    <x v="17"/>
    <n v="4"/>
    <n v="2800"/>
    <x v="2"/>
    <n v="11200"/>
    <n v="7200"/>
    <n v="4000"/>
  </r>
  <r>
    <s v="ORD12546"/>
    <x v="258"/>
    <s v="CUST1199"/>
    <s v="Customer 199"/>
    <x v="1"/>
    <s v="Tamil Nadu"/>
    <x v="1"/>
    <s v="Appliances"/>
    <x v="7"/>
    <n v="3"/>
    <n v="2400"/>
    <x v="0"/>
    <n v="6480"/>
    <n v="4950"/>
    <n v="1530"/>
  </r>
  <r>
    <s v="ORD10484"/>
    <x v="259"/>
    <s v="CUST1399"/>
    <s v="Customer 399"/>
    <x v="1"/>
    <s v="Tamil Nadu"/>
    <x v="3"/>
    <s v="Chairs"/>
    <x v="12"/>
    <n v="5"/>
    <n v="7500"/>
    <x v="3"/>
    <n v="31875"/>
    <n v="26000"/>
    <n v="5875"/>
  </r>
  <r>
    <s v="ORD12825"/>
    <x v="260"/>
    <s v="CUST1310"/>
    <s v="Customer 310"/>
    <x v="1"/>
    <s v="Telangana"/>
    <x v="2"/>
    <s v="Accessories"/>
    <x v="9"/>
    <n v="3"/>
    <n v="850"/>
    <x v="0"/>
    <n v="2295"/>
    <n v="1680"/>
    <n v="615"/>
  </r>
  <r>
    <s v="ORD13275"/>
    <x v="261"/>
    <s v="CUST1122"/>
    <s v="Customer 122"/>
    <x v="1"/>
    <s v="Telangana"/>
    <x v="2"/>
    <s v="Accessories"/>
    <x v="13"/>
    <n v="3"/>
    <n v="1400"/>
    <x v="0"/>
    <n v="3780"/>
    <n v="2700"/>
    <n v="1080"/>
  </r>
  <r>
    <s v="ORD11608"/>
    <x v="262"/>
    <s v="CUST1297"/>
    <s v="Customer 297"/>
    <x v="1"/>
    <s v="Karnataka"/>
    <x v="3"/>
    <s v="Chairs"/>
    <x v="12"/>
    <n v="4"/>
    <n v="7500"/>
    <x v="5"/>
    <n v="24000"/>
    <n v="20800"/>
    <n v="3200"/>
  </r>
  <r>
    <s v="ORD13363"/>
    <x v="263"/>
    <s v="CUST1024"/>
    <s v="Customer 024"/>
    <x v="1"/>
    <s v="Telangana"/>
    <x v="1"/>
    <s v="Kitchen"/>
    <x v="1"/>
    <n v="2"/>
    <n v="1900"/>
    <x v="3"/>
    <n v="3230"/>
    <n v="2500"/>
    <n v="730"/>
  </r>
  <r>
    <s v="ORD12382"/>
    <x v="264"/>
    <s v="CUST1225"/>
    <s v="Customer 225"/>
    <x v="1"/>
    <s v="Kerala"/>
    <x v="0"/>
    <s v="Paper"/>
    <x v="3"/>
    <n v="4"/>
    <n v="520"/>
    <x v="3"/>
    <n v="1768"/>
    <n v="1320"/>
    <n v="448"/>
  </r>
  <r>
    <s v="ORD12512"/>
    <x v="265"/>
    <s v="CUST1427"/>
    <s v="Customer 427"/>
    <x v="2"/>
    <s v="Maharashtra"/>
    <x v="0"/>
    <s v="Stationery"/>
    <x v="15"/>
    <n v="3"/>
    <n v="450"/>
    <x v="2"/>
    <n v="1350"/>
    <n v="780"/>
    <n v="570"/>
  </r>
  <r>
    <s v="ORD13554"/>
    <x v="266"/>
    <s v="CUST1357"/>
    <s v="Customer 357"/>
    <x v="1"/>
    <s v="Karnataka"/>
    <x v="2"/>
    <s v="Audio"/>
    <x v="5"/>
    <n v="3"/>
    <n v="2200"/>
    <x v="2"/>
    <n v="6600"/>
    <n v="4350"/>
    <n v="2250"/>
  </r>
  <r>
    <s v="ORD13415"/>
    <x v="267"/>
    <s v="CUST1299"/>
    <s v="Customer 299"/>
    <x v="3"/>
    <s v="Haryana"/>
    <x v="1"/>
    <s v="Kitchen"/>
    <x v="4"/>
    <n v="1"/>
    <n v="6800"/>
    <x v="5"/>
    <n v="5440"/>
    <n v="4700"/>
    <n v="740"/>
  </r>
  <r>
    <s v="ORD13939"/>
    <x v="268"/>
    <s v="CUST1362"/>
    <s v="Customer 362"/>
    <x v="2"/>
    <s v="Gujarat"/>
    <x v="3"/>
    <s v="Chairs"/>
    <x v="12"/>
    <n v="3"/>
    <n v="7500"/>
    <x v="2"/>
    <n v="22500"/>
    <n v="15600"/>
    <n v="6900"/>
  </r>
  <r>
    <s v="ORD12109"/>
    <x v="269"/>
    <s v="CUST1141"/>
    <s v="Customer 141"/>
    <x v="0"/>
    <s v="West Bengal"/>
    <x v="1"/>
    <s v="Kitchen"/>
    <x v="4"/>
    <n v="4"/>
    <n v="6800"/>
    <x v="3"/>
    <n v="23120"/>
    <n v="18800"/>
    <n v="4320"/>
  </r>
  <r>
    <s v="ORD12683"/>
    <x v="270"/>
    <s v="CUST1195"/>
    <s v="Customer 195"/>
    <x v="3"/>
    <s v="Punjab"/>
    <x v="0"/>
    <s v="Paper"/>
    <x v="3"/>
    <n v="2"/>
    <n v="520"/>
    <x v="0"/>
    <n v="936"/>
    <n v="660"/>
    <n v="276"/>
  </r>
  <r>
    <s v="ORD11795"/>
    <x v="271"/>
    <s v="CUST1240"/>
    <s v="Customer 240"/>
    <x v="2"/>
    <s v="Goa"/>
    <x v="2"/>
    <s v="Accessories"/>
    <x v="9"/>
    <n v="4"/>
    <n v="850"/>
    <x v="5"/>
    <n v="2720"/>
    <n v="2240"/>
    <n v="480"/>
  </r>
  <r>
    <s v="ORD13615"/>
    <x v="272"/>
    <s v="CUST1376"/>
    <s v="Customer 376"/>
    <x v="2"/>
    <s v="Goa"/>
    <x v="1"/>
    <s v="Kitchen"/>
    <x v="2"/>
    <n v="5"/>
    <n v="4200"/>
    <x v="0"/>
    <n v="18900"/>
    <n v="14500"/>
    <n v="4400"/>
  </r>
  <r>
    <s v="ORD13595"/>
    <x v="273"/>
    <s v="CUST1125"/>
    <s v="Customer 125"/>
    <x v="2"/>
    <s v="Rajasthan"/>
    <x v="3"/>
    <s v="Storage"/>
    <x v="6"/>
    <n v="2"/>
    <n v="5600"/>
    <x v="0"/>
    <n v="10080"/>
    <n v="7800"/>
    <n v="2280"/>
  </r>
  <r>
    <s v="ORD11931"/>
    <x v="274"/>
    <s v="CUST1045"/>
    <s v="Customer 045"/>
    <x v="2"/>
    <s v="Rajasthan"/>
    <x v="2"/>
    <s v="Audio"/>
    <x v="17"/>
    <n v="1"/>
    <n v="2800"/>
    <x v="1"/>
    <n v="2100"/>
    <n v="1800"/>
    <n v="300"/>
  </r>
  <r>
    <s v="ORD11156"/>
    <x v="275"/>
    <s v="CUST1294"/>
    <s v="Customer 294"/>
    <x v="1"/>
    <s v="Telangana"/>
    <x v="1"/>
    <s v="Appliances"/>
    <x v="7"/>
    <n v="1"/>
    <n v="2400"/>
    <x v="5"/>
    <n v="1920"/>
    <n v="1650"/>
    <n v="270"/>
  </r>
  <r>
    <s v="ORD11534"/>
    <x v="276"/>
    <s v="CUST1095"/>
    <s v="Customer 095"/>
    <x v="1"/>
    <s v="Andhra Pradesh"/>
    <x v="3"/>
    <s v="Chairs"/>
    <x v="12"/>
    <n v="1"/>
    <n v="7500"/>
    <x v="3"/>
    <n v="6375"/>
    <n v="5200"/>
    <n v="1175"/>
  </r>
  <r>
    <s v="ORD12993"/>
    <x v="277"/>
    <s v="CUST1097"/>
    <s v="Customer 097"/>
    <x v="3"/>
    <s v="Uttar Pradesh"/>
    <x v="0"/>
    <s v="Paper"/>
    <x v="3"/>
    <n v="2"/>
    <n v="520"/>
    <x v="2"/>
    <n v="1040"/>
    <n v="660"/>
    <n v="380"/>
  </r>
  <r>
    <s v="ORD12089"/>
    <x v="278"/>
    <s v="CUST1153"/>
    <s v="Customer 153"/>
    <x v="1"/>
    <s v="Tamil Nadu"/>
    <x v="2"/>
    <s v="Audio"/>
    <x v="5"/>
    <n v="2"/>
    <n v="2200"/>
    <x v="0"/>
    <n v="3960"/>
    <n v="2900"/>
    <n v="1060"/>
  </r>
  <r>
    <s v="ORD11293"/>
    <x v="279"/>
    <s v="CUST1222"/>
    <s v="Customer 222"/>
    <x v="2"/>
    <s v="Maharashtra"/>
    <x v="0"/>
    <s v="Accessories"/>
    <x v="0"/>
    <n v="4"/>
    <n v="650"/>
    <x v="0"/>
    <n v="2340"/>
    <n v="1560"/>
    <n v="780"/>
  </r>
  <r>
    <s v="ORD13162"/>
    <x v="280"/>
    <s v="CUST1445"/>
    <s v="Customer 445"/>
    <x v="0"/>
    <s v="Odisha"/>
    <x v="0"/>
    <s v="Paper"/>
    <x v="3"/>
    <n v="1"/>
    <n v="520"/>
    <x v="0"/>
    <n v="468"/>
    <n v="330"/>
    <n v="138"/>
  </r>
  <r>
    <s v="ORD12648"/>
    <x v="281"/>
    <s v="CUST1394"/>
    <s v="Customer 394"/>
    <x v="1"/>
    <s v="Andhra Pradesh"/>
    <x v="0"/>
    <s v="Stationery"/>
    <x v="18"/>
    <n v="1"/>
    <n v="300"/>
    <x v="3"/>
    <n v="255"/>
    <n v="170"/>
    <n v="85"/>
  </r>
  <r>
    <s v="ORD13797"/>
    <x v="282"/>
    <s v="CUST1344"/>
    <s v="Customer 344"/>
    <x v="2"/>
    <s v="Rajasthan"/>
    <x v="3"/>
    <s v="Storage"/>
    <x v="6"/>
    <n v="1"/>
    <n v="5600"/>
    <x v="5"/>
    <n v="4480"/>
    <n v="3900"/>
    <n v="580"/>
  </r>
  <r>
    <s v="ORD11703"/>
    <x v="283"/>
    <s v="CUST1341"/>
    <s v="Customer 341"/>
    <x v="2"/>
    <s v="Rajasthan"/>
    <x v="1"/>
    <s v="Kitchen"/>
    <x v="1"/>
    <n v="4"/>
    <n v="1900"/>
    <x v="3"/>
    <n v="6460"/>
    <n v="5000"/>
    <n v="1460"/>
  </r>
  <r>
    <s v="ORD13958"/>
    <x v="284"/>
    <s v="CUST1368"/>
    <s v="Customer 368"/>
    <x v="1"/>
    <s v="Andhra Pradesh"/>
    <x v="2"/>
    <s v="Accessories"/>
    <x v="8"/>
    <n v="5"/>
    <n v="1800"/>
    <x v="0"/>
    <n v="8100"/>
    <n v="5500"/>
    <n v="2600"/>
  </r>
  <r>
    <s v="ORD10666"/>
    <x v="285"/>
    <s v="CUST1348"/>
    <s v="Customer 348"/>
    <x v="3"/>
    <s v="Haryana"/>
    <x v="0"/>
    <s v="Accessories"/>
    <x v="0"/>
    <n v="5"/>
    <n v="650"/>
    <x v="0"/>
    <n v="2925"/>
    <n v="1950"/>
    <n v="975"/>
  </r>
  <r>
    <s v="ORD10528"/>
    <x v="286"/>
    <s v="CUST1072"/>
    <s v="Customer 072"/>
    <x v="0"/>
    <s v="Bihar"/>
    <x v="0"/>
    <s v="Paper"/>
    <x v="3"/>
    <n v="1"/>
    <n v="520"/>
    <x v="4"/>
    <n v="494"/>
    <n v="330"/>
    <n v="164"/>
  </r>
  <r>
    <s v="ORD12259"/>
    <x v="287"/>
    <s v="CUST1001"/>
    <s v="Customer 001"/>
    <x v="0"/>
    <s v="Odisha"/>
    <x v="3"/>
    <s v="Storage"/>
    <x v="6"/>
    <n v="3"/>
    <n v="5600"/>
    <x v="4"/>
    <n v="15960"/>
    <n v="11700"/>
    <n v="4260"/>
  </r>
  <r>
    <s v="ORD13853"/>
    <x v="288"/>
    <s v="CUST1053"/>
    <s v="Customer 053"/>
    <x v="1"/>
    <s v="Karnataka"/>
    <x v="3"/>
    <s v="Storage"/>
    <x v="6"/>
    <n v="2"/>
    <n v="5600"/>
    <x v="2"/>
    <n v="11200"/>
    <n v="7800"/>
    <n v="3400"/>
  </r>
  <r>
    <s v="ORD13077"/>
    <x v="289"/>
    <s v="CUST1055"/>
    <s v="Customer 055"/>
    <x v="2"/>
    <s v="Maharashtra"/>
    <x v="2"/>
    <s v="Accessories"/>
    <x v="13"/>
    <n v="3"/>
    <n v="1400"/>
    <x v="0"/>
    <n v="3780"/>
    <n v="2700"/>
    <n v="1080"/>
  </r>
  <r>
    <s v="ORD13490"/>
    <x v="290"/>
    <s v="CUST1356"/>
    <s v="Customer 356"/>
    <x v="3"/>
    <s v="Uttar Pradesh"/>
    <x v="0"/>
    <s v="Stationery"/>
    <x v="10"/>
    <n v="3"/>
    <n v="280"/>
    <x v="5"/>
    <n v="672"/>
    <n v="480"/>
    <n v="192"/>
  </r>
  <r>
    <s v="ORD13866"/>
    <x v="291"/>
    <s v="CUST1389"/>
    <s v="Customer 389"/>
    <x v="1"/>
    <s v="Tamil Nadu"/>
    <x v="0"/>
    <s v="Stationery"/>
    <x v="10"/>
    <n v="1"/>
    <n v="280"/>
    <x v="2"/>
    <n v="280"/>
    <n v="160"/>
    <n v="120"/>
  </r>
  <r>
    <s v="ORD12598"/>
    <x v="292"/>
    <s v="CUST1362"/>
    <s v="Customer 362"/>
    <x v="1"/>
    <s v="Andhra Pradesh"/>
    <x v="3"/>
    <s v="Storage"/>
    <x v="14"/>
    <n v="2"/>
    <n v="4800"/>
    <x v="0"/>
    <n v="8640"/>
    <n v="6600"/>
    <n v="2040"/>
  </r>
  <r>
    <s v="ORD11911"/>
    <x v="293"/>
    <s v="CUST1038"/>
    <s v="Customer 038"/>
    <x v="2"/>
    <s v="Maharashtra"/>
    <x v="2"/>
    <s v="Monitors"/>
    <x v="11"/>
    <n v="5"/>
    <n v="10500"/>
    <x v="2"/>
    <n v="52500"/>
    <n v="38000"/>
    <n v="14500"/>
  </r>
  <r>
    <s v="ORD11137"/>
    <x v="294"/>
    <s v="CUST1363"/>
    <s v="Customer 363"/>
    <x v="3"/>
    <s v="Haryana"/>
    <x v="3"/>
    <s v="Tables"/>
    <x v="16"/>
    <n v="5"/>
    <n v="6200"/>
    <x v="5"/>
    <n v="24800"/>
    <n v="21500"/>
    <n v="3300"/>
  </r>
  <r>
    <s v="ORD10906"/>
    <x v="295"/>
    <s v="CUST1355"/>
    <s v="Customer 355"/>
    <x v="2"/>
    <s v="Gujarat"/>
    <x v="2"/>
    <s v="Monitors"/>
    <x v="11"/>
    <n v="2"/>
    <n v="10500"/>
    <x v="5"/>
    <n v="16800"/>
    <n v="15200"/>
    <n v="1600"/>
  </r>
  <r>
    <s v="ORD11141"/>
    <x v="296"/>
    <s v="CUST1441"/>
    <s v="Customer 441"/>
    <x v="1"/>
    <s v="Karnataka"/>
    <x v="3"/>
    <s v="Chairs"/>
    <x v="12"/>
    <n v="4"/>
    <n v="7500"/>
    <x v="3"/>
    <n v="25500"/>
    <n v="20800"/>
    <n v="4700"/>
  </r>
  <r>
    <s v="ORD11191"/>
    <x v="297"/>
    <s v="CUST1208"/>
    <s v="Customer 208"/>
    <x v="1"/>
    <s v="Telangana"/>
    <x v="3"/>
    <s v="Storage"/>
    <x v="6"/>
    <n v="2"/>
    <n v="5600"/>
    <x v="5"/>
    <n v="8960"/>
    <n v="7800"/>
    <n v="1160"/>
  </r>
  <r>
    <s v="ORD10361"/>
    <x v="298"/>
    <s v="CUST1423"/>
    <s v="Customer 423"/>
    <x v="3"/>
    <s v="Delhi"/>
    <x v="2"/>
    <s v="Accessories"/>
    <x v="13"/>
    <n v="3"/>
    <n v="1400"/>
    <x v="3"/>
    <n v="3570"/>
    <n v="2700"/>
    <n v="870"/>
  </r>
  <r>
    <s v="ORD11310"/>
    <x v="299"/>
    <s v="CUST1427"/>
    <s v="Customer 427"/>
    <x v="1"/>
    <s v="Kerala"/>
    <x v="0"/>
    <s v="Paper"/>
    <x v="3"/>
    <n v="1"/>
    <n v="520"/>
    <x v="3"/>
    <n v="442"/>
    <n v="330"/>
    <n v="112"/>
  </r>
  <r>
    <s v="ORD11873"/>
    <x v="300"/>
    <s v="CUST1302"/>
    <s v="Customer 302"/>
    <x v="1"/>
    <s v="Tamil Nadu"/>
    <x v="0"/>
    <s v="Paper"/>
    <x v="3"/>
    <n v="5"/>
    <n v="520"/>
    <x v="3"/>
    <n v="2210"/>
    <n v="1650"/>
    <n v="560"/>
  </r>
  <r>
    <s v="ORD11049"/>
    <x v="301"/>
    <s v="CUST1335"/>
    <s v="Customer 335"/>
    <x v="0"/>
    <s v="West Bengal"/>
    <x v="1"/>
    <s v="Kitchen"/>
    <x v="2"/>
    <n v="4"/>
    <n v="4200"/>
    <x v="4"/>
    <n v="15960"/>
    <n v="11600"/>
    <n v="4360"/>
  </r>
  <r>
    <s v="ORD10759"/>
    <x v="302"/>
    <s v="CUST1064"/>
    <s v="Customer 064"/>
    <x v="3"/>
    <s v="Uttar Pradesh"/>
    <x v="3"/>
    <s v="Storage"/>
    <x v="14"/>
    <n v="1"/>
    <n v="4800"/>
    <x v="4"/>
    <n v="4560"/>
    <n v="3300"/>
    <n v="1260"/>
  </r>
  <r>
    <s v="ORD10360"/>
    <x v="303"/>
    <s v="CUST1375"/>
    <s v="Customer 375"/>
    <x v="1"/>
    <s v="Kerala"/>
    <x v="2"/>
    <s v="Audio"/>
    <x v="5"/>
    <n v="5"/>
    <n v="2200"/>
    <x v="2"/>
    <n v="11000"/>
    <n v="7250"/>
    <n v="3750"/>
  </r>
  <r>
    <s v="ORD11691"/>
    <x v="304"/>
    <s v="CUST1387"/>
    <s v="Customer 387"/>
    <x v="1"/>
    <s v="Telangana"/>
    <x v="3"/>
    <s v="Tables"/>
    <x v="16"/>
    <n v="2"/>
    <n v="6200"/>
    <x v="3"/>
    <n v="10540"/>
    <n v="8600"/>
    <n v="1940"/>
  </r>
  <r>
    <s v="ORD12153"/>
    <x v="305"/>
    <s v="CUST1429"/>
    <s v="Customer 429"/>
    <x v="2"/>
    <s v="Rajasthan"/>
    <x v="2"/>
    <s v="Accessories"/>
    <x v="9"/>
    <n v="5"/>
    <n v="850"/>
    <x v="5"/>
    <n v="3400"/>
    <n v="2800"/>
    <n v="600"/>
  </r>
  <r>
    <s v="ORD13495"/>
    <x v="306"/>
    <s v="CUST1465"/>
    <s v="Customer 465"/>
    <x v="3"/>
    <s v="Uttar Pradesh"/>
    <x v="0"/>
    <s v="Accessories"/>
    <x v="0"/>
    <n v="3"/>
    <n v="650"/>
    <x v="4"/>
    <n v="1852.5"/>
    <n v="1170"/>
    <n v="682.5"/>
  </r>
  <r>
    <s v="ORD10830"/>
    <x v="307"/>
    <s v="CUST1015"/>
    <s v="Customer 015"/>
    <x v="3"/>
    <s v="Haryana"/>
    <x v="1"/>
    <s v="Kitchen"/>
    <x v="4"/>
    <n v="3"/>
    <n v="6800"/>
    <x v="0"/>
    <n v="18360"/>
    <n v="14100"/>
    <n v="4260"/>
  </r>
  <r>
    <s v="ORD10043"/>
    <x v="308"/>
    <s v="CUST1351"/>
    <s v="Customer 351"/>
    <x v="2"/>
    <s v="Goa"/>
    <x v="1"/>
    <s v="Kitchen"/>
    <x v="2"/>
    <n v="5"/>
    <n v="4200"/>
    <x v="0"/>
    <n v="18900"/>
    <n v="14500"/>
    <n v="4400"/>
  </r>
  <r>
    <s v="ORD10632"/>
    <x v="309"/>
    <s v="CUST1164"/>
    <s v="Customer 164"/>
    <x v="2"/>
    <s v="Goa"/>
    <x v="3"/>
    <s v="Tables"/>
    <x v="16"/>
    <n v="5"/>
    <n v="6200"/>
    <x v="3"/>
    <n v="26350"/>
    <n v="21500"/>
    <n v="4850"/>
  </r>
  <r>
    <s v="ORD10709"/>
    <x v="310"/>
    <s v="CUST1238"/>
    <s v="Customer 238"/>
    <x v="1"/>
    <s v="Telangana"/>
    <x v="2"/>
    <s v="Audio"/>
    <x v="5"/>
    <n v="4"/>
    <n v="2200"/>
    <x v="5"/>
    <n v="7040"/>
    <n v="5800"/>
    <n v="1240"/>
  </r>
  <r>
    <s v="ORD13688"/>
    <x v="311"/>
    <s v="CUST1471"/>
    <s v="Customer 471"/>
    <x v="1"/>
    <s v="Kerala"/>
    <x v="2"/>
    <s v="Audio"/>
    <x v="17"/>
    <n v="3"/>
    <n v="2800"/>
    <x v="3"/>
    <n v="7140"/>
    <n v="5400"/>
    <n v="1740"/>
  </r>
  <r>
    <s v="ORD13382"/>
    <x v="312"/>
    <s v="CUST1394"/>
    <s v="Customer 394"/>
    <x v="3"/>
    <s v="Delhi"/>
    <x v="2"/>
    <s v="Accessories"/>
    <x v="9"/>
    <n v="1"/>
    <n v="850"/>
    <x v="3"/>
    <n v="722.5"/>
    <n v="560"/>
    <n v="162.5"/>
  </r>
  <r>
    <s v="ORD13022"/>
    <x v="313"/>
    <s v="CUST1066"/>
    <s v="Customer 066"/>
    <x v="3"/>
    <s v="Haryana"/>
    <x v="1"/>
    <s v="Kitchen"/>
    <x v="2"/>
    <n v="5"/>
    <n v="4200"/>
    <x v="1"/>
    <n v="15750"/>
    <n v="14500"/>
    <n v="1250"/>
  </r>
  <r>
    <s v="ORD11655"/>
    <x v="314"/>
    <s v="CUST1079"/>
    <s v="Customer 079"/>
    <x v="1"/>
    <s v="Telangana"/>
    <x v="1"/>
    <s v="Appliances"/>
    <x v="7"/>
    <n v="3"/>
    <n v="2400"/>
    <x v="0"/>
    <n v="6480"/>
    <n v="4950"/>
    <n v="1530"/>
  </r>
  <r>
    <s v="ORD13169"/>
    <x v="315"/>
    <s v="CUST1412"/>
    <s v="Customer 412"/>
    <x v="1"/>
    <s v="Kerala"/>
    <x v="0"/>
    <s v="Accessories"/>
    <x v="0"/>
    <n v="3"/>
    <n v="650"/>
    <x v="3"/>
    <n v="1657.5"/>
    <n v="1170"/>
    <n v="487.5"/>
  </r>
  <r>
    <s v="ORD11384"/>
    <x v="316"/>
    <s v="CUST1449"/>
    <s v="Customer 449"/>
    <x v="2"/>
    <s v="Maharashtra"/>
    <x v="1"/>
    <s v="Kitchen"/>
    <x v="4"/>
    <n v="4"/>
    <n v="6800"/>
    <x v="3"/>
    <n v="23120"/>
    <n v="18800"/>
    <n v="4320"/>
  </r>
  <r>
    <s v="ORD10176"/>
    <x v="317"/>
    <s v="CUST1231"/>
    <s v="Customer 231"/>
    <x v="2"/>
    <s v="Maharashtra"/>
    <x v="1"/>
    <s v="Kitchen"/>
    <x v="1"/>
    <n v="1"/>
    <n v="1900"/>
    <x v="2"/>
    <n v="1900"/>
    <n v="1250"/>
    <n v="650"/>
  </r>
  <r>
    <s v="ORD13945"/>
    <x v="318"/>
    <s v="CUST1066"/>
    <s v="Customer 066"/>
    <x v="1"/>
    <s v="Kerala"/>
    <x v="2"/>
    <s v="Accessories"/>
    <x v="13"/>
    <n v="4"/>
    <n v="1400"/>
    <x v="4"/>
    <n v="5320"/>
    <n v="3600"/>
    <n v="1720"/>
  </r>
  <r>
    <s v="ORD13968"/>
    <x v="319"/>
    <s v="CUST1121"/>
    <s v="Customer 121"/>
    <x v="1"/>
    <s v="Andhra Pradesh"/>
    <x v="2"/>
    <s v="Monitors"/>
    <x v="11"/>
    <n v="4"/>
    <n v="10500"/>
    <x v="4"/>
    <n v="39900"/>
    <n v="30400"/>
    <n v="9500"/>
  </r>
  <r>
    <s v="ORD11131"/>
    <x v="320"/>
    <s v="CUST1204"/>
    <s v="Customer 204"/>
    <x v="2"/>
    <s v="Rajasthan"/>
    <x v="2"/>
    <s v="Audio"/>
    <x v="17"/>
    <n v="3"/>
    <n v="2800"/>
    <x v="0"/>
    <n v="7560"/>
    <n v="5400"/>
    <n v="2160"/>
  </r>
  <r>
    <s v="ORD11766"/>
    <x v="321"/>
    <s v="CUST1468"/>
    <s v="Customer 468"/>
    <x v="3"/>
    <s v="Punjab"/>
    <x v="3"/>
    <s v="Tables"/>
    <x v="16"/>
    <n v="4"/>
    <n v="6200"/>
    <x v="5"/>
    <n v="19840"/>
    <n v="17200"/>
    <n v="2640"/>
  </r>
  <r>
    <s v="ORD11552"/>
    <x v="322"/>
    <s v="CUST1427"/>
    <s v="Customer 427"/>
    <x v="2"/>
    <s v="Gujarat"/>
    <x v="2"/>
    <s v="Accessories"/>
    <x v="9"/>
    <n v="5"/>
    <n v="850"/>
    <x v="2"/>
    <n v="4250"/>
    <n v="2800"/>
    <n v="1450"/>
  </r>
  <r>
    <s v="ORD13846"/>
    <x v="323"/>
    <s v="CUST1239"/>
    <s v="Customer 239"/>
    <x v="0"/>
    <s v="Jharkhand"/>
    <x v="3"/>
    <s v="Tables"/>
    <x v="16"/>
    <n v="5"/>
    <n v="6200"/>
    <x v="3"/>
    <n v="26350"/>
    <n v="21500"/>
    <n v="4850"/>
  </r>
  <r>
    <s v="ORD10426"/>
    <x v="324"/>
    <s v="CUST1100"/>
    <s v="Customer 100"/>
    <x v="3"/>
    <s v="Punjab"/>
    <x v="3"/>
    <s v="Storage"/>
    <x v="14"/>
    <n v="2"/>
    <n v="4800"/>
    <x v="2"/>
    <n v="9600"/>
    <n v="6600"/>
    <n v="3000"/>
  </r>
  <r>
    <s v="ORD11098"/>
    <x v="325"/>
    <s v="CUST1378"/>
    <s v="Customer 378"/>
    <x v="1"/>
    <s v="Telangana"/>
    <x v="3"/>
    <s v="Chairs"/>
    <x v="12"/>
    <n v="2"/>
    <n v="7500"/>
    <x v="0"/>
    <n v="13500"/>
    <n v="10400"/>
    <n v="3100"/>
  </r>
  <r>
    <s v="ORD11473"/>
    <x v="326"/>
    <s v="CUST1225"/>
    <s v="Customer 225"/>
    <x v="2"/>
    <s v="Maharashtra"/>
    <x v="2"/>
    <s v="Audio"/>
    <x v="17"/>
    <n v="5"/>
    <n v="2800"/>
    <x v="0"/>
    <n v="12600"/>
    <n v="9000"/>
    <n v="3600"/>
  </r>
  <r>
    <s v="ORD13042"/>
    <x v="327"/>
    <s v="CUST1146"/>
    <s v="Customer 146"/>
    <x v="1"/>
    <s v="Tamil Nadu"/>
    <x v="2"/>
    <s v="Audio"/>
    <x v="17"/>
    <n v="3"/>
    <n v="2800"/>
    <x v="0"/>
    <n v="7560"/>
    <n v="5400"/>
    <n v="2160"/>
  </r>
  <r>
    <s v="ORD13776"/>
    <x v="328"/>
    <s v="CUST1095"/>
    <s v="Customer 095"/>
    <x v="1"/>
    <s v="Karnataka"/>
    <x v="2"/>
    <s v="Accessories"/>
    <x v="8"/>
    <n v="4"/>
    <n v="1800"/>
    <x v="2"/>
    <n v="7200"/>
    <n v="4400"/>
    <n v="2800"/>
  </r>
  <r>
    <s v="ORD11352"/>
    <x v="329"/>
    <s v="CUST1197"/>
    <s v="Customer 197"/>
    <x v="1"/>
    <s v="Tamil Nadu"/>
    <x v="3"/>
    <s v="Chairs"/>
    <x v="12"/>
    <n v="5"/>
    <n v="7500"/>
    <x v="2"/>
    <n v="37500"/>
    <n v="26000"/>
    <n v="11500"/>
  </r>
  <r>
    <s v="ORD12793"/>
    <x v="330"/>
    <s v="CUST1362"/>
    <s v="Customer 362"/>
    <x v="1"/>
    <s v="Kerala"/>
    <x v="3"/>
    <s v="Chairs"/>
    <x v="12"/>
    <n v="4"/>
    <n v="7500"/>
    <x v="5"/>
    <n v="24000"/>
    <n v="20800"/>
    <n v="3200"/>
  </r>
  <r>
    <s v="ORD11038"/>
    <x v="331"/>
    <s v="CUST1008"/>
    <s v="Customer 008"/>
    <x v="1"/>
    <s v="Karnataka"/>
    <x v="0"/>
    <s v="Stationery"/>
    <x v="15"/>
    <n v="3"/>
    <n v="450"/>
    <x v="2"/>
    <n v="1350"/>
    <n v="780"/>
    <n v="570"/>
  </r>
  <r>
    <s v="ORD11950"/>
    <x v="332"/>
    <s v="CUST1161"/>
    <s v="Customer 161"/>
    <x v="1"/>
    <s v="Kerala"/>
    <x v="3"/>
    <s v="Chairs"/>
    <x v="12"/>
    <n v="5"/>
    <n v="7500"/>
    <x v="5"/>
    <n v="30000"/>
    <n v="26000"/>
    <n v="4000"/>
  </r>
  <r>
    <s v="ORD12695"/>
    <x v="333"/>
    <s v="CUST1468"/>
    <s v="Customer 468"/>
    <x v="1"/>
    <s v="Telangana"/>
    <x v="0"/>
    <s v="Paper"/>
    <x v="3"/>
    <n v="3"/>
    <n v="520"/>
    <x v="3"/>
    <n v="1326"/>
    <n v="990"/>
    <n v="336"/>
  </r>
  <r>
    <s v="ORD11885"/>
    <x v="334"/>
    <s v="CUST1309"/>
    <s v="Customer 309"/>
    <x v="0"/>
    <s v="Bihar"/>
    <x v="2"/>
    <s v="Accessories"/>
    <x v="13"/>
    <n v="3"/>
    <n v="1400"/>
    <x v="4"/>
    <n v="3990"/>
    <n v="2700"/>
    <n v="1290"/>
  </r>
  <r>
    <s v="ORD12709"/>
    <x v="335"/>
    <s v="CUST1366"/>
    <s v="Customer 366"/>
    <x v="1"/>
    <s v="Tamil Nadu"/>
    <x v="0"/>
    <s v="Stationery"/>
    <x v="15"/>
    <n v="5"/>
    <n v="450"/>
    <x v="1"/>
    <n v="1687.5"/>
    <n v="1300"/>
    <n v="387.5"/>
  </r>
  <r>
    <s v="ORD11806"/>
    <x v="336"/>
    <s v="CUST1023"/>
    <s v="Customer 023"/>
    <x v="1"/>
    <s v="Telangana"/>
    <x v="1"/>
    <s v="Appliances"/>
    <x v="7"/>
    <n v="3"/>
    <n v="2400"/>
    <x v="3"/>
    <n v="6120"/>
    <n v="4950"/>
    <n v="1170"/>
  </r>
  <r>
    <s v="ORD13716"/>
    <x v="337"/>
    <s v="CUST1144"/>
    <s v="Customer 144"/>
    <x v="1"/>
    <s v="Karnataka"/>
    <x v="1"/>
    <s v="Kitchen"/>
    <x v="2"/>
    <n v="4"/>
    <n v="4200"/>
    <x v="0"/>
    <n v="15120"/>
    <n v="11600"/>
    <n v="3520"/>
  </r>
  <r>
    <s v="ORD12160"/>
    <x v="338"/>
    <s v="CUST1168"/>
    <s v="Customer 168"/>
    <x v="1"/>
    <s v="Andhra Pradesh"/>
    <x v="0"/>
    <s v="Stationery"/>
    <x v="18"/>
    <n v="2"/>
    <n v="300"/>
    <x v="5"/>
    <n v="480"/>
    <n v="340"/>
    <n v="140"/>
  </r>
  <r>
    <s v="ORD12486"/>
    <x v="339"/>
    <s v="CUST1181"/>
    <s v="Customer 181"/>
    <x v="1"/>
    <s v="Telangana"/>
    <x v="0"/>
    <s v="Stationery"/>
    <x v="18"/>
    <n v="1"/>
    <n v="300"/>
    <x v="1"/>
    <n v="225"/>
    <n v="170"/>
    <n v="55"/>
  </r>
  <r>
    <s v="ORD12479"/>
    <x v="340"/>
    <s v="CUST1039"/>
    <s v="Customer 039"/>
    <x v="3"/>
    <s v="Punjab"/>
    <x v="2"/>
    <s v="Audio"/>
    <x v="5"/>
    <n v="1"/>
    <n v="2200"/>
    <x v="0"/>
    <n v="1980"/>
    <n v="1450"/>
    <n v="530"/>
  </r>
  <r>
    <s v="ORD10202"/>
    <x v="341"/>
    <s v="CUST1455"/>
    <s v="Customer 455"/>
    <x v="0"/>
    <s v="Bihar"/>
    <x v="1"/>
    <s v="Kitchen"/>
    <x v="1"/>
    <n v="4"/>
    <n v="1900"/>
    <x v="4"/>
    <n v="7220"/>
    <n v="5000"/>
    <n v="2220"/>
  </r>
  <r>
    <s v="ORD10703"/>
    <x v="342"/>
    <s v="CUST1084"/>
    <s v="Customer 084"/>
    <x v="1"/>
    <s v="Telangana"/>
    <x v="2"/>
    <s v="Accessories"/>
    <x v="8"/>
    <n v="5"/>
    <n v="1800"/>
    <x v="1"/>
    <n v="6750"/>
    <n v="5500"/>
    <n v="1250"/>
  </r>
  <r>
    <s v="ORD11407"/>
    <x v="343"/>
    <s v="CUST1174"/>
    <s v="Customer 174"/>
    <x v="2"/>
    <s v="Maharashtra"/>
    <x v="3"/>
    <s v="Tables"/>
    <x v="16"/>
    <n v="5"/>
    <n v="6200"/>
    <x v="5"/>
    <n v="24800"/>
    <n v="21500"/>
    <n v="3300"/>
  </r>
  <r>
    <s v="ORD12584"/>
    <x v="344"/>
    <s v="CUST1330"/>
    <s v="Customer 330"/>
    <x v="0"/>
    <s v="Odisha"/>
    <x v="3"/>
    <s v="Storage"/>
    <x v="14"/>
    <n v="1"/>
    <n v="4800"/>
    <x v="2"/>
    <n v="4800"/>
    <n v="3300"/>
    <n v="1500"/>
  </r>
  <r>
    <s v="ORD13630"/>
    <x v="345"/>
    <s v="CUST1415"/>
    <s v="Customer 415"/>
    <x v="1"/>
    <s v="Kerala"/>
    <x v="0"/>
    <s v="Stationery"/>
    <x v="10"/>
    <n v="5"/>
    <n v="280"/>
    <x v="2"/>
    <n v="1400"/>
    <n v="800"/>
    <n v="600"/>
  </r>
  <r>
    <s v="ORD11571"/>
    <x v="346"/>
    <s v="CUST1040"/>
    <s v="Customer 040"/>
    <x v="3"/>
    <s v="Delhi"/>
    <x v="2"/>
    <s v="Audio"/>
    <x v="17"/>
    <n v="3"/>
    <n v="2800"/>
    <x v="1"/>
    <n v="6300"/>
    <n v="5400"/>
    <n v="900"/>
  </r>
  <r>
    <s v="ORD11667"/>
    <x v="347"/>
    <s v="CUST1376"/>
    <s v="Customer 376"/>
    <x v="1"/>
    <s v="Telangana"/>
    <x v="1"/>
    <s v="Kitchen"/>
    <x v="2"/>
    <n v="2"/>
    <n v="4200"/>
    <x v="5"/>
    <n v="6720"/>
    <n v="5800"/>
    <n v="920"/>
  </r>
  <r>
    <s v="ORD10980"/>
    <x v="348"/>
    <s v="CUST1283"/>
    <s v="Customer 283"/>
    <x v="0"/>
    <s v="Jharkhand"/>
    <x v="0"/>
    <s v="Paper"/>
    <x v="3"/>
    <n v="2"/>
    <n v="520"/>
    <x v="3"/>
    <n v="884"/>
    <n v="660"/>
    <n v="224"/>
  </r>
  <r>
    <s v="ORD10231"/>
    <x v="349"/>
    <s v="CUST1232"/>
    <s v="Customer 232"/>
    <x v="1"/>
    <s v="Tamil Nadu"/>
    <x v="2"/>
    <s v="Accessories"/>
    <x v="8"/>
    <n v="4"/>
    <n v="1800"/>
    <x v="2"/>
    <n v="7200"/>
    <n v="4400"/>
    <n v="2800"/>
  </r>
  <r>
    <s v="ORD11891"/>
    <x v="350"/>
    <s v="CUST1093"/>
    <s v="Customer 093"/>
    <x v="1"/>
    <s v="Telangana"/>
    <x v="0"/>
    <s v="Stationery"/>
    <x v="10"/>
    <n v="3"/>
    <n v="280"/>
    <x v="0"/>
    <n v="756"/>
    <n v="480"/>
    <n v="276"/>
  </r>
  <r>
    <s v="ORD10598"/>
    <x v="351"/>
    <s v="CUST1390"/>
    <s v="Customer 390"/>
    <x v="1"/>
    <s v="Karnataka"/>
    <x v="0"/>
    <s v="Paper"/>
    <x v="3"/>
    <n v="2"/>
    <n v="520"/>
    <x v="4"/>
    <n v="988"/>
    <n v="660"/>
    <n v="328"/>
  </r>
  <r>
    <s v="ORD11868"/>
    <x v="352"/>
    <s v="CUST1381"/>
    <s v="Customer 381"/>
    <x v="1"/>
    <s v="Telangana"/>
    <x v="0"/>
    <s v="Accessories"/>
    <x v="0"/>
    <n v="3"/>
    <n v="650"/>
    <x v="4"/>
    <n v="1852.5"/>
    <n v="1170"/>
    <n v="682.5"/>
  </r>
  <r>
    <s v="ORD10151"/>
    <x v="353"/>
    <s v="CUST1428"/>
    <s v="Customer 428"/>
    <x v="2"/>
    <s v="Maharashtra"/>
    <x v="3"/>
    <s v="Storage"/>
    <x v="6"/>
    <n v="5"/>
    <n v="5600"/>
    <x v="3"/>
    <n v="23800"/>
    <n v="19500"/>
    <n v="4300"/>
  </r>
  <r>
    <s v="ORD10708"/>
    <x v="354"/>
    <s v="CUST1287"/>
    <s v="Customer 287"/>
    <x v="1"/>
    <s v="Kerala"/>
    <x v="2"/>
    <s v="Audio"/>
    <x v="17"/>
    <n v="5"/>
    <n v="2800"/>
    <x v="4"/>
    <n v="13300"/>
    <n v="9000"/>
    <n v="4300"/>
  </r>
  <r>
    <s v="ORD12396"/>
    <x v="355"/>
    <s v="CUST1329"/>
    <s v="Customer 329"/>
    <x v="2"/>
    <s v="Rajasthan"/>
    <x v="3"/>
    <s v="Storage"/>
    <x v="6"/>
    <n v="2"/>
    <n v="5600"/>
    <x v="1"/>
    <n v="8400"/>
    <n v="7800"/>
    <n v="600"/>
  </r>
  <r>
    <s v="ORD13047"/>
    <x v="356"/>
    <s v="CUST1364"/>
    <s v="Customer 364"/>
    <x v="1"/>
    <s v="Andhra Pradesh"/>
    <x v="1"/>
    <s v="Kitchen"/>
    <x v="4"/>
    <n v="4"/>
    <n v="6800"/>
    <x v="0"/>
    <n v="24480"/>
    <n v="18800"/>
    <n v="5680"/>
  </r>
  <r>
    <s v="ORD10826"/>
    <x v="357"/>
    <s v="CUST1046"/>
    <s v="Customer 046"/>
    <x v="3"/>
    <s v="Punjab"/>
    <x v="1"/>
    <s v="Appliances"/>
    <x v="7"/>
    <n v="4"/>
    <n v="2400"/>
    <x v="0"/>
    <n v="8640"/>
    <n v="6600"/>
    <n v="2040"/>
  </r>
  <r>
    <s v="ORD12094"/>
    <x v="358"/>
    <s v="CUST1099"/>
    <s v="Customer 099"/>
    <x v="1"/>
    <s v="Karnataka"/>
    <x v="0"/>
    <s v="Accessories"/>
    <x v="0"/>
    <n v="1"/>
    <n v="650"/>
    <x v="2"/>
    <n v="650"/>
    <n v="390"/>
    <n v="260"/>
  </r>
  <r>
    <s v="ORD13951"/>
    <x v="359"/>
    <s v="CUST1189"/>
    <s v="Customer 189"/>
    <x v="1"/>
    <s v="Telangana"/>
    <x v="1"/>
    <s v="Appliances"/>
    <x v="7"/>
    <n v="4"/>
    <n v="2400"/>
    <x v="4"/>
    <n v="9120"/>
    <n v="6600"/>
    <n v="2520"/>
  </r>
  <r>
    <s v="ORD12640"/>
    <x v="360"/>
    <s v="CUST1427"/>
    <s v="Customer 427"/>
    <x v="1"/>
    <s v="Karnataka"/>
    <x v="2"/>
    <s v="Accessories"/>
    <x v="9"/>
    <n v="5"/>
    <n v="850"/>
    <x v="0"/>
    <n v="3825"/>
    <n v="2800"/>
    <n v="1025"/>
  </r>
  <r>
    <s v="ORD12693"/>
    <x v="361"/>
    <s v="CUST1456"/>
    <s v="Customer 456"/>
    <x v="3"/>
    <s v="Delhi"/>
    <x v="2"/>
    <s v="Audio"/>
    <x v="17"/>
    <n v="1"/>
    <n v="2800"/>
    <x v="4"/>
    <n v="2660"/>
    <n v="1800"/>
    <n v="860"/>
  </r>
  <r>
    <s v="ORD11064"/>
    <x v="362"/>
    <s v="CUST1353"/>
    <s v="Customer 353"/>
    <x v="0"/>
    <s v="Jharkhand"/>
    <x v="0"/>
    <s v="Stationery"/>
    <x v="10"/>
    <n v="1"/>
    <n v="280"/>
    <x v="1"/>
    <n v="210"/>
    <n v="160"/>
    <n v="50"/>
  </r>
  <r>
    <s v="ORD12975"/>
    <x v="363"/>
    <s v="CUST1009"/>
    <s v="Customer 009"/>
    <x v="2"/>
    <s v="Rajasthan"/>
    <x v="0"/>
    <s v="Stationery"/>
    <x v="18"/>
    <n v="2"/>
    <n v="300"/>
    <x v="1"/>
    <n v="450"/>
    <n v="340"/>
    <n v="110"/>
  </r>
  <r>
    <s v="ORD12962"/>
    <x v="364"/>
    <s v="CUST1211"/>
    <s v="Customer 211"/>
    <x v="1"/>
    <s v="Kerala"/>
    <x v="2"/>
    <s v="Audio"/>
    <x v="5"/>
    <n v="3"/>
    <n v="2200"/>
    <x v="4"/>
    <n v="6270"/>
    <n v="4350"/>
    <n v="1920"/>
  </r>
  <r>
    <s v="ORD13732"/>
    <x v="365"/>
    <s v="CUST1430"/>
    <s v="Customer 430"/>
    <x v="0"/>
    <s v="Odisha"/>
    <x v="3"/>
    <s v="Chairs"/>
    <x v="12"/>
    <n v="3"/>
    <n v="7500"/>
    <x v="5"/>
    <n v="18000"/>
    <n v="15600"/>
    <n v="2400"/>
  </r>
  <r>
    <s v="ORD11899"/>
    <x v="366"/>
    <s v="CUST1374"/>
    <s v="Customer 374"/>
    <x v="1"/>
    <s v="Andhra Pradesh"/>
    <x v="0"/>
    <s v="Stationery"/>
    <x v="10"/>
    <n v="1"/>
    <n v="280"/>
    <x v="2"/>
    <n v="280"/>
    <n v="160"/>
    <n v="120"/>
  </r>
  <r>
    <s v="ORD12710"/>
    <x v="367"/>
    <s v="CUST1438"/>
    <s v="Customer 438"/>
    <x v="1"/>
    <s v="Kerala"/>
    <x v="0"/>
    <s v="Stationery"/>
    <x v="18"/>
    <n v="4"/>
    <n v="300"/>
    <x v="3"/>
    <n v="1020"/>
    <n v="680"/>
    <n v="340"/>
  </r>
  <r>
    <s v="ORD13066"/>
    <x v="368"/>
    <s v="CUST1276"/>
    <s v="Customer 276"/>
    <x v="2"/>
    <s v="Gujarat"/>
    <x v="3"/>
    <s v="Chairs"/>
    <x v="12"/>
    <n v="1"/>
    <n v="7500"/>
    <x v="3"/>
    <n v="6375"/>
    <n v="5200"/>
    <n v="1175"/>
  </r>
  <r>
    <s v="ORD12402"/>
    <x v="369"/>
    <s v="CUST1284"/>
    <s v="Customer 284"/>
    <x v="3"/>
    <s v="Punjab"/>
    <x v="2"/>
    <s v="Monitors"/>
    <x v="11"/>
    <n v="5"/>
    <n v="10500"/>
    <x v="3"/>
    <n v="44625"/>
    <n v="38000"/>
    <n v="6625"/>
  </r>
  <r>
    <s v="ORD10061"/>
    <x v="370"/>
    <s v="CUST1462"/>
    <s v="Customer 462"/>
    <x v="0"/>
    <s v="Odisha"/>
    <x v="0"/>
    <s v="Stationery"/>
    <x v="10"/>
    <n v="1"/>
    <n v="280"/>
    <x v="3"/>
    <n v="238"/>
    <n v="160"/>
    <n v="78"/>
  </r>
  <r>
    <s v="ORD11630"/>
    <x v="371"/>
    <s v="CUST1064"/>
    <s v="Customer 064"/>
    <x v="1"/>
    <s v="Kerala"/>
    <x v="0"/>
    <s v="Paper"/>
    <x v="3"/>
    <n v="5"/>
    <n v="520"/>
    <x v="3"/>
    <n v="2210"/>
    <n v="1650"/>
    <n v="560"/>
  </r>
  <r>
    <s v="ORD12853"/>
    <x v="372"/>
    <s v="CUST1058"/>
    <s v="Customer 058"/>
    <x v="3"/>
    <s v="Haryana"/>
    <x v="0"/>
    <s v="Stationery"/>
    <x v="15"/>
    <n v="1"/>
    <n v="450"/>
    <x v="3"/>
    <n v="382.5"/>
    <n v="260"/>
    <n v="122.5"/>
  </r>
  <r>
    <s v="ORD13597"/>
    <x v="373"/>
    <s v="CUST1170"/>
    <s v="Customer 170"/>
    <x v="0"/>
    <s v="West Bengal"/>
    <x v="3"/>
    <s v="Storage"/>
    <x v="14"/>
    <n v="5"/>
    <n v="4800"/>
    <x v="3"/>
    <n v="20400"/>
    <n v="16500"/>
    <n v="3900"/>
  </r>
  <r>
    <s v="ORD11656"/>
    <x v="374"/>
    <s v="CUST1116"/>
    <s v="Customer 116"/>
    <x v="1"/>
    <s v="Andhra Pradesh"/>
    <x v="0"/>
    <s v="Stationery"/>
    <x v="15"/>
    <n v="1"/>
    <n v="450"/>
    <x v="3"/>
    <n v="382.5"/>
    <n v="260"/>
    <n v="122.5"/>
  </r>
  <r>
    <s v="ORD10576"/>
    <x v="375"/>
    <s v="CUST1187"/>
    <s v="Customer 187"/>
    <x v="2"/>
    <s v="Rajasthan"/>
    <x v="3"/>
    <s v="Storage"/>
    <x v="6"/>
    <n v="3"/>
    <n v="5600"/>
    <x v="0"/>
    <n v="15120"/>
    <n v="11700"/>
    <n v="3420"/>
  </r>
  <r>
    <s v="ORD13434"/>
    <x v="376"/>
    <s v="CUST1169"/>
    <s v="Customer 169"/>
    <x v="2"/>
    <s v="Goa"/>
    <x v="1"/>
    <s v="Kitchen"/>
    <x v="4"/>
    <n v="3"/>
    <n v="6800"/>
    <x v="4"/>
    <n v="19380"/>
    <n v="14100"/>
    <n v="5280"/>
  </r>
  <r>
    <s v="ORD13412"/>
    <x v="377"/>
    <s v="CUST1494"/>
    <s v="Customer 494"/>
    <x v="3"/>
    <s v="Haryana"/>
    <x v="2"/>
    <s v="Monitors"/>
    <x v="11"/>
    <n v="3"/>
    <n v="10500"/>
    <x v="3"/>
    <n v="26775"/>
    <n v="22800"/>
    <n v="3975"/>
  </r>
  <r>
    <s v="ORD12970"/>
    <x v="378"/>
    <s v="CUST1319"/>
    <s v="Customer 319"/>
    <x v="2"/>
    <s v="Gujarat"/>
    <x v="3"/>
    <s v="Tables"/>
    <x v="16"/>
    <n v="5"/>
    <n v="6200"/>
    <x v="2"/>
    <n v="31000"/>
    <n v="21500"/>
    <n v="9500"/>
  </r>
  <r>
    <s v="ORD10768"/>
    <x v="379"/>
    <s v="CUST1240"/>
    <s v="Customer 240"/>
    <x v="3"/>
    <s v="Uttar Pradesh"/>
    <x v="1"/>
    <s v="Kitchen"/>
    <x v="2"/>
    <n v="1"/>
    <n v="4200"/>
    <x v="5"/>
    <n v="3360"/>
    <n v="2900"/>
    <n v="460"/>
  </r>
  <r>
    <s v="ORD13746"/>
    <x v="380"/>
    <s v="CUST1493"/>
    <s v="Customer 493"/>
    <x v="1"/>
    <s v="Karnataka"/>
    <x v="1"/>
    <s v="Appliances"/>
    <x v="7"/>
    <n v="2"/>
    <n v="2400"/>
    <x v="5"/>
    <n v="3840"/>
    <n v="3300"/>
    <n v="540"/>
  </r>
  <r>
    <s v="ORD12086"/>
    <x v="381"/>
    <s v="CUST1328"/>
    <s v="Customer 328"/>
    <x v="0"/>
    <s v="West Bengal"/>
    <x v="0"/>
    <s v="Stationery"/>
    <x v="15"/>
    <n v="1"/>
    <n v="450"/>
    <x v="0"/>
    <n v="405"/>
    <n v="260"/>
    <n v="145"/>
  </r>
  <r>
    <s v="ORD10501"/>
    <x v="382"/>
    <s v="CUST1057"/>
    <s v="Customer 057"/>
    <x v="1"/>
    <s v="Tamil Nadu"/>
    <x v="2"/>
    <s v="Audio"/>
    <x v="17"/>
    <n v="5"/>
    <n v="2800"/>
    <x v="0"/>
    <n v="12600"/>
    <n v="9000"/>
    <n v="3600"/>
  </r>
  <r>
    <s v="ORD10495"/>
    <x v="383"/>
    <s v="CUST1145"/>
    <s v="Customer 145"/>
    <x v="0"/>
    <s v="Bihar"/>
    <x v="0"/>
    <s v="Stationery"/>
    <x v="10"/>
    <n v="5"/>
    <n v="280"/>
    <x v="4"/>
    <n v="1330"/>
    <n v="800"/>
    <n v="530"/>
  </r>
  <r>
    <s v="ORD11758"/>
    <x v="384"/>
    <s v="CUST1305"/>
    <s v="Customer 305"/>
    <x v="1"/>
    <s v="Telangana"/>
    <x v="3"/>
    <s v="Storage"/>
    <x v="14"/>
    <n v="2"/>
    <n v="4800"/>
    <x v="4"/>
    <n v="9120"/>
    <n v="6600"/>
    <n v="2520"/>
  </r>
  <r>
    <s v="ORD11341"/>
    <x v="385"/>
    <s v="CUST1268"/>
    <s v="Customer 268"/>
    <x v="1"/>
    <s v="Tamil Nadu"/>
    <x v="2"/>
    <s v="Monitors"/>
    <x v="11"/>
    <n v="2"/>
    <n v="10500"/>
    <x v="3"/>
    <n v="17850"/>
    <n v="15200"/>
    <n v="2650"/>
  </r>
  <r>
    <s v="ORD13873"/>
    <x v="386"/>
    <s v="CUST1433"/>
    <s v="Customer 433"/>
    <x v="1"/>
    <s v="Tamil Nadu"/>
    <x v="0"/>
    <s v="Stationery"/>
    <x v="10"/>
    <n v="2"/>
    <n v="280"/>
    <x v="0"/>
    <n v="504"/>
    <n v="320"/>
    <n v="184"/>
  </r>
  <r>
    <s v="ORD10330"/>
    <x v="387"/>
    <s v="CUST1278"/>
    <s v="Customer 278"/>
    <x v="2"/>
    <s v="Rajasthan"/>
    <x v="3"/>
    <s v="Chairs"/>
    <x v="12"/>
    <n v="1"/>
    <n v="7500"/>
    <x v="4"/>
    <n v="7125"/>
    <n v="5200"/>
    <n v="1925"/>
  </r>
  <r>
    <s v="ORD12875"/>
    <x v="388"/>
    <s v="CUST1192"/>
    <s v="Customer 192"/>
    <x v="2"/>
    <s v="Gujarat"/>
    <x v="1"/>
    <s v="Appliances"/>
    <x v="7"/>
    <n v="2"/>
    <n v="2400"/>
    <x v="0"/>
    <n v="4320"/>
    <n v="3300"/>
    <n v="1020"/>
  </r>
  <r>
    <s v="ORD12656"/>
    <x v="389"/>
    <s v="CUST1283"/>
    <s v="Customer 283"/>
    <x v="0"/>
    <s v="Odisha"/>
    <x v="2"/>
    <s v="Accessories"/>
    <x v="13"/>
    <n v="3"/>
    <n v="1400"/>
    <x v="0"/>
    <n v="3780"/>
    <n v="2700"/>
    <n v="1080"/>
  </r>
  <r>
    <s v="ORD13780"/>
    <x v="390"/>
    <s v="CUST1224"/>
    <s v="Customer 224"/>
    <x v="1"/>
    <s v="Telangana"/>
    <x v="1"/>
    <s v="Kitchen"/>
    <x v="1"/>
    <n v="2"/>
    <n v="1900"/>
    <x v="0"/>
    <n v="3420"/>
    <n v="2500"/>
    <n v="920"/>
  </r>
  <r>
    <s v="ORD13174"/>
    <x v="391"/>
    <s v="CUST1173"/>
    <s v="Customer 173"/>
    <x v="1"/>
    <s v="Tamil Nadu"/>
    <x v="1"/>
    <s v="Kitchen"/>
    <x v="2"/>
    <n v="5"/>
    <n v="4200"/>
    <x v="5"/>
    <n v="16800"/>
    <n v="14500"/>
    <n v="2300"/>
  </r>
  <r>
    <s v="ORD12540"/>
    <x v="392"/>
    <s v="CUST1247"/>
    <s v="Customer 247"/>
    <x v="1"/>
    <s v="Karnataka"/>
    <x v="1"/>
    <s v="Appliances"/>
    <x v="7"/>
    <n v="4"/>
    <n v="2400"/>
    <x v="2"/>
    <n v="9600"/>
    <n v="6600"/>
    <n v="3000"/>
  </r>
  <r>
    <s v="ORD11816"/>
    <x v="393"/>
    <s v="CUST1056"/>
    <s v="Customer 056"/>
    <x v="1"/>
    <s v="Andhra Pradesh"/>
    <x v="2"/>
    <s v="Monitors"/>
    <x v="11"/>
    <n v="5"/>
    <n v="10500"/>
    <x v="4"/>
    <n v="49875"/>
    <n v="38000"/>
    <n v="11875"/>
  </r>
  <r>
    <s v="ORD12619"/>
    <x v="394"/>
    <s v="CUST1329"/>
    <s v="Customer 329"/>
    <x v="2"/>
    <s v="Maharashtra"/>
    <x v="1"/>
    <s v="Kitchen"/>
    <x v="4"/>
    <n v="4"/>
    <n v="6800"/>
    <x v="5"/>
    <n v="21760"/>
    <n v="18800"/>
    <n v="2960"/>
  </r>
  <r>
    <s v="ORD11158"/>
    <x v="395"/>
    <s v="CUST1426"/>
    <s v="Customer 426"/>
    <x v="1"/>
    <s v="Andhra Pradesh"/>
    <x v="2"/>
    <s v="Accessories"/>
    <x v="13"/>
    <n v="3"/>
    <n v="1400"/>
    <x v="3"/>
    <n v="3570"/>
    <n v="2700"/>
    <n v="870"/>
  </r>
  <r>
    <s v="ORD11377"/>
    <x v="396"/>
    <s v="CUST1482"/>
    <s v="Customer 482"/>
    <x v="1"/>
    <s v="Karnataka"/>
    <x v="1"/>
    <s v="Kitchen"/>
    <x v="1"/>
    <n v="3"/>
    <n v="1900"/>
    <x v="0"/>
    <n v="5130"/>
    <n v="3750"/>
    <n v="1380"/>
  </r>
  <r>
    <s v="ORD12871"/>
    <x v="397"/>
    <s v="CUST1142"/>
    <s v="Customer 142"/>
    <x v="2"/>
    <s v="Gujarat"/>
    <x v="3"/>
    <s v="Chairs"/>
    <x v="12"/>
    <n v="5"/>
    <n v="7500"/>
    <x v="4"/>
    <n v="35625"/>
    <n v="26000"/>
    <n v="9625"/>
  </r>
  <r>
    <s v="ORD11002"/>
    <x v="398"/>
    <s v="CUST1369"/>
    <s v="Customer 369"/>
    <x v="2"/>
    <s v="Rajasthan"/>
    <x v="2"/>
    <s v="Monitors"/>
    <x v="11"/>
    <n v="5"/>
    <n v="10500"/>
    <x v="1"/>
    <n v="39375"/>
    <n v="38000"/>
    <n v="1375"/>
  </r>
  <r>
    <s v="ORD11975"/>
    <x v="399"/>
    <s v="CUST1280"/>
    <s v="Customer 280"/>
    <x v="1"/>
    <s v="Andhra Pradesh"/>
    <x v="0"/>
    <s v="Accessories"/>
    <x v="0"/>
    <n v="5"/>
    <n v="650"/>
    <x v="4"/>
    <n v="3087.5"/>
    <n v="1950"/>
    <n v="1137.5"/>
  </r>
  <r>
    <s v="ORD12004"/>
    <x v="400"/>
    <s v="CUST1230"/>
    <s v="Customer 230"/>
    <x v="1"/>
    <s v="Andhra Pradesh"/>
    <x v="2"/>
    <s v="Monitors"/>
    <x v="11"/>
    <n v="1"/>
    <n v="10500"/>
    <x v="4"/>
    <n v="9975"/>
    <n v="7600"/>
    <n v="2375"/>
  </r>
  <r>
    <s v="ORD12043"/>
    <x v="401"/>
    <s v="CUST1374"/>
    <s v="Customer 374"/>
    <x v="1"/>
    <s v="Kerala"/>
    <x v="0"/>
    <s v="Accessories"/>
    <x v="0"/>
    <n v="4"/>
    <n v="650"/>
    <x v="1"/>
    <n v="1950"/>
    <n v="1560"/>
    <n v="390"/>
  </r>
  <r>
    <s v="ORD11283"/>
    <x v="402"/>
    <s v="CUST1197"/>
    <s v="Customer 197"/>
    <x v="1"/>
    <s v="Telangana"/>
    <x v="3"/>
    <s v="Storage"/>
    <x v="14"/>
    <n v="5"/>
    <n v="4800"/>
    <x v="3"/>
    <n v="20400"/>
    <n v="16500"/>
    <n v="3900"/>
  </r>
  <r>
    <s v="ORD10120"/>
    <x v="403"/>
    <s v="CUST1058"/>
    <s v="Customer 058"/>
    <x v="1"/>
    <s v="Andhra Pradesh"/>
    <x v="0"/>
    <s v="Stationery"/>
    <x v="10"/>
    <n v="3"/>
    <n v="280"/>
    <x v="3"/>
    <n v="714"/>
    <n v="480"/>
    <n v="234"/>
  </r>
  <r>
    <s v="ORD10547"/>
    <x v="404"/>
    <s v="CUST1215"/>
    <s v="Customer 215"/>
    <x v="0"/>
    <s v="Jharkhand"/>
    <x v="0"/>
    <s v="Stationery"/>
    <x v="15"/>
    <n v="3"/>
    <n v="450"/>
    <x v="2"/>
    <n v="1350"/>
    <n v="780"/>
    <n v="570"/>
  </r>
  <r>
    <s v="ORD11850"/>
    <x v="405"/>
    <s v="CUST1083"/>
    <s v="Customer 083"/>
    <x v="1"/>
    <s v="Karnataka"/>
    <x v="2"/>
    <s v="Accessories"/>
    <x v="8"/>
    <n v="4"/>
    <n v="1800"/>
    <x v="3"/>
    <n v="6120"/>
    <n v="4400"/>
    <n v="1720"/>
  </r>
  <r>
    <s v="ORD12770"/>
    <x v="406"/>
    <s v="CUST1480"/>
    <s v="Customer 480"/>
    <x v="3"/>
    <s v="Delhi"/>
    <x v="0"/>
    <s v="Accessories"/>
    <x v="0"/>
    <n v="1"/>
    <n v="650"/>
    <x v="3"/>
    <n v="552.5"/>
    <n v="390"/>
    <n v="162.5"/>
  </r>
  <r>
    <s v="ORD10164"/>
    <x v="407"/>
    <s v="CUST1204"/>
    <s v="Customer 204"/>
    <x v="2"/>
    <s v="Maharashtra"/>
    <x v="2"/>
    <s v="Accessories"/>
    <x v="8"/>
    <n v="4"/>
    <n v="1800"/>
    <x v="3"/>
    <n v="6120"/>
    <n v="4400"/>
    <n v="1720"/>
  </r>
  <r>
    <s v="ORD11905"/>
    <x v="408"/>
    <s v="CUST1167"/>
    <s v="Customer 167"/>
    <x v="1"/>
    <s v="Karnataka"/>
    <x v="0"/>
    <s v="Stationery"/>
    <x v="10"/>
    <n v="5"/>
    <n v="280"/>
    <x v="0"/>
    <n v="1260"/>
    <n v="800"/>
    <n v="460"/>
  </r>
  <r>
    <s v="ORD12325"/>
    <x v="409"/>
    <s v="CUST1374"/>
    <s v="Customer 374"/>
    <x v="1"/>
    <s v="Tamil Nadu"/>
    <x v="2"/>
    <s v="Audio"/>
    <x v="5"/>
    <n v="1"/>
    <n v="2200"/>
    <x v="5"/>
    <n v="1760"/>
    <n v="1450"/>
    <n v="310"/>
  </r>
  <r>
    <s v="ORD13986"/>
    <x v="410"/>
    <s v="CUST1170"/>
    <s v="Customer 170"/>
    <x v="1"/>
    <s v="Tamil Nadu"/>
    <x v="2"/>
    <s v="Audio"/>
    <x v="17"/>
    <n v="4"/>
    <n v="2800"/>
    <x v="4"/>
    <n v="10640"/>
    <n v="7200"/>
    <n v="3440"/>
  </r>
  <r>
    <s v="ORD13072"/>
    <x v="411"/>
    <s v="CUST1241"/>
    <s v="Customer 241"/>
    <x v="1"/>
    <s v="Andhra Pradesh"/>
    <x v="2"/>
    <s v="Audio"/>
    <x v="5"/>
    <n v="4"/>
    <n v="2200"/>
    <x v="2"/>
    <n v="8800"/>
    <n v="5800"/>
    <n v="3000"/>
  </r>
  <r>
    <s v="ORD11768"/>
    <x v="412"/>
    <s v="CUST1234"/>
    <s v="Customer 234"/>
    <x v="1"/>
    <s v="Andhra Pradesh"/>
    <x v="0"/>
    <s v="Stationery"/>
    <x v="18"/>
    <n v="2"/>
    <n v="300"/>
    <x v="4"/>
    <n v="570"/>
    <n v="340"/>
    <n v="230"/>
  </r>
  <r>
    <s v="ORD12292"/>
    <x v="413"/>
    <s v="CUST1161"/>
    <s v="Customer 161"/>
    <x v="1"/>
    <s v="Telangana"/>
    <x v="0"/>
    <s v="Stationery"/>
    <x v="15"/>
    <n v="5"/>
    <n v="450"/>
    <x v="3"/>
    <n v="1912.5"/>
    <n v="1300"/>
    <n v="612.5"/>
  </r>
  <r>
    <s v="ORD11304"/>
    <x v="414"/>
    <s v="CUST1448"/>
    <s v="Customer 448"/>
    <x v="0"/>
    <s v="Jharkhand"/>
    <x v="0"/>
    <s v="Accessories"/>
    <x v="0"/>
    <n v="4"/>
    <n v="650"/>
    <x v="5"/>
    <n v="2080"/>
    <n v="1560"/>
    <n v="520"/>
  </r>
  <r>
    <s v="ORD12763"/>
    <x v="415"/>
    <s v="CUST1183"/>
    <s v="Customer 183"/>
    <x v="0"/>
    <s v="Bihar"/>
    <x v="2"/>
    <s v="Audio"/>
    <x v="5"/>
    <n v="2"/>
    <n v="2200"/>
    <x v="4"/>
    <n v="4180"/>
    <n v="2900"/>
    <n v="1280"/>
  </r>
  <r>
    <s v="ORD13739"/>
    <x v="416"/>
    <s v="CUST1335"/>
    <s v="Customer 335"/>
    <x v="0"/>
    <s v="Bihar"/>
    <x v="3"/>
    <s v="Storage"/>
    <x v="6"/>
    <n v="3"/>
    <n v="5600"/>
    <x v="2"/>
    <n v="16800"/>
    <n v="11700"/>
    <n v="5100"/>
  </r>
  <r>
    <s v="ORD12357"/>
    <x v="417"/>
    <s v="CUST1206"/>
    <s v="Customer 206"/>
    <x v="0"/>
    <s v="Jharkhand"/>
    <x v="3"/>
    <s v="Tables"/>
    <x v="16"/>
    <n v="5"/>
    <n v="6200"/>
    <x v="4"/>
    <n v="29450"/>
    <n v="21500"/>
    <n v="7950"/>
  </r>
  <r>
    <s v="ORD12005"/>
    <x v="418"/>
    <s v="CUST1399"/>
    <s v="Customer 399"/>
    <x v="2"/>
    <s v="Goa"/>
    <x v="2"/>
    <s v="Accessories"/>
    <x v="8"/>
    <n v="1"/>
    <n v="1800"/>
    <x v="0"/>
    <n v="1620"/>
    <n v="1100"/>
    <n v="520"/>
  </r>
  <r>
    <s v="ORD13399"/>
    <x v="419"/>
    <s v="CUST1004"/>
    <s v="Customer 004"/>
    <x v="3"/>
    <s v="Delhi"/>
    <x v="2"/>
    <s v="Accessories"/>
    <x v="9"/>
    <n v="4"/>
    <n v="850"/>
    <x v="5"/>
    <n v="2720"/>
    <n v="2240"/>
    <n v="480"/>
  </r>
  <r>
    <s v="ORD13018"/>
    <x v="420"/>
    <s v="CUST1108"/>
    <s v="Customer 108"/>
    <x v="2"/>
    <s v="Goa"/>
    <x v="3"/>
    <s v="Tables"/>
    <x v="16"/>
    <n v="4"/>
    <n v="6200"/>
    <x v="5"/>
    <n v="19840"/>
    <n v="17200"/>
    <n v="2640"/>
  </r>
  <r>
    <s v="ORD10854"/>
    <x v="421"/>
    <s v="CUST1120"/>
    <s v="Customer 120"/>
    <x v="1"/>
    <s v="Tamil Nadu"/>
    <x v="0"/>
    <s v="Accessories"/>
    <x v="0"/>
    <n v="2"/>
    <n v="650"/>
    <x v="3"/>
    <n v="1105"/>
    <n v="780"/>
    <n v="325"/>
  </r>
  <r>
    <s v="ORD12594"/>
    <x v="422"/>
    <s v="CUST1048"/>
    <s v="Customer 048"/>
    <x v="1"/>
    <s v="Telangana"/>
    <x v="3"/>
    <s v="Tables"/>
    <x v="16"/>
    <n v="3"/>
    <n v="6200"/>
    <x v="1"/>
    <n v="13950"/>
    <n v="12900"/>
    <n v="1050"/>
  </r>
  <r>
    <s v="ORD13168"/>
    <x v="423"/>
    <s v="CUST1135"/>
    <s v="Customer 135"/>
    <x v="3"/>
    <s v="Uttar Pradesh"/>
    <x v="1"/>
    <s v="Kitchen"/>
    <x v="4"/>
    <n v="2"/>
    <n v="6800"/>
    <x v="5"/>
    <n v="10880"/>
    <n v="9400"/>
    <n v="1480"/>
  </r>
  <r>
    <s v="ORD13435"/>
    <x v="424"/>
    <s v="CUST1118"/>
    <s v="Customer 118"/>
    <x v="3"/>
    <s v="Delhi"/>
    <x v="3"/>
    <s v="Storage"/>
    <x v="6"/>
    <n v="1"/>
    <n v="5600"/>
    <x v="0"/>
    <n v="5040"/>
    <n v="3900"/>
    <n v="1140"/>
  </r>
  <r>
    <s v="ORD12338"/>
    <x v="425"/>
    <s v="CUST1410"/>
    <s v="Customer 410"/>
    <x v="1"/>
    <s v="Kerala"/>
    <x v="1"/>
    <s v="Kitchen"/>
    <x v="2"/>
    <n v="4"/>
    <n v="4200"/>
    <x v="4"/>
    <n v="15960"/>
    <n v="11600"/>
    <n v="4360"/>
  </r>
  <r>
    <s v="ORD10081"/>
    <x v="426"/>
    <s v="CUST1471"/>
    <s v="Customer 471"/>
    <x v="1"/>
    <s v="Kerala"/>
    <x v="2"/>
    <s v="Audio"/>
    <x v="5"/>
    <n v="1"/>
    <n v="2200"/>
    <x v="5"/>
    <n v="1760"/>
    <n v="1450"/>
    <n v="310"/>
  </r>
  <r>
    <s v="ORD12958"/>
    <x v="427"/>
    <s v="CUST1244"/>
    <s v="Customer 244"/>
    <x v="1"/>
    <s v="Kerala"/>
    <x v="3"/>
    <s v="Storage"/>
    <x v="6"/>
    <n v="3"/>
    <n v="5600"/>
    <x v="0"/>
    <n v="15120"/>
    <n v="11700"/>
    <n v="3420"/>
  </r>
  <r>
    <s v="ORD12536"/>
    <x v="428"/>
    <s v="CUST1490"/>
    <s v="Customer 490"/>
    <x v="1"/>
    <s v="Telangana"/>
    <x v="3"/>
    <s v="Tables"/>
    <x v="16"/>
    <n v="2"/>
    <n v="6200"/>
    <x v="0"/>
    <n v="11160"/>
    <n v="8600"/>
    <n v="2560"/>
  </r>
  <r>
    <s v="ORD11312"/>
    <x v="429"/>
    <s v="CUST1175"/>
    <s v="Customer 175"/>
    <x v="0"/>
    <s v="Odisha"/>
    <x v="0"/>
    <s v="Stationery"/>
    <x v="10"/>
    <n v="4"/>
    <n v="280"/>
    <x v="5"/>
    <n v="896"/>
    <n v="640"/>
    <n v="256"/>
  </r>
  <r>
    <s v="ORD11796"/>
    <x v="430"/>
    <s v="CUST1102"/>
    <s v="Customer 102"/>
    <x v="2"/>
    <s v="Maharashtra"/>
    <x v="0"/>
    <s v="Stationery"/>
    <x v="10"/>
    <n v="5"/>
    <n v="280"/>
    <x v="4"/>
    <n v="1330"/>
    <n v="800"/>
    <n v="530"/>
  </r>
  <r>
    <s v="ORD10417"/>
    <x v="431"/>
    <s v="CUST1485"/>
    <s v="Customer 485"/>
    <x v="1"/>
    <s v="Andhra Pradesh"/>
    <x v="1"/>
    <s v="Kitchen"/>
    <x v="2"/>
    <n v="4"/>
    <n v="4200"/>
    <x v="4"/>
    <n v="15960"/>
    <n v="11600"/>
    <n v="4360"/>
  </r>
  <r>
    <s v="ORD13660"/>
    <x v="432"/>
    <s v="CUST1247"/>
    <s v="Customer 247"/>
    <x v="3"/>
    <s v="Delhi"/>
    <x v="1"/>
    <s v="Kitchen"/>
    <x v="1"/>
    <n v="3"/>
    <n v="1900"/>
    <x v="5"/>
    <n v="4560"/>
    <n v="3750"/>
    <n v="810"/>
  </r>
  <r>
    <s v="ORD11061"/>
    <x v="433"/>
    <s v="CUST1386"/>
    <s v="Customer 386"/>
    <x v="2"/>
    <s v="Gujarat"/>
    <x v="1"/>
    <s v="Appliances"/>
    <x v="7"/>
    <n v="5"/>
    <n v="2400"/>
    <x v="0"/>
    <n v="10800"/>
    <n v="8250"/>
    <n v="2550"/>
  </r>
  <r>
    <s v="ORD10229"/>
    <x v="434"/>
    <s v="CUST1274"/>
    <s v="Customer 274"/>
    <x v="1"/>
    <s v="Kerala"/>
    <x v="1"/>
    <s v="Appliances"/>
    <x v="7"/>
    <n v="2"/>
    <n v="2400"/>
    <x v="2"/>
    <n v="4800"/>
    <n v="3300"/>
    <n v="1500"/>
  </r>
  <r>
    <s v="ORD11570"/>
    <x v="435"/>
    <s v="CUST1493"/>
    <s v="Customer 493"/>
    <x v="1"/>
    <s v="Telangana"/>
    <x v="0"/>
    <s v="Stationery"/>
    <x v="10"/>
    <n v="3"/>
    <n v="280"/>
    <x v="5"/>
    <n v="672"/>
    <n v="480"/>
    <n v="192"/>
  </r>
  <r>
    <s v="ORD11996"/>
    <x v="436"/>
    <s v="CUST1002"/>
    <s v="Customer 002"/>
    <x v="1"/>
    <s v="Karnataka"/>
    <x v="3"/>
    <s v="Tables"/>
    <x v="16"/>
    <n v="4"/>
    <n v="6200"/>
    <x v="3"/>
    <n v="21080"/>
    <n v="17200"/>
    <n v="3880"/>
  </r>
  <r>
    <s v="ORD11456"/>
    <x v="437"/>
    <s v="CUST1033"/>
    <s v="Customer 033"/>
    <x v="3"/>
    <s v="Punjab"/>
    <x v="2"/>
    <s v="Audio"/>
    <x v="17"/>
    <n v="1"/>
    <n v="2800"/>
    <x v="5"/>
    <n v="2240"/>
    <n v="1800"/>
    <n v="440"/>
  </r>
  <r>
    <s v="ORD10263"/>
    <x v="438"/>
    <s v="CUST1150"/>
    <s v="Customer 150"/>
    <x v="2"/>
    <s v="Gujarat"/>
    <x v="1"/>
    <s v="Kitchen"/>
    <x v="1"/>
    <n v="4"/>
    <n v="1900"/>
    <x v="3"/>
    <n v="6460"/>
    <n v="5000"/>
    <n v="1460"/>
  </r>
  <r>
    <s v="ORD12211"/>
    <x v="439"/>
    <s v="CUST1350"/>
    <s v="Customer 350"/>
    <x v="3"/>
    <s v="Punjab"/>
    <x v="2"/>
    <s v="Audio"/>
    <x v="17"/>
    <n v="4"/>
    <n v="2800"/>
    <x v="5"/>
    <n v="8960"/>
    <n v="7200"/>
    <n v="1760"/>
  </r>
  <r>
    <s v="ORD11635"/>
    <x v="440"/>
    <s v="CUST1208"/>
    <s v="Customer 208"/>
    <x v="2"/>
    <s v="Goa"/>
    <x v="0"/>
    <s v="Accessories"/>
    <x v="0"/>
    <n v="3"/>
    <n v="650"/>
    <x v="3"/>
    <n v="1657.5"/>
    <n v="1170"/>
    <n v="487.5"/>
  </r>
  <r>
    <s v="ORD11403"/>
    <x v="441"/>
    <s v="CUST1150"/>
    <s v="Customer 150"/>
    <x v="2"/>
    <s v="Gujarat"/>
    <x v="3"/>
    <s v="Tables"/>
    <x v="16"/>
    <n v="3"/>
    <n v="6200"/>
    <x v="3"/>
    <n v="15810"/>
    <n v="12900"/>
    <n v="2910"/>
  </r>
  <r>
    <s v="ORD10435"/>
    <x v="442"/>
    <s v="CUST1217"/>
    <s v="Customer 217"/>
    <x v="3"/>
    <s v="Punjab"/>
    <x v="0"/>
    <s v="Stationery"/>
    <x v="10"/>
    <n v="4"/>
    <n v="280"/>
    <x v="5"/>
    <n v="896"/>
    <n v="640"/>
    <n v="256"/>
  </r>
  <r>
    <s v="ORD13065"/>
    <x v="443"/>
    <s v="CUST1354"/>
    <s v="Customer 354"/>
    <x v="0"/>
    <s v="West Bengal"/>
    <x v="2"/>
    <s v="Audio"/>
    <x v="5"/>
    <n v="1"/>
    <n v="2200"/>
    <x v="0"/>
    <n v="1980"/>
    <n v="1450"/>
    <n v="530"/>
  </r>
  <r>
    <s v="ORD13557"/>
    <x v="444"/>
    <s v="CUST1353"/>
    <s v="Customer 353"/>
    <x v="1"/>
    <s v="Telangana"/>
    <x v="2"/>
    <s v="Accessories"/>
    <x v="13"/>
    <n v="1"/>
    <n v="1400"/>
    <x v="4"/>
    <n v="1330"/>
    <n v="900"/>
    <n v="430"/>
  </r>
  <r>
    <s v="ORD12120"/>
    <x v="445"/>
    <s v="CUST1351"/>
    <s v="Customer 351"/>
    <x v="2"/>
    <s v="Gujarat"/>
    <x v="2"/>
    <s v="Audio"/>
    <x v="17"/>
    <n v="3"/>
    <n v="2800"/>
    <x v="2"/>
    <n v="8400"/>
    <n v="5400"/>
    <n v="3000"/>
  </r>
  <r>
    <s v="ORD12085"/>
    <x v="446"/>
    <s v="CUST1066"/>
    <s v="Customer 066"/>
    <x v="2"/>
    <s v="Gujarat"/>
    <x v="0"/>
    <s v="Paper"/>
    <x v="3"/>
    <n v="4"/>
    <n v="520"/>
    <x v="1"/>
    <n v="1560"/>
    <n v="1320"/>
    <n v="240"/>
  </r>
  <r>
    <s v="ORD12741"/>
    <x v="447"/>
    <s v="CUST1093"/>
    <s v="Customer 093"/>
    <x v="1"/>
    <s v="Kerala"/>
    <x v="1"/>
    <s v="Kitchen"/>
    <x v="4"/>
    <n v="2"/>
    <n v="6800"/>
    <x v="0"/>
    <n v="12240"/>
    <n v="9400"/>
    <n v="2840"/>
  </r>
  <r>
    <s v="ORD12113"/>
    <x v="448"/>
    <s v="CUST1458"/>
    <s v="Customer 458"/>
    <x v="3"/>
    <s v="Punjab"/>
    <x v="2"/>
    <s v="Monitors"/>
    <x v="11"/>
    <n v="3"/>
    <n v="10500"/>
    <x v="0"/>
    <n v="28350"/>
    <n v="22800"/>
    <n v="5550"/>
  </r>
  <r>
    <s v="ORD12908"/>
    <x v="449"/>
    <s v="CUST1475"/>
    <s v="Customer 475"/>
    <x v="1"/>
    <s v="Telangana"/>
    <x v="2"/>
    <s v="Audio"/>
    <x v="17"/>
    <n v="1"/>
    <n v="2800"/>
    <x v="5"/>
    <n v="2240"/>
    <n v="1800"/>
    <n v="440"/>
  </r>
  <r>
    <s v="ORD13679"/>
    <x v="450"/>
    <s v="CUST1270"/>
    <s v="Customer 270"/>
    <x v="3"/>
    <s v="Punjab"/>
    <x v="3"/>
    <s v="Chairs"/>
    <x v="12"/>
    <n v="3"/>
    <n v="7500"/>
    <x v="2"/>
    <n v="22500"/>
    <n v="15600"/>
    <n v="6900"/>
  </r>
  <r>
    <s v="ORD10412"/>
    <x v="451"/>
    <s v="CUST1115"/>
    <s v="Customer 115"/>
    <x v="0"/>
    <s v="Bihar"/>
    <x v="3"/>
    <s v="Storage"/>
    <x v="14"/>
    <n v="3"/>
    <n v="4800"/>
    <x v="3"/>
    <n v="12240"/>
    <n v="9900"/>
    <n v="2340"/>
  </r>
  <r>
    <s v="ORD11338"/>
    <x v="452"/>
    <s v="CUST1149"/>
    <s v="Customer 149"/>
    <x v="0"/>
    <s v="West Bengal"/>
    <x v="3"/>
    <s v="Tables"/>
    <x v="16"/>
    <n v="3"/>
    <n v="6200"/>
    <x v="5"/>
    <n v="14880"/>
    <n v="12900"/>
    <n v="1980"/>
  </r>
  <r>
    <s v="ORD11767"/>
    <x v="453"/>
    <s v="CUST1253"/>
    <s v="Customer 253"/>
    <x v="2"/>
    <s v="Maharashtra"/>
    <x v="2"/>
    <s v="Audio"/>
    <x v="5"/>
    <n v="2"/>
    <n v="2200"/>
    <x v="0"/>
    <n v="3960"/>
    <n v="2900"/>
    <n v="1060"/>
  </r>
  <r>
    <s v="ORD13695"/>
    <x v="454"/>
    <s v="CUST1198"/>
    <s v="Customer 198"/>
    <x v="3"/>
    <s v="Uttar Pradesh"/>
    <x v="2"/>
    <s v="Accessories"/>
    <x v="8"/>
    <n v="3"/>
    <n v="1800"/>
    <x v="0"/>
    <n v="4860"/>
    <n v="3300"/>
    <n v="1560"/>
  </r>
  <r>
    <s v="ORD11251"/>
    <x v="455"/>
    <s v="CUST1121"/>
    <s v="Customer 121"/>
    <x v="0"/>
    <s v="West Bengal"/>
    <x v="2"/>
    <s v="Monitors"/>
    <x v="11"/>
    <n v="3"/>
    <n v="10500"/>
    <x v="0"/>
    <n v="28350"/>
    <n v="22800"/>
    <n v="5550"/>
  </r>
  <r>
    <s v="ORD13400"/>
    <x v="456"/>
    <s v="CUST1361"/>
    <s v="Customer 361"/>
    <x v="1"/>
    <s v="Kerala"/>
    <x v="1"/>
    <s v="Kitchen"/>
    <x v="1"/>
    <n v="3"/>
    <n v="1900"/>
    <x v="2"/>
    <n v="5700"/>
    <n v="3750"/>
    <n v="1950"/>
  </r>
  <r>
    <s v="ORD10717"/>
    <x v="457"/>
    <s v="CUST1259"/>
    <s v="Customer 259"/>
    <x v="2"/>
    <s v="Maharashtra"/>
    <x v="2"/>
    <s v="Accessories"/>
    <x v="8"/>
    <n v="2"/>
    <n v="1800"/>
    <x v="0"/>
    <n v="3240"/>
    <n v="2200"/>
    <n v="1040"/>
  </r>
  <r>
    <s v="ORD10681"/>
    <x v="458"/>
    <s v="CUST1362"/>
    <s v="Customer 362"/>
    <x v="3"/>
    <s v="Haryana"/>
    <x v="2"/>
    <s v="Accessories"/>
    <x v="8"/>
    <n v="2"/>
    <n v="1800"/>
    <x v="5"/>
    <n v="2880"/>
    <n v="2200"/>
    <n v="680"/>
  </r>
  <r>
    <s v="ORD12177"/>
    <x v="459"/>
    <s v="CUST1053"/>
    <s v="Customer 053"/>
    <x v="2"/>
    <s v="Maharashtra"/>
    <x v="2"/>
    <s v="Monitors"/>
    <x v="11"/>
    <n v="5"/>
    <n v="10500"/>
    <x v="3"/>
    <n v="44625"/>
    <n v="38000"/>
    <n v="6625"/>
  </r>
  <r>
    <s v="ORD12395"/>
    <x v="460"/>
    <s v="CUST1237"/>
    <s v="Customer 237"/>
    <x v="1"/>
    <s v="Kerala"/>
    <x v="0"/>
    <s v="Stationery"/>
    <x v="10"/>
    <n v="3"/>
    <n v="280"/>
    <x v="1"/>
    <n v="630"/>
    <n v="480"/>
    <n v="150"/>
  </r>
  <r>
    <s v="ORD13548"/>
    <x v="461"/>
    <s v="CUST1442"/>
    <s v="Customer 442"/>
    <x v="2"/>
    <s v="Rajasthan"/>
    <x v="3"/>
    <s v="Storage"/>
    <x v="14"/>
    <n v="2"/>
    <n v="4800"/>
    <x v="0"/>
    <n v="8640"/>
    <n v="6600"/>
    <n v="2040"/>
  </r>
  <r>
    <s v="ORD12974"/>
    <x v="462"/>
    <s v="CUST1491"/>
    <s v="Customer 491"/>
    <x v="0"/>
    <s v="Odisha"/>
    <x v="3"/>
    <s v="Tables"/>
    <x v="16"/>
    <n v="3"/>
    <n v="6200"/>
    <x v="0"/>
    <n v="16740"/>
    <n v="12900"/>
    <n v="3840"/>
  </r>
  <r>
    <s v="ORD10885"/>
    <x v="463"/>
    <s v="CUST1407"/>
    <s v="Customer 407"/>
    <x v="2"/>
    <s v="Goa"/>
    <x v="3"/>
    <s v="Tables"/>
    <x v="16"/>
    <n v="1"/>
    <n v="6200"/>
    <x v="4"/>
    <n v="5890"/>
    <n v="4300"/>
    <n v="1590"/>
  </r>
  <r>
    <s v="ORD10915"/>
    <x v="464"/>
    <s v="CUST1296"/>
    <s v="Customer 296"/>
    <x v="2"/>
    <s v="Maharashtra"/>
    <x v="3"/>
    <s v="Storage"/>
    <x v="6"/>
    <n v="4"/>
    <n v="5600"/>
    <x v="3"/>
    <n v="19040"/>
    <n v="15600"/>
    <n v="3440"/>
  </r>
  <r>
    <s v="ORD11596"/>
    <x v="465"/>
    <s v="CUST1083"/>
    <s v="Customer 083"/>
    <x v="0"/>
    <s v="West Bengal"/>
    <x v="3"/>
    <s v="Chairs"/>
    <x v="12"/>
    <n v="3"/>
    <n v="7500"/>
    <x v="5"/>
    <n v="18000"/>
    <n v="15600"/>
    <n v="2400"/>
  </r>
  <r>
    <s v="ORD12322"/>
    <x v="466"/>
    <s v="CUST1018"/>
    <s v="Customer 018"/>
    <x v="2"/>
    <s v="Goa"/>
    <x v="3"/>
    <s v="Chairs"/>
    <x v="12"/>
    <n v="4"/>
    <n v="7500"/>
    <x v="5"/>
    <n v="24000"/>
    <n v="20800"/>
    <n v="3200"/>
  </r>
  <r>
    <s v="ORD10599"/>
    <x v="467"/>
    <s v="CUST1314"/>
    <s v="Customer 314"/>
    <x v="0"/>
    <s v="Odisha"/>
    <x v="3"/>
    <s v="Tables"/>
    <x v="16"/>
    <n v="5"/>
    <n v="6200"/>
    <x v="2"/>
    <n v="31000"/>
    <n v="21500"/>
    <n v="9500"/>
  </r>
  <r>
    <s v="ORD13717"/>
    <x v="468"/>
    <s v="CUST1175"/>
    <s v="Customer 175"/>
    <x v="3"/>
    <s v="Haryana"/>
    <x v="2"/>
    <s v="Accessories"/>
    <x v="13"/>
    <n v="3"/>
    <n v="1400"/>
    <x v="4"/>
    <n v="3990"/>
    <n v="2700"/>
    <n v="1290"/>
  </r>
  <r>
    <s v="ORD13478"/>
    <x v="469"/>
    <s v="CUST1266"/>
    <s v="Customer 266"/>
    <x v="2"/>
    <s v="Maharashtra"/>
    <x v="1"/>
    <s v="Appliances"/>
    <x v="7"/>
    <n v="3"/>
    <n v="2400"/>
    <x v="2"/>
    <n v="7200"/>
    <n v="4950"/>
    <n v="2250"/>
  </r>
  <r>
    <s v="ORD13063"/>
    <x v="470"/>
    <s v="CUST1192"/>
    <s v="Customer 192"/>
    <x v="1"/>
    <s v="Telangana"/>
    <x v="2"/>
    <s v="Audio"/>
    <x v="5"/>
    <n v="1"/>
    <n v="2200"/>
    <x v="0"/>
    <n v="1980"/>
    <n v="1450"/>
    <n v="530"/>
  </r>
  <r>
    <s v="ORD12500"/>
    <x v="471"/>
    <s v="CUST1465"/>
    <s v="Customer 465"/>
    <x v="3"/>
    <s v="Haryana"/>
    <x v="0"/>
    <s v="Stationery"/>
    <x v="15"/>
    <n v="5"/>
    <n v="450"/>
    <x v="4"/>
    <n v="2137.5"/>
    <n v="1300"/>
    <n v="837.5"/>
  </r>
  <r>
    <s v="ORD13725"/>
    <x v="472"/>
    <s v="CUST1005"/>
    <s v="Customer 005"/>
    <x v="3"/>
    <s v="Haryana"/>
    <x v="2"/>
    <s v="Accessories"/>
    <x v="9"/>
    <n v="1"/>
    <n v="850"/>
    <x v="4"/>
    <n v="807.5"/>
    <n v="560"/>
    <n v="247.5"/>
  </r>
  <r>
    <s v="ORD10748"/>
    <x v="473"/>
    <s v="CUST1158"/>
    <s v="Customer 158"/>
    <x v="1"/>
    <s v="Telangana"/>
    <x v="1"/>
    <s v="Kitchen"/>
    <x v="1"/>
    <n v="4"/>
    <n v="1900"/>
    <x v="4"/>
    <n v="7220"/>
    <n v="5000"/>
    <n v="2220"/>
  </r>
  <r>
    <s v="ORD13505"/>
    <x v="474"/>
    <s v="CUST1009"/>
    <s v="Customer 009"/>
    <x v="0"/>
    <s v="West Bengal"/>
    <x v="1"/>
    <s v="Kitchen"/>
    <x v="4"/>
    <n v="3"/>
    <n v="6800"/>
    <x v="0"/>
    <n v="18360"/>
    <n v="14100"/>
    <n v="4260"/>
  </r>
  <r>
    <s v="ORD10653"/>
    <x v="475"/>
    <s v="CUST1102"/>
    <s v="Customer 102"/>
    <x v="3"/>
    <s v="Uttar Pradesh"/>
    <x v="1"/>
    <s v="Kitchen"/>
    <x v="1"/>
    <n v="1"/>
    <n v="1900"/>
    <x v="5"/>
    <n v="1520"/>
    <n v="1250"/>
    <n v="270"/>
  </r>
  <r>
    <s v="ORD10118"/>
    <x v="476"/>
    <s v="CUST1070"/>
    <s v="Customer 070"/>
    <x v="1"/>
    <s v="Andhra Pradesh"/>
    <x v="2"/>
    <s v="Audio"/>
    <x v="5"/>
    <n v="4"/>
    <n v="2200"/>
    <x v="2"/>
    <n v="8800"/>
    <n v="5800"/>
    <n v="3000"/>
  </r>
  <r>
    <s v="ORD12602"/>
    <x v="477"/>
    <s v="CUST1108"/>
    <s v="Customer 108"/>
    <x v="0"/>
    <s v="Odisha"/>
    <x v="0"/>
    <s v="Accessories"/>
    <x v="0"/>
    <n v="2"/>
    <n v="650"/>
    <x v="5"/>
    <n v="1040"/>
    <n v="780"/>
    <n v="260"/>
  </r>
  <r>
    <s v="ORD12564"/>
    <x v="478"/>
    <s v="CUST1205"/>
    <s v="Customer 205"/>
    <x v="3"/>
    <s v="Delhi"/>
    <x v="2"/>
    <s v="Accessories"/>
    <x v="9"/>
    <n v="5"/>
    <n v="850"/>
    <x v="1"/>
    <n v="3187.5"/>
    <n v="2800"/>
    <n v="387.5"/>
  </r>
  <r>
    <s v="ORD12839"/>
    <x v="479"/>
    <s v="CUST1108"/>
    <s v="Customer 108"/>
    <x v="1"/>
    <s v="Karnataka"/>
    <x v="2"/>
    <s v="Accessories"/>
    <x v="13"/>
    <n v="4"/>
    <n v="1400"/>
    <x v="5"/>
    <n v="4480"/>
    <n v="3600"/>
    <n v="880"/>
  </r>
  <r>
    <s v="ORD10672"/>
    <x v="480"/>
    <s v="CUST1308"/>
    <s v="Customer 308"/>
    <x v="2"/>
    <s v="Gujarat"/>
    <x v="3"/>
    <s v="Tables"/>
    <x v="16"/>
    <n v="2"/>
    <n v="6200"/>
    <x v="3"/>
    <n v="10540"/>
    <n v="8600"/>
    <n v="1940"/>
  </r>
  <r>
    <s v="ORD12780"/>
    <x v="481"/>
    <s v="CUST1023"/>
    <s v="Customer 023"/>
    <x v="2"/>
    <s v="Maharashtra"/>
    <x v="3"/>
    <s v="Storage"/>
    <x v="6"/>
    <n v="5"/>
    <n v="5600"/>
    <x v="3"/>
    <n v="23800"/>
    <n v="19500"/>
    <n v="4300"/>
  </r>
  <r>
    <s v="ORD11071"/>
    <x v="482"/>
    <s v="CUST1338"/>
    <s v="Customer 338"/>
    <x v="1"/>
    <s v="Kerala"/>
    <x v="2"/>
    <s v="Audio"/>
    <x v="17"/>
    <n v="1"/>
    <n v="2800"/>
    <x v="0"/>
    <n v="2520"/>
    <n v="1800"/>
    <n v="720"/>
  </r>
  <r>
    <s v="ORD10856"/>
    <x v="483"/>
    <s v="CUST1425"/>
    <s v="Customer 425"/>
    <x v="0"/>
    <s v="Odisha"/>
    <x v="2"/>
    <s v="Accessories"/>
    <x v="8"/>
    <n v="1"/>
    <n v="1800"/>
    <x v="0"/>
    <n v="1620"/>
    <n v="1100"/>
    <n v="520"/>
  </r>
  <r>
    <s v="ORD13793"/>
    <x v="484"/>
    <s v="CUST1128"/>
    <s v="Customer 128"/>
    <x v="1"/>
    <s v="Kerala"/>
    <x v="0"/>
    <s v="Stationery"/>
    <x v="10"/>
    <n v="5"/>
    <n v="280"/>
    <x v="3"/>
    <n v="1190"/>
    <n v="800"/>
    <n v="390"/>
  </r>
  <r>
    <s v="ORD10886"/>
    <x v="485"/>
    <s v="CUST1368"/>
    <s v="Customer 368"/>
    <x v="1"/>
    <s v="Andhra Pradesh"/>
    <x v="2"/>
    <s v="Audio"/>
    <x v="5"/>
    <n v="2"/>
    <n v="2200"/>
    <x v="3"/>
    <n v="3740"/>
    <n v="2900"/>
    <n v="840"/>
  </r>
  <r>
    <s v="ORD12885"/>
    <x v="486"/>
    <s v="CUST1178"/>
    <s v="Customer 178"/>
    <x v="3"/>
    <s v="Uttar Pradesh"/>
    <x v="1"/>
    <s v="Kitchen"/>
    <x v="2"/>
    <n v="4"/>
    <n v="4200"/>
    <x v="3"/>
    <n v="14280"/>
    <n v="11600"/>
    <n v="2680"/>
  </r>
  <r>
    <s v="ORD10109"/>
    <x v="487"/>
    <s v="CUST1236"/>
    <s v="Customer 236"/>
    <x v="1"/>
    <s v="Karnataka"/>
    <x v="0"/>
    <s v="Stationery"/>
    <x v="18"/>
    <n v="3"/>
    <n v="300"/>
    <x v="0"/>
    <n v="810"/>
    <n v="510"/>
    <n v="300"/>
  </r>
  <r>
    <s v="ORD13323"/>
    <x v="488"/>
    <s v="CUST1394"/>
    <s v="Customer 394"/>
    <x v="3"/>
    <s v="Delhi"/>
    <x v="3"/>
    <s v="Chairs"/>
    <x v="12"/>
    <n v="3"/>
    <n v="7500"/>
    <x v="3"/>
    <n v="19125"/>
    <n v="15600"/>
    <n v="3525"/>
  </r>
  <r>
    <s v="ORD10718"/>
    <x v="489"/>
    <s v="CUST1247"/>
    <s v="Customer 247"/>
    <x v="0"/>
    <s v="Bihar"/>
    <x v="2"/>
    <s v="Accessories"/>
    <x v="8"/>
    <n v="3"/>
    <n v="1800"/>
    <x v="4"/>
    <n v="5130"/>
    <n v="3300"/>
    <n v="1830"/>
  </r>
  <r>
    <s v="ORD10802"/>
    <x v="490"/>
    <s v="CUST1151"/>
    <s v="Customer 151"/>
    <x v="2"/>
    <s v="Maharashtra"/>
    <x v="2"/>
    <s v="Monitors"/>
    <x v="11"/>
    <n v="5"/>
    <n v="10500"/>
    <x v="2"/>
    <n v="52500"/>
    <n v="38000"/>
    <n v="14500"/>
  </r>
  <r>
    <s v="ORD13921"/>
    <x v="491"/>
    <s v="CUST1470"/>
    <s v="Customer 470"/>
    <x v="2"/>
    <s v="Goa"/>
    <x v="0"/>
    <s v="Paper"/>
    <x v="3"/>
    <n v="1"/>
    <n v="520"/>
    <x v="4"/>
    <n v="494"/>
    <n v="330"/>
    <n v="164"/>
  </r>
  <r>
    <s v="ORD13370"/>
    <x v="492"/>
    <s v="CUST1059"/>
    <s v="Customer 059"/>
    <x v="1"/>
    <s v="Tamil Nadu"/>
    <x v="0"/>
    <s v="Paper"/>
    <x v="3"/>
    <n v="4"/>
    <n v="520"/>
    <x v="1"/>
    <n v="1560"/>
    <n v="1320"/>
    <n v="240"/>
  </r>
  <r>
    <s v="ORD13920"/>
    <x v="493"/>
    <s v="CUST1307"/>
    <s v="Customer 307"/>
    <x v="1"/>
    <s v="Andhra Pradesh"/>
    <x v="3"/>
    <s v="Chairs"/>
    <x v="12"/>
    <n v="4"/>
    <n v="7500"/>
    <x v="1"/>
    <n v="22500"/>
    <n v="20800"/>
    <n v="1700"/>
  </r>
  <r>
    <s v="ORD12968"/>
    <x v="494"/>
    <s v="CUST1114"/>
    <s v="Customer 114"/>
    <x v="1"/>
    <s v="Telangana"/>
    <x v="1"/>
    <s v="Kitchen"/>
    <x v="1"/>
    <n v="4"/>
    <n v="1900"/>
    <x v="0"/>
    <n v="6840"/>
    <n v="5000"/>
    <n v="1840"/>
  </r>
  <r>
    <s v="ORD11732"/>
    <x v="495"/>
    <s v="CUST1452"/>
    <s v="Customer 452"/>
    <x v="0"/>
    <s v="Odisha"/>
    <x v="3"/>
    <s v="Storage"/>
    <x v="6"/>
    <n v="3"/>
    <n v="5600"/>
    <x v="4"/>
    <n v="15960"/>
    <n v="11700"/>
    <n v="4260"/>
  </r>
  <r>
    <s v="ORD13035"/>
    <x v="496"/>
    <s v="CUST1050"/>
    <s v="Customer 050"/>
    <x v="2"/>
    <s v="Gujarat"/>
    <x v="1"/>
    <s v="Kitchen"/>
    <x v="4"/>
    <n v="3"/>
    <n v="6800"/>
    <x v="3"/>
    <n v="17340"/>
    <n v="14100"/>
    <n v="3240"/>
  </r>
  <r>
    <s v="ORD11715"/>
    <x v="497"/>
    <s v="CUST1323"/>
    <s v="Customer 323"/>
    <x v="3"/>
    <s v="Delhi"/>
    <x v="2"/>
    <s v="Accessories"/>
    <x v="13"/>
    <n v="4"/>
    <n v="1400"/>
    <x v="2"/>
    <n v="5600"/>
    <n v="3600"/>
    <n v="2000"/>
  </r>
  <r>
    <s v="ORD13048"/>
    <x v="498"/>
    <s v="CUST1381"/>
    <s v="Customer 381"/>
    <x v="3"/>
    <s v="Delhi"/>
    <x v="3"/>
    <s v="Chairs"/>
    <x v="12"/>
    <n v="3"/>
    <n v="7500"/>
    <x v="0"/>
    <n v="20250"/>
    <n v="15600"/>
    <n v="4650"/>
  </r>
  <r>
    <s v="ORD10867"/>
    <x v="499"/>
    <s v="CUST1410"/>
    <s v="Customer 410"/>
    <x v="1"/>
    <s v="Kerala"/>
    <x v="2"/>
    <s v="Accessories"/>
    <x v="9"/>
    <n v="4"/>
    <n v="850"/>
    <x v="2"/>
    <n v="3400"/>
    <n v="2240"/>
    <n v="1160"/>
  </r>
  <r>
    <s v="ORD12938"/>
    <x v="500"/>
    <s v="CUST1361"/>
    <s v="Customer 361"/>
    <x v="3"/>
    <s v="Uttar Pradesh"/>
    <x v="0"/>
    <s v="Stationery"/>
    <x v="15"/>
    <n v="4"/>
    <n v="450"/>
    <x v="1"/>
    <n v="1350"/>
    <n v="1040"/>
    <n v="310"/>
  </r>
  <r>
    <s v="ORD11358"/>
    <x v="501"/>
    <s v="CUST1068"/>
    <s v="Customer 068"/>
    <x v="2"/>
    <s v="Maharashtra"/>
    <x v="0"/>
    <s v="Paper"/>
    <x v="3"/>
    <n v="5"/>
    <n v="520"/>
    <x v="2"/>
    <n v="2600"/>
    <n v="1650"/>
    <n v="950"/>
  </r>
  <r>
    <s v="ORD12243"/>
    <x v="502"/>
    <s v="CUST1227"/>
    <s v="Customer 227"/>
    <x v="2"/>
    <s v="Goa"/>
    <x v="2"/>
    <s v="Audio"/>
    <x v="5"/>
    <n v="3"/>
    <n v="2200"/>
    <x v="2"/>
    <n v="6600"/>
    <n v="4350"/>
    <n v="2250"/>
  </r>
  <r>
    <s v="ORD11179"/>
    <x v="503"/>
    <s v="CUST1130"/>
    <s v="Customer 130"/>
    <x v="1"/>
    <s v="Karnataka"/>
    <x v="0"/>
    <s v="Accessories"/>
    <x v="0"/>
    <n v="5"/>
    <n v="650"/>
    <x v="3"/>
    <n v="2762.5"/>
    <n v="1950"/>
    <n v="812.5"/>
  </r>
  <r>
    <s v="ORD13587"/>
    <x v="504"/>
    <s v="CUST1227"/>
    <s v="Customer 227"/>
    <x v="2"/>
    <s v="Rajasthan"/>
    <x v="0"/>
    <s v="Paper"/>
    <x v="3"/>
    <n v="3"/>
    <n v="520"/>
    <x v="0"/>
    <n v="1404"/>
    <n v="990"/>
    <n v="414"/>
  </r>
  <r>
    <s v="ORD13911"/>
    <x v="505"/>
    <s v="CUST1117"/>
    <s v="Customer 117"/>
    <x v="0"/>
    <s v="Jharkhand"/>
    <x v="1"/>
    <s v="Kitchen"/>
    <x v="2"/>
    <n v="1"/>
    <n v="4200"/>
    <x v="3"/>
    <n v="3570"/>
    <n v="2900"/>
    <n v="670"/>
  </r>
  <r>
    <s v="ORD11031"/>
    <x v="506"/>
    <s v="CUST1244"/>
    <s v="Customer 244"/>
    <x v="3"/>
    <s v="Delhi"/>
    <x v="2"/>
    <s v="Audio"/>
    <x v="5"/>
    <n v="2"/>
    <n v="2200"/>
    <x v="3"/>
    <n v="3740"/>
    <n v="2900"/>
    <n v="840"/>
  </r>
  <r>
    <s v="ORD10934"/>
    <x v="507"/>
    <s v="CUST1325"/>
    <s v="Customer 325"/>
    <x v="0"/>
    <s v="West Bengal"/>
    <x v="1"/>
    <s v="Kitchen"/>
    <x v="2"/>
    <n v="4"/>
    <n v="4200"/>
    <x v="3"/>
    <n v="14280"/>
    <n v="11600"/>
    <n v="2680"/>
  </r>
  <r>
    <s v="ORD12458"/>
    <x v="508"/>
    <s v="CUST1468"/>
    <s v="Customer 468"/>
    <x v="2"/>
    <s v="Maharashtra"/>
    <x v="2"/>
    <s v="Accessories"/>
    <x v="13"/>
    <n v="5"/>
    <n v="1400"/>
    <x v="3"/>
    <n v="5950"/>
    <n v="4500"/>
    <n v="1450"/>
  </r>
  <r>
    <s v="ORD13674"/>
    <x v="509"/>
    <s v="CUST1001"/>
    <s v="Customer 001"/>
    <x v="2"/>
    <s v="Gujarat"/>
    <x v="0"/>
    <s v="Stationery"/>
    <x v="18"/>
    <n v="1"/>
    <n v="300"/>
    <x v="2"/>
    <n v="300"/>
    <n v="170"/>
    <n v="130"/>
  </r>
  <r>
    <s v="ORD10796"/>
    <x v="510"/>
    <s v="CUST1148"/>
    <s v="Customer 148"/>
    <x v="2"/>
    <s v="Maharashtra"/>
    <x v="0"/>
    <s v="Paper"/>
    <x v="3"/>
    <n v="3"/>
    <n v="520"/>
    <x v="1"/>
    <n v="1170"/>
    <n v="990"/>
    <n v="180"/>
  </r>
  <r>
    <s v="ORD13351"/>
    <x v="511"/>
    <s v="CUST1080"/>
    <s v="Customer 080"/>
    <x v="0"/>
    <s v="West Bengal"/>
    <x v="2"/>
    <s v="Accessories"/>
    <x v="8"/>
    <n v="3"/>
    <n v="1800"/>
    <x v="2"/>
    <n v="5400"/>
    <n v="3300"/>
    <n v="2100"/>
  </r>
  <r>
    <s v="ORD11924"/>
    <x v="512"/>
    <s v="CUST1218"/>
    <s v="Customer 218"/>
    <x v="0"/>
    <s v="West Bengal"/>
    <x v="2"/>
    <s v="Audio"/>
    <x v="17"/>
    <n v="4"/>
    <n v="2800"/>
    <x v="0"/>
    <n v="10080"/>
    <n v="7200"/>
    <n v="2880"/>
  </r>
  <r>
    <s v="ORD13445"/>
    <x v="513"/>
    <s v="CUST1459"/>
    <s v="Customer 459"/>
    <x v="0"/>
    <s v="Odisha"/>
    <x v="2"/>
    <s v="Accessories"/>
    <x v="13"/>
    <n v="5"/>
    <n v="1400"/>
    <x v="3"/>
    <n v="5950"/>
    <n v="4500"/>
    <n v="1450"/>
  </r>
  <r>
    <s v="ORD13281"/>
    <x v="514"/>
    <s v="CUST1044"/>
    <s v="Customer 044"/>
    <x v="0"/>
    <s v="West Bengal"/>
    <x v="2"/>
    <s v="Accessories"/>
    <x v="9"/>
    <n v="4"/>
    <n v="850"/>
    <x v="0"/>
    <n v="3060"/>
    <n v="2240"/>
    <n v="820"/>
  </r>
  <r>
    <s v="ORD11583"/>
    <x v="515"/>
    <s v="CUST1258"/>
    <s v="Customer 258"/>
    <x v="1"/>
    <s v="Telangana"/>
    <x v="2"/>
    <s v="Monitors"/>
    <x v="11"/>
    <n v="3"/>
    <n v="10500"/>
    <x v="4"/>
    <n v="29925"/>
    <n v="22800"/>
    <n v="7125"/>
  </r>
  <r>
    <s v="ORD13266"/>
    <x v="516"/>
    <s v="CUST1322"/>
    <s v="Customer 322"/>
    <x v="1"/>
    <s v="Andhra Pradesh"/>
    <x v="2"/>
    <s v="Accessories"/>
    <x v="8"/>
    <n v="1"/>
    <n v="1800"/>
    <x v="0"/>
    <n v="1620"/>
    <n v="1100"/>
    <n v="520"/>
  </r>
  <r>
    <s v="ORD12905"/>
    <x v="517"/>
    <s v="CUST1326"/>
    <s v="Customer 326"/>
    <x v="3"/>
    <s v="Punjab"/>
    <x v="2"/>
    <s v="Accessories"/>
    <x v="9"/>
    <n v="4"/>
    <n v="850"/>
    <x v="4"/>
    <n v="3230"/>
    <n v="2240"/>
    <n v="990"/>
  </r>
  <r>
    <s v="ORD11525"/>
    <x v="518"/>
    <s v="CUST1302"/>
    <s v="Customer 302"/>
    <x v="2"/>
    <s v="Goa"/>
    <x v="2"/>
    <s v="Monitors"/>
    <x v="11"/>
    <n v="1"/>
    <n v="10500"/>
    <x v="3"/>
    <n v="8925"/>
    <n v="7600"/>
    <n v="1325"/>
  </r>
  <r>
    <s v="ORD12183"/>
    <x v="519"/>
    <s v="CUST1304"/>
    <s v="Customer 304"/>
    <x v="3"/>
    <s v="Haryana"/>
    <x v="2"/>
    <s v="Audio"/>
    <x v="5"/>
    <n v="3"/>
    <n v="2200"/>
    <x v="5"/>
    <n v="5280"/>
    <n v="4350"/>
    <n v="930"/>
  </r>
  <r>
    <s v="ORD11025"/>
    <x v="520"/>
    <s v="CUST1411"/>
    <s v="Customer 411"/>
    <x v="1"/>
    <s v="Telangana"/>
    <x v="0"/>
    <s v="Stationery"/>
    <x v="10"/>
    <n v="5"/>
    <n v="280"/>
    <x v="5"/>
    <n v="1120"/>
    <n v="800"/>
    <n v="320"/>
  </r>
  <r>
    <s v="ORD10293"/>
    <x v="521"/>
    <s v="CUST1477"/>
    <s v="Customer 477"/>
    <x v="2"/>
    <s v="Gujarat"/>
    <x v="3"/>
    <s v="Chairs"/>
    <x v="12"/>
    <n v="5"/>
    <n v="7500"/>
    <x v="5"/>
    <n v="30000"/>
    <n v="26000"/>
    <n v="4000"/>
  </r>
  <r>
    <s v="ORD13178"/>
    <x v="522"/>
    <s v="CUST1149"/>
    <s v="Customer 149"/>
    <x v="1"/>
    <s v="Telangana"/>
    <x v="0"/>
    <s v="Accessories"/>
    <x v="0"/>
    <n v="3"/>
    <n v="650"/>
    <x v="3"/>
    <n v="1657.5"/>
    <n v="1170"/>
    <n v="487.5"/>
  </r>
  <r>
    <s v="ORD11190"/>
    <x v="523"/>
    <s v="CUST1004"/>
    <s v="Customer 004"/>
    <x v="1"/>
    <s v="Andhra Pradesh"/>
    <x v="0"/>
    <s v="Accessories"/>
    <x v="0"/>
    <n v="3"/>
    <n v="650"/>
    <x v="0"/>
    <n v="1755"/>
    <n v="1170"/>
    <n v="585"/>
  </r>
  <r>
    <s v="ORD10594"/>
    <x v="524"/>
    <s v="CUST1490"/>
    <s v="Customer 490"/>
    <x v="1"/>
    <s v="Andhra Pradesh"/>
    <x v="3"/>
    <s v="Storage"/>
    <x v="6"/>
    <n v="1"/>
    <n v="5600"/>
    <x v="4"/>
    <n v="5320"/>
    <n v="3900"/>
    <n v="1420"/>
  </r>
  <r>
    <s v="ORD11825"/>
    <x v="525"/>
    <s v="CUST1387"/>
    <s v="Customer 387"/>
    <x v="3"/>
    <s v="Haryana"/>
    <x v="3"/>
    <s v="Storage"/>
    <x v="6"/>
    <n v="3"/>
    <n v="5600"/>
    <x v="4"/>
    <n v="15960"/>
    <n v="11700"/>
    <n v="4260"/>
  </r>
  <r>
    <s v="ORD11466"/>
    <x v="526"/>
    <s v="CUST1056"/>
    <s v="Customer 056"/>
    <x v="3"/>
    <s v="Uttar Pradesh"/>
    <x v="2"/>
    <s v="Accessories"/>
    <x v="13"/>
    <n v="4"/>
    <n v="1400"/>
    <x v="1"/>
    <n v="4200"/>
    <n v="3600"/>
    <n v="600"/>
  </r>
  <r>
    <s v="ORD13641"/>
    <x v="527"/>
    <s v="CUST1361"/>
    <s v="Customer 361"/>
    <x v="1"/>
    <s v="Telangana"/>
    <x v="0"/>
    <s v="Paper"/>
    <x v="3"/>
    <n v="4"/>
    <n v="520"/>
    <x v="3"/>
    <n v="1768"/>
    <n v="1320"/>
    <n v="448"/>
  </r>
  <r>
    <s v="ORD11679"/>
    <x v="528"/>
    <s v="CUST1463"/>
    <s v="Customer 463"/>
    <x v="1"/>
    <s v="Andhra Pradesh"/>
    <x v="3"/>
    <s v="Chairs"/>
    <x v="12"/>
    <n v="3"/>
    <n v="7500"/>
    <x v="3"/>
    <n v="19125"/>
    <n v="15600"/>
    <n v="3525"/>
  </r>
  <r>
    <s v="ORD12817"/>
    <x v="529"/>
    <s v="CUST1337"/>
    <s v="Customer 337"/>
    <x v="1"/>
    <s v="Andhra Pradesh"/>
    <x v="0"/>
    <s v="Stationery"/>
    <x v="10"/>
    <n v="4"/>
    <n v="280"/>
    <x v="3"/>
    <n v="952"/>
    <n v="640"/>
    <n v="312"/>
  </r>
  <r>
    <s v="ORD10757"/>
    <x v="530"/>
    <s v="CUST1369"/>
    <s v="Customer 369"/>
    <x v="3"/>
    <s v="Punjab"/>
    <x v="2"/>
    <s v="Accessories"/>
    <x v="13"/>
    <n v="2"/>
    <n v="1400"/>
    <x v="0"/>
    <n v="2520"/>
    <n v="1800"/>
    <n v="720"/>
  </r>
  <r>
    <s v="ORD11700"/>
    <x v="531"/>
    <s v="CUST1481"/>
    <s v="Customer 481"/>
    <x v="2"/>
    <s v="Rajasthan"/>
    <x v="2"/>
    <s v="Audio"/>
    <x v="17"/>
    <n v="3"/>
    <n v="2800"/>
    <x v="3"/>
    <n v="7140"/>
    <n v="5400"/>
    <n v="1740"/>
  </r>
  <r>
    <s v="ORD10415"/>
    <x v="532"/>
    <s v="CUST1009"/>
    <s v="Customer 009"/>
    <x v="2"/>
    <s v="Maharashtra"/>
    <x v="2"/>
    <s v="Accessories"/>
    <x v="9"/>
    <n v="2"/>
    <n v="850"/>
    <x v="2"/>
    <n v="1700"/>
    <n v="1120"/>
    <n v="580"/>
  </r>
  <r>
    <s v="ORD13802"/>
    <x v="533"/>
    <s v="CUST1291"/>
    <s v="Customer 291"/>
    <x v="2"/>
    <s v="Gujarat"/>
    <x v="3"/>
    <s v="Tables"/>
    <x v="16"/>
    <n v="3"/>
    <n v="6200"/>
    <x v="3"/>
    <n v="15810"/>
    <n v="12900"/>
    <n v="2910"/>
  </r>
  <r>
    <s v="ORD12937"/>
    <x v="534"/>
    <s v="CUST1384"/>
    <s v="Customer 384"/>
    <x v="1"/>
    <s v="Andhra Pradesh"/>
    <x v="0"/>
    <s v="Stationery"/>
    <x v="10"/>
    <n v="2"/>
    <n v="280"/>
    <x v="4"/>
    <n v="532"/>
    <n v="320"/>
    <n v="212"/>
  </r>
  <r>
    <s v="ORD12832"/>
    <x v="535"/>
    <s v="CUST1398"/>
    <s v="Customer 398"/>
    <x v="1"/>
    <s v="Andhra Pradesh"/>
    <x v="2"/>
    <s v="Accessories"/>
    <x v="13"/>
    <n v="3"/>
    <n v="1400"/>
    <x v="2"/>
    <n v="4200"/>
    <n v="2700"/>
    <n v="1500"/>
  </r>
  <r>
    <s v="ORD12953"/>
    <x v="536"/>
    <s v="CUST1469"/>
    <s v="Customer 469"/>
    <x v="1"/>
    <s v="Tamil Nadu"/>
    <x v="3"/>
    <s v="Chairs"/>
    <x v="12"/>
    <n v="4"/>
    <n v="7500"/>
    <x v="1"/>
    <n v="22500"/>
    <n v="20800"/>
    <n v="1700"/>
  </r>
  <r>
    <s v="ORD13539"/>
    <x v="537"/>
    <s v="CUST1264"/>
    <s v="Customer 264"/>
    <x v="1"/>
    <s v="Andhra Pradesh"/>
    <x v="0"/>
    <s v="Accessories"/>
    <x v="0"/>
    <n v="4"/>
    <n v="650"/>
    <x v="2"/>
    <n v="2600"/>
    <n v="1560"/>
    <n v="1040"/>
  </r>
  <r>
    <s v="ORD11151"/>
    <x v="538"/>
    <s v="CUST1185"/>
    <s v="Customer 185"/>
    <x v="1"/>
    <s v="Karnataka"/>
    <x v="3"/>
    <s v="Tables"/>
    <x v="16"/>
    <n v="3"/>
    <n v="6200"/>
    <x v="0"/>
    <n v="16740"/>
    <n v="12900"/>
    <n v="3840"/>
  </r>
  <r>
    <s v="ORD13507"/>
    <x v="539"/>
    <s v="CUST1419"/>
    <s v="Customer 419"/>
    <x v="1"/>
    <s v="Kerala"/>
    <x v="3"/>
    <s v="Storage"/>
    <x v="6"/>
    <n v="1"/>
    <n v="5600"/>
    <x v="0"/>
    <n v="5040"/>
    <n v="3900"/>
    <n v="1140"/>
  </r>
  <r>
    <s v="ORD10949"/>
    <x v="540"/>
    <s v="CUST1474"/>
    <s v="Customer 474"/>
    <x v="0"/>
    <s v="Bihar"/>
    <x v="3"/>
    <s v="Storage"/>
    <x v="14"/>
    <n v="5"/>
    <n v="4800"/>
    <x v="0"/>
    <n v="21600"/>
    <n v="16500"/>
    <n v="5100"/>
  </r>
  <r>
    <s v="ORD13279"/>
    <x v="541"/>
    <s v="CUST1497"/>
    <s v="Customer 497"/>
    <x v="1"/>
    <s v="Kerala"/>
    <x v="3"/>
    <s v="Storage"/>
    <x v="14"/>
    <n v="1"/>
    <n v="4800"/>
    <x v="0"/>
    <n v="4320"/>
    <n v="3300"/>
    <n v="1020"/>
  </r>
  <r>
    <s v="ORD11175"/>
    <x v="542"/>
    <s v="CUST1005"/>
    <s v="Customer 005"/>
    <x v="3"/>
    <s v="Delhi"/>
    <x v="1"/>
    <s v="Kitchen"/>
    <x v="2"/>
    <n v="1"/>
    <n v="4200"/>
    <x v="5"/>
    <n v="3360"/>
    <n v="2900"/>
    <n v="460"/>
  </r>
  <r>
    <s v="ORD13291"/>
    <x v="543"/>
    <s v="CUST1202"/>
    <s v="Customer 202"/>
    <x v="1"/>
    <s v="Tamil Nadu"/>
    <x v="1"/>
    <s v="Kitchen"/>
    <x v="1"/>
    <n v="4"/>
    <n v="1900"/>
    <x v="5"/>
    <n v="6080"/>
    <n v="5000"/>
    <n v="1080"/>
  </r>
  <r>
    <s v="ORD10823"/>
    <x v="544"/>
    <s v="CUST1069"/>
    <s v="Customer 069"/>
    <x v="1"/>
    <s v="Karnataka"/>
    <x v="0"/>
    <s v="Stationery"/>
    <x v="15"/>
    <n v="1"/>
    <n v="450"/>
    <x v="5"/>
    <n v="360"/>
    <n v="260"/>
    <n v="100"/>
  </r>
  <r>
    <s v="ORD10243"/>
    <x v="545"/>
    <s v="CUST1048"/>
    <s v="Customer 048"/>
    <x v="1"/>
    <s v="Kerala"/>
    <x v="1"/>
    <s v="Kitchen"/>
    <x v="4"/>
    <n v="4"/>
    <n v="6800"/>
    <x v="0"/>
    <n v="24480"/>
    <n v="18800"/>
    <n v="5680"/>
  </r>
  <r>
    <s v="ORD10946"/>
    <x v="546"/>
    <s v="CUST1060"/>
    <s v="Customer 060"/>
    <x v="1"/>
    <s v="Andhra Pradesh"/>
    <x v="0"/>
    <s v="Paper"/>
    <x v="3"/>
    <n v="2"/>
    <n v="520"/>
    <x v="5"/>
    <n v="832"/>
    <n v="660"/>
    <n v="172"/>
  </r>
  <r>
    <s v="ORD11277"/>
    <x v="547"/>
    <s v="CUST1329"/>
    <s v="Customer 329"/>
    <x v="2"/>
    <s v="Gujarat"/>
    <x v="1"/>
    <s v="Kitchen"/>
    <x v="4"/>
    <n v="2"/>
    <n v="6800"/>
    <x v="2"/>
    <n v="13600"/>
    <n v="9400"/>
    <n v="4200"/>
  </r>
  <r>
    <s v="ORD11503"/>
    <x v="548"/>
    <s v="CUST1115"/>
    <s v="Customer 115"/>
    <x v="1"/>
    <s v="Kerala"/>
    <x v="0"/>
    <s v="Stationery"/>
    <x v="15"/>
    <n v="3"/>
    <n v="450"/>
    <x v="0"/>
    <n v="1215"/>
    <n v="780"/>
    <n v="435"/>
  </r>
  <r>
    <s v="ORD11136"/>
    <x v="549"/>
    <s v="CUST1030"/>
    <s v="Customer 030"/>
    <x v="3"/>
    <s v="Haryana"/>
    <x v="0"/>
    <s v="Paper"/>
    <x v="3"/>
    <n v="3"/>
    <n v="520"/>
    <x v="3"/>
    <n v="1326"/>
    <n v="990"/>
    <n v="336"/>
  </r>
  <r>
    <s v="ORD11399"/>
    <x v="550"/>
    <s v="CUST1013"/>
    <s v="Customer 013"/>
    <x v="3"/>
    <s v="Haryana"/>
    <x v="0"/>
    <s v="Stationery"/>
    <x v="18"/>
    <n v="1"/>
    <n v="300"/>
    <x v="5"/>
    <n v="240"/>
    <n v="170"/>
    <n v="70"/>
  </r>
  <r>
    <s v="ORD11240"/>
    <x v="551"/>
    <s v="CUST1021"/>
    <s v="Customer 021"/>
    <x v="1"/>
    <s v="Karnataka"/>
    <x v="1"/>
    <s v="Appliances"/>
    <x v="7"/>
    <n v="4"/>
    <n v="2400"/>
    <x v="3"/>
    <n v="8160"/>
    <n v="6600"/>
    <n v="1560"/>
  </r>
  <r>
    <s v="ORD13292"/>
    <x v="552"/>
    <s v="CUST1232"/>
    <s v="Customer 232"/>
    <x v="2"/>
    <s v="Gujarat"/>
    <x v="3"/>
    <s v="Storage"/>
    <x v="6"/>
    <n v="1"/>
    <n v="5600"/>
    <x v="0"/>
    <n v="5040"/>
    <n v="3900"/>
    <n v="1140"/>
  </r>
  <r>
    <s v="ORD13791"/>
    <x v="553"/>
    <s v="CUST1057"/>
    <s v="Customer 057"/>
    <x v="3"/>
    <s v="Uttar Pradesh"/>
    <x v="0"/>
    <s v="Paper"/>
    <x v="3"/>
    <n v="3"/>
    <n v="520"/>
    <x v="0"/>
    <n v="1404"/>
    <n v="990"/>
    <n v="414"/>
  </r>
  <r>
    <s v="ORD10099"/>
    <x v="554"/>
    <s v="CUST1319"/>
    <s v="Customer 319"/>
    <x v="1"/>
    <s v="Kerala"/>
    <x v="3"/>
    <s v="Storage"/>
    <x v="14"/>
    <n v="4"/>
    <n v="4800"/>
    <x v="3"/>
    <n v="16320"/>
    <n v="13200"/>
    <n v="3120"/>
  </r>
  <r>
    <s v="ORD11483"/>
    <x v="555"/>
    <s v="CUST1145"/>
    <s v="Customer 145"/>
    <x v="3"/>
    <s v="Delhi"/>
    <x v="1"/>
    <s v="Appliances"/>
    <x v="7"/>
    <n v="4"/>
    <n v="2400"/>
    <x v="1"/>
    <n v="7200"/>
    <n v="6600"/>
    <n v="600"/>
  </r>
  <r>
    <s v="ORD10714"/>
    <x v="556"/>
    <s v="CUST1382"/>
    <s v="Customer 382"/>
    <x v="1"/>
    <s v="Karnataka"/>
    <x v="0"/>
    <s v="Stationery"/>
    <x v="18"/>
    <n v="4"/>
    <n v="300"/>
    <x v="0"/>
    <n v="1080"/>
    <n v="680"/>
    <n v="400"/>
  </r>
  <r>
    <s v="ORD12820"/>
    <x v="557"/>
    <s v="CUST1354"/>
    <s v="Customer 354"/>
    <x v="2"/>
    <s v="Maharashtra"/>
    <x v="3"/>
    <s v="Chairs"/>
    <x v="12"/>
    <n v="4"/>
    <n v="7500"/>
    <x v="5"/>
    <n v="24000"/>
    <n v="20800"/>
    <n v="3200"/>
  </r>
  <r>
    <s v="ORD12293"/>
    <x v="558"/>
    <s v="CUST1118"/>
    <s v="Customer 118"/>
    <x v="1"/>
    <s v="Tamil Nadu"/>
    <x v="1"/>
    <s v="Kitchen"/>
    <x v="2"/>
    <n v="1"/>
    <n v="4200"/>
    <x v="0"/>
    <n v="3780"/>
    <n v="2900"/>
    <n v="880"/>
  </r>
  <r>
    <s v="ORD10687"/>
    <x v="559"/>
    <s v="CUST1204"/>
    <s v="Customer 204"/>
    <x v="1"/>
    <s v="Karnataka"/>
    <x v="0"/>
    <s v="Accessories"/>
    <x v="0"/>
    <n v="1"/>
    <n v="650"/>
    <x v="2"/>
    <n v="650"/>
    <n v="390"/>
    <n v="260"/>
  </r>
  <r>
    <s v="ORD11290"/>
    <x v="560"/>
    <s v="CUST1311"/>
    <s v="Customer 311"/>
    <x v="2"/>
    <s v="Goa"/>
    <x v="2"/>
    <s v="Audio"/>
    <x v="5"/>
    <n v="4"/>
    <n v="2200"/>
    <x v="2"/>
    <n v="8800"/>
    <n v="5800"/>
    <n v="3000"/>
  </r>
  <r>
    <s v="ORD11149"/>
    <x v="561"/>
    <s v="CUST1345"/>
    <s v="Customer 345"/>
    <x v="3"/>
    <s v="Punjab"/>
    <x v="3"/>
    <s v="Storage"/>
    <x v="14"/>
    <n v="1"/>
    <n v="4800"/>
    <x v="0"/>
    <n v="4320"/>
    <n v="3300"/>
    <n v="1020"/>
  </r>
  <r>
    <s v="ORD12539"/>
    <x v="562"/>
    <s v="CUST1266"/>
    <s v="Customer 266"/>
    <x v="1"/>
    <s v="Telangana"/>
    <x v="3"/>
    <s v="Storage"/>
    <x v="6"/>
    <n v="2"/>
    <n v="5600"/>
    <x v="0"/>
    <n v="10080"/>
    <n v="7800"/>
    <n v="2280"/>
  </r>
  <r>
    <s v="ORD13675"/>
    <x v="563"/>
    <s v="CUST1324"/>
    <s v="Customer 324"/>
    <x v="2"/>
    <s v="Gujarat"/>
    <x v="2"/>
    <s v="Monitors"/>
    <x v="11"/>
    <n v="3"/>
    <n v="10500"/>
    <x v="4"/>
    <n v="29925"/>
    <n v="22800"/>
    <n v="7125"/>
  </r>
  <r>
    <s v="ORD11118"/>
    <x v="564"/>
    <s v="CUST1294"/>
    <s v="Customer 294"/>
    <x v="3"/>
    <s v="Uttar Pradesh"/>
    <x v="0"/>
    <s v="Accessories"/>
    <x v="0"/>
    <n v="2"/>
    <n v="650"/>
    <x v="4"/>
    <n v="1235"/>
    <n v="780"/>
    <n v="455"/>
  </r>
  <r>
    <s v="ORD12246"/>
    <x v="565"/>
    <s v="CUST1417"/>
    <s v="Customer 417"/>
    <x v="1"/>
    <s v="Andhra Pradesh"/>
    <x v="0"/>
    <s v="Paper"/>
    <x v="3"/>
    <n v="3"/>
    <n v="520"/>
    <x v="2"/>
    <n v="1560"/>
    <n v="990"/>
    <n v="570"/>
  </r>
  <r>
    <s v="ORD12149"/>
    <x v="566"/>
    <s v="CUST1424"/>
    <s v="Customer 424"/>
    <x v="2"/>
    <s v="Maharashtra"/>
    <x v="3"/>
    <s v="Chairs"/>
    <x v="12"/>
    <n v="3"/>
    <n v="7500"/>
    <x v="2"/>
    <n v="22500"/>
    <n v="15600"/>
    <n v="6900"/>
  </r>
  <r>
    <s v="ORD12174"/>
    <x v="567"/>
    <s v="CUST1383"/>
    <s v="Customer 383"/>
    <x v="1"/>
    <s v="Telangana"/>
    <x v="2"/>
    <s v="Audio"/>
    <x v="5"/>
    <n v="3"/>
    <n v="2200"/>
    <x v="0"/>
    <n v="5940"/>
    <n v="4350"/>
    <n v="1590"/>
  </r>
  <r>
    <s v="ORD10321"/>
    <x v="568"/>
    <s v="CUST1161"/>
    <s v="Customer 161"/>
    <x v="1"/>
    <s v="Tamil Nadu"/>
    <x v="2"/>
    <s v="Accessories"/>
    <x v="9"/>
    <n v="4"/>
    <n v="850"/>
    <x v="5"/>
    <n v="2720"/>
    <n v="2240"/>
    <n v="480"/>
  </r>
  <r>
    <s v="ORD12320"/>
    <x v="569"/>
    <s v="CUST1388"/>
    <s v="Customer 388"/>
    <x v="1"/>
    <s v="Tamil Nadu"/>
    <x v="3"/>
    <s v="Chairs"/>
    <x v="12"/>
    <n v="3"/>
    <n v="7500"/>
    <x v="4"/>
    <n v="21375"/>
    <n v="15600"/>
    <n v="5775"/>
  </r>
  <r>
    <s v="ORD10874"/>
    <x v="570"/>
    <s v="CUST1063"/>
    <s v="Customer 063"/>
    <x v="1"/>
    <s v="Kerala"/>
    <x v="0"/>
    <s v="Stationery"/>
    <x v="15"/>
    <n v="3"/>
    <n v="450"/>
    <x v="0"/>
    <n v="1215"/>
    <n v="780"/>
    <n v="435"/>
  </r>
  <r>
    <s v="ORD11984"/>
    <x v="571"/>
    <s v="CUST1376"/>
    <s v="Customer 376"/>
    <x v="1"/>
    <s v="Karnataka"/>
    <x v="0"/>
    <s v="Stationery"/>
    <x v="10"/>
    <n v="2"/>
    <n v="280"/>
    <x v="0"/>
    <n v="504"/>
    <n v="320"/>
    <n v="184"/>
  </r>
  <r>
    <s v="ORD12995"/>
    <x v="572"/>
    <s v="CUST1386"/>
    <s v="Customer 386"/>
    <x v="2"/>
    <s v="Goa"/>
    <x v="1"/>
    <s v="Kitchen"/>
    <x v="4"/>
    <n v="2"/>
    <n v="6800"/>
    <x v="0"/>
    <n v="12240"/>
    <n v="9400"/>
    <n v="2840"/>
  </r>
  <r>
    <s v="ORD11935"/>
    <x v="573"/>
    <s v="CUST1074"/>
    <s v="Customer 074"/>
    <x v="2"/>
    <s v="Rajasthan"/>
    <x v="1"/>
    <s v="Kitchen"/>
    <x v="2"/>
    <n v="4"/>
    <n v="4200"/>
    <x v="3"/>
    <n v="14280"/>
    <n v="11600"/>
    <n v="2680"/>
  </r>
  <r>
    <s v="ORD13222"/>
    <x v="574"/>
    <s v="CUST1127"/>
    <s v="Customer 127"/>
    <x v="2"/>
    <s v="Rajasthan"/>
    <x v="0"/>
    <s v="Stationery"/>
    <x v="18"/>
    <n v="1"/>
    <n v="300"/>
    <x v="4"/>
    <n v="285"/>
    <n v="170"/>
    <n v="115"/>
  </r>
  <r>
    <s v="ORD13225"/>
    <x v="575"/>
    <s v="CUST1305"/>
    <s v="Customer 305"/>
    <x v="2"/>
    <s v="Maharashtra"/>
    <x v="2"/>
    <s v="Accessories"/>
    <x v="13"/>
    <n v="2"/>
    <n v="1400"/>
    <x v="3"/>
    <n v="2380"/>
    <n v="1800"/>
    <n v="580"/>
  </r>
  <r>
    <s v="ORD13433"/>
    <x v="576"/>
    <s v="CUST1104"/>
    <s v="Customer 104"/>
    <x v="2"/>
    <s v="Maharashtra"/>
    <x v="0"/>
    <s v="Stationery"/>
    <x v="15"/>
    <n v="5"/>
    <n v="450"/>
    <x v="2"/>
    <n v="2250"/>
    <n v="1300"/>
    <n v="950"/>
  </r>
  <r>
    <s v="ORD11730"/>
    <x v="577"/>
    <s v="CUST1053"/>
    <s v="Customer 053"/>
    <x v="3"/>
    <s v="Haryana"/>
    <x v="1"/>
    <s v="Kitchen"/>
    <x v="4"/>
    <n v="5"/>
    <n v="6800"/>
    <x v="3"/>
    <n v="28900"/>
    <n v="23500"/>
    <n v="5400"/>
  </r>
  <r>
    <s v="ORD10724"/>
    <x v="578"/>
    <s v="CUST1060"/>
    <s v="Customer 060"/>
    <x v="1"/>
    <s v="Telangana"/>
    <x v="0"/>
    <s v="Stationery"/>
    <x v="10"/>
    <n v="2"/>
    <n v="280"/>
    <x v="5"/>
    <n v="448"/>
    <n v="320"/>
    <n v="128"/>
  </r>
  <r>
    <s v="ORD12398"/>
    <x v="579"/>
    <s v="CUST1145"/>
    <s v="Customer 145"/>
    <x v="3"/>
    <s v="Haryana"/>
    <x v="3"/>
    <s v="Chairs"/>
    <x v="12"/>
    <n v="2"/>
    <n v="7500"/>
    <x v="1"/>
    <n v="11250"/>
    <n v="10400"/>
    <n v="850"/>
  </r>
  <r>
    <s v="ORD11728"/>
    <x v="580"/>
    <s v="CUST1285"/>
    <s v="Customer 285"/>
    <x v="1"/>
    <s v="Karnataka"/>
    <x v="2"/>
    <s v="Accessories"/>
    <x v="9"/>
    <n v="1"/>
    <n v="850"/>
    <x v="4"/>
    <n v="807.5"/>
    <n v="560"/>
    <n v="247.5"/>
  </r>
  <r>
    <s v="ORD10383"/>
    <x v="581"/>
    <s v="CUST1474"/>
    <s v="Customer 474"/>
    <x v="1"/>
    <s v="Karnataka"/>
    <x v="2"/>
    <s v="Accessories"/>
    <x v="13"/>
    <n v="4"/>
    <n v="1400"/>
    <x v="4"/>
    <n v="5320"/>
    <n v="3600"/>
    <n v="1720"/>
  </r>
  <r>
    <s v="ORD10219"/>
    <x v="582"/>
    <s v="CUST1224"/>
    <s v="Customer 224"/>
    <x v="0"/>
    <s v="Jharkhand"/>
    <x v="3"/>
    <s v="Chairs"/>
    <x v="12"/>
    <n v="4"/>
    <n v="7500"/>
    <x v="0"/>
    <n v="27000"/>
    <n v="20800"/>
    <n v="6200"/>
  </r>
  <r>
    <s v="ORD11993"/>
    <x v="583"/>
    <s v="CUST1144"/>
    <s v="Customer 144"/>
    <x v="1"/>
    <s v="Andhra Pradesh"/>
    <x v="3"/>
    <s v="Storage"/>
    <x v="6"/>
    <n v="1"/>
    <n v="5600"/>
    <x v="3"/>
    <n v="4760"/>
    <n v="3900"/>
    <n v="860"/>
  </r>
  <r>
    <s v="ORD11089"/>
    <x v="584"/>
    <s v="CUST1326"/>
    <s v="Customer 326"/>
    <x v="2"/>
    <s v="Goa"/>
    <x v="3"/>
    <s v="Tables"/>
    <x v="16"/>
    <n v="2"/>
    <n v="6200"/>
    <x v="4"/>
    <n v="11780"/>
    <n v="8600"/>
    <n v="3180"/>
  </r>
  <r>
    <s v="ORD12504"/>
    <x v="585"/>
    <s v="CUST1054"/>
    <s v="Customer 054"/>
    <x v="2"/>
    <s v="Goa"/>
    <x v="0"/>
    <s v="Stationery"/>
    <x v="15"/>
    <n v="5"/>
    <n v="450"/>
    <x v="1"/>
    <n v="1687.5"/>
    <n v="1300"/>
    <n v="387.5"/>
  </r>
  <r>
    <s v="ORD10122"/>
    <x v="586"/>
    <s v="CUST1335"/>
    <s v="Customer 335"/>
    <x v="1"/>
    <s v="Telangana"/>
    <x v="0"/>
    <s v="Stationery"/>
    <x v="15"/>
    <n v="3"/>
    <n v="450"/>
    <x v="4"/>
    <n v="1282.5"/>
    <n v="780"/>
    <n v="502.5"/>
  </r>
  <r>
    <s v="ORD12363"/>
    <x v="587"/>
    <s v="CUST1481"/>
    <s v="Customer 481"/>
    <x v="2"/>
    <s v="Rajasthan"/>
    <x v="2"/>
    <s v="Accessories"/>
    <x v="9"/>
    <n v="3"/>
    <n v="850"/>
    <x v="5"/>
    <n v="2040"/>
    <n v="1680"/>
    <n v="360"/>
  </r>
  <r>
    <s v="ORD11060"/>
    <x v="588"/>
    <s v="CUST1156"/>
    <s v="Customer 156"/>
    <x v="1"/>
    <s v="Tamil Nadu"/>
    <x v="1"/>
    <s v="Kitchen"/>
    <x v="1"/>
    <n v="1"/>
    <n v="1900"/>
    <x v="4"/>
    <n v="1805"/>
    <n v="1250"/>
    <n v="555"/>
  </r>
  <r>
    <s v="ORD13838"/>
    <x v="589"/>
    <s v="CUST1300"/>
    <s v="Customer 300"/>
    <x v="2"/>
    <s v="Rajasthan"/>
    <x v="1"/>
    <s v="Kitchen"/>
    <x v="2"/>
    <n v="3"/>
    <n v="4200"/>
    <x v="5"/>
    <n v="10080"/>
    <n v="8700"/>
    <n v="1380"/>
  </r>
  <r>
    <s v="ORD13880"/>
    <x v="590"/>
    <s v="CUST1022"/>
    <s v="Customer 022"/>
    <x v="1"/>
    <s v="Telangana"/>
    <x v="0"/>
    <s v="Stationery"/>
    <x v="18"/>
    <n v="4"/>
    <n v="300"/>
    <x v="3"/>
    <n v="1020"/>
    <n v="680"/>
    <n v="340"/>
  </r>
  <r>
    <s v="ORD12022"/>
    <x v="591"/>
    <s v="CUST1330"/>
    <s v="Customer 330"/>
    <x v="1"/>
    <s v="Tamil Nadu"/>
    <x v="2"/>
    <s v="Audio"/>
    <x v="5"/>
    <n v="1"/>
    <n v="2200"/>
    <x v="5"/>
    <n v="1760"/>
    <n v="1450"/>
    <n v="310"/>
  </r>
  <r>
    <s v="ORD11329"/>
    <x v="592"/>
    <s v="CUST1338"/>
    <s v="Customer 338"/>
    <x v="2"/>
    <s v="Rajasthan"/>
    <x v="2"/>
    <s v="Accessories"/>
    <x v="9"/>
    <n v="1"/>
    <n v="850"/>
    <x v="4"/>
    <n v="807.5"/>
    <n v="560"/>
    <n v="247.5"/>
  </r>
  <r>
    <s v="ORD13972"/>
    <x v="593"/>
    <s v="CUST1464"/>
    <s v="Customer 464"/>
    <x v="1"/>
    <s v="Karnataka"/>
    <x v="2"/>
    <s v="Audio"/>
    <x v="5"/>
    <n v="2"/>
    <n v="2200"/>
    <x v="2"/>
    <n v="4400"/>
    <n v="2900"/>
    <n v="1500"/>
  </r>
  <r>
    <s v="ORD12305"/>
    <x v="594"/>
    <s v="CUST1458"/>
    <s v="Customer 458"/>
    <x v="1"/>
    <s v="Tamil Nadu"/>
    <x v="1"/>
    <s v="Kitchen"/>
    <x v="2"/>
    <n v="3"/>
    <n v="4200"/>
    <x v="3"/>
    <n v="10710"/>
    <n v="8700"/>
    <n v="2010"/>
  </r>
  <r>
    <s v="ORD10372"/>
    <x v="595"/>
    <s v="CUST1331"/>
    <s v="Customer 331"/>
    <x v="1"/>
    <s v="Telangana"/>
    <x v="3"/>
    <s v="Tables"/>
    <x v="16"/>
    <n v="1"/>
    <n v="6200"/>
    <x v="4"/>
    <n v="5890"/>
    <n v="4300"/>
    <n v="1590"/>
  </r>
  <r>
    <s v="ORD10397"/>
    <x v="596"/>
    <s v="CUST1023"/>
    <s v="Customer 023"/>
    <x v="1"/>
    <s v="Andhra Pradesh"/>
    <x v="3"/>
    <s v="Storage"/>
    <x v="14"/>
    <n v="5"/>
    <n v="4800"/>
    <x v="0"/>
    <n v="21600"/>
    <n v="16500"/>
    <n v="5100"/>
  </r>
  <r>
    <s v="ORD11835"/>
    <x v="597"/>
    <s v="CUST1206"/>
    <s v="Customer 206"/>
    <x v="1"/>
    <s v="Tamil Nadu"/>
    <x v="1"/>
    <s v="Kitchen"/>
    <x v="4"/>
    <n v="5"/>
    <n v="6800"/>
    <x v="3"/>
    <n v="28900"/>
    <n v="23500"/>
    <n v="5400"/>
  </r>
  <r>
    <s v="ORD13789"/>
    <x v="598"/>
    <s v="CUST1489"/>
    <s v="Customer 489"/>
    <x v="3"/>
    <s v="Uttar Pradesh"/>
    <x v="0"/>
    <s v="Paper"/>
    <x v="3"/>
    <n v="4"/>
    <n v="520"/>
    <x v="5"/>
    <n v="1664"/>
    <n v="1320"/>
    <n v="344"/>
  </r>
  <r>
    <s v="ORD12989"/>
    <x v="599"/>
    <s v="CUST1452"/>
    <s v="Customer 452"/>
    <x v="0"/>
    <s v="West Bengal"/>
    <x v="2"/>
    <s v="Accessories"/>
    <x v="13"/>
    <n v="3"/>
    <n v="1400"/>
    <x v="0"/>
    <n v="3780"/>
    <n v="2700"/>
    <n v="1080"/>
  </r>
  <r>
    <s v="ORD10572"/>
    <x v="600"/>
    <s v="CUST1209"/>
    <s v="Customer 209"/>
    <x v="2"/>
    <s v="Goa"/>
    <x v="1"/>
    <s v="Kitchen"/>
    <x v="1"/>
    <n v="4"/>
    <n v="1900"/>
    <x v="3"/>
    <n v="6460"/>
    <n v="5000"/>
    <n v="1460"/>
  </r>
  <r>
    <s v="ORD12576"/>
    <x v="601"/>
    <s v="CUST1165"/>
    <s v="Customer 165"/>
    <x v="1"/>
    <s v="Tamil Nadu"/>
    <x v="0"/>
    <s v="Stationery"/>
    <x v="18"/>
    <n v="4"/>
    <n v="300"/>
    <x v="2"/>
    <n v="1200"/>
    <n v="680"/>
    <n v="520"/>
  </r>
  <r>
    <s v="ORD12575"/>
    <x v="602"/>
    <s v="CUST1387"/>
    <s v="Customer 387"/>
    <x v="3"/>
    <s v="Uttar Pradesh"/>
    <x v="0"/>
    <s v="Stationery"/>
    <x v="15"/>
    <n v="4"/>
    <n v="450"/>
    <x v="0"/>
    <n v="1620"/>
    <n v="1040"/>
    <n v="580"/>
  </r>
  <r>
    <s v="ORD13329"/>
    <x v="603"/>
    <s v="CUST1197"/>
    <s v="Customer 197"/>
    <x v="2"/>
    <s v="Gujarat"/>
    <x v="1"/>
    <s v="Appliances"/>
    <x v="7"/>
    <n v="2"/>
    <n v="2400"/>
    <x v="0"/>
    <n v="4320"/>
    <n v="3300"/>
    <n v="1020"/>
  </r>
  <r>
    <s v="ORD13715"/>
    <x v="604"/>
    <s v="CUST1363"/>
    <s v="Customer 363"/>
    <x v="1"/>
    <s v="Karnataka"/>
    <x v="1"/>
    <s v="Appliances"/>
    <x v="7"/>
    <n v="2"/>
    <n v="2400"/>
    <x v="3"/>
    <n v="4080"/>
    <n v="3300"/>
    <n v="780"/>
  </r>
  <r>
    <s v="ORD13915"/>
    <x v="605"/>
    <s v="CUST1395"/>
    <s v="Customer 395"/>
    <x v="1"/>
    <s v="Kerala"/>
    <x v="1"/>
    <s v="Kitchen"/>
    <x v="1"/>
    <n v="5"/>
    <n v="1900"/>
    <x v="2"/>
    <n v="9500"/>
    <n v="6250"/>
    <n v="3250"/>
  </r>
  <r>
    <s v="ORD13000"/>
    <x v="606"/>
    <s v="CUST1332"/>
    <s v="Customer 332"/>
    <x v="2"/>
    <s v="Maharashtra"/>
    <x v="1"/>
    <s v="Kitchen"/>
    <x v="4"/>
    <n v="2"/>
    <n v="6800"/>
    <x v="4"/>
    <n v="12920"/>
    <n v="9400"/>
    <n v="3520"/>
  </r>
  <r>
    <s v="ORD10722"/>
    <x v="607"/>
    <s v="CUST1466"/>
    <s v="Customer 466"/>
    <x v="3"/>
    <s v="Punjab"/>
    <x v="3"/>
    <s v="Chairs"/>
    <x v="12"/>
    <n v="2"/>
    <n v="7500"/>
    <x v="3"/>
    <n v="12750"/>
    <n v="10400"/>
    <n v="2350"/>
  </r>
  <r>
    <s v="ORD12599"/>
    <x v="608"/>
    <s v="CUST1485"/>
    <s v="Customer 485"/>
    <x v="1"/>
    <s v="Karnataka"/>
    <x v="2"/>
    <s v="Audio"/>
    <x v="5"/>
    <n v="4"/>
    <n v="2200"/>
    <x v="3"/>
    <n v="7480"/>
    <n v="5800"/>
    <n v="1680"/>
  </r>
  <r>
    <s v="ORD10369"/>
    <x v="609"/>
    <s v="CUST1012"/>
    <s v="Customer 012"/>
    <x v="1"/>
    <s v="Telangana"/>
    <x v="2"/>
    <s v="Audio"/>
    <x v="17"/>
    <n v="5"/>
    <n v="2800"/>
    <x v="2"/>
    <n v="14000"/>
    <n v="9000"/>
    <n v="5000"/>
  </r>
  <r>
    <s v="ORD12179"/>
    <x v="610"/>
    <s v="CUST1314"/>
    <s v="Customer 314"/>
    <x v="2"/>
    <s v="Rajasthan"/>
    <x v="2"/>
    <s v="Accessories"/>
    <x v="13"/>
    <n v="3"/>
    <n v="1400"/>
    <x v="4"/>
    <n v="3990"/>
    <n v="2700"/>
    <n v="1290"/>
  </r>
  <r>
    <s v="ORD11257"/>
    <x v="611"/>
    <s v="CUST1111"/>
    <s v="Customer 111"/>
    <x v="1"/>
    <s v="Karnataka"/>
    <x v="3"/>
    <s v="Storage"/>
    <x v="6"/>
    <n v="2"/>
    <n v="5600"/>
    <x v="4"/>
    <n v="10640"/>
    <n v="7800"/>
    <n v="2840"/>
  </r>
  <r>
    <s v="ORD13839"/>
    <x v="612"/>
    <s v="CUST1480"/>
    <s v="Customer 480"/>
    <x v="2"/>
    <s v="Gujarat"/>
    <x v="0"/>
    <s v="Stationery"/>
    <x v="15"/>
    <n v="1"/>
    <n v="450"/>
    <x v="0"/>
    <n v="405"/>
    <n v="260"/>
    <n v="145"/>
  </r>
  <r>
    <s v="ORD13384"/>
    <x v="613"/>
    <s v="CUST1457"/>
    <s v="Customer 457"/>
    <x v="1"/>
    <s v="Kerala"/>
    <x v="3"/>
    <s v="Storage"/>
    <x v="14"/>
    <n v="1"/>
    <n v="4800"/>
    <x v="4"/>
    <n v="4560"/>
    <n v="3300"/>
    <n v="1260"/>
  </r>
  <r>
    <s v="ORD12707"/>
    <x v="614"/>
    <s v="CUST1354"/>
    <s v="Customer 354"/>
    <x v="1"/>
    <s v="Telangana"/>
    <x v="1"/>
    <s v="Appliances"/>
    <x v="7"/>
    <n v="2"/>
    <n v="2400"/>
    <x v="3"/>
    <n v="4080"/>
    <n v="3300"/>
    <n v="780"/>
  </r>
  <r>
    <s v="ORD12555"/>
    <x v="615"/>
    <s v="CUST1491"/>
    <s v="Customer 491"/>
    <x v="1"/>
    <s v="Karnataka"/>
    <x v="0"/>
    <s v="Stationery"/>
    <x v="18"/>
    <n v="3"/>
    <n v="300"/>
    <x v="4"/>
    <n v="855"/>
    <n v="510"/>
    <n v="345"/>
  </r>
  <r>
    <s v="ORD12510"/>
    <x v="616"/>
    <s v="CUST1061"/>
    <s v="Customer 061"/>
    <x v="1"/>
    <s v="Kerala"/>
    <x v="0"/>
    <s v="Accessories"/>
    <x v="0"/>
    <n v="4"/>
    <n v="650"/>
    <x v="4"/>
    <n v="2470"/>
    <n v="1560"/>
    <n v="910"/>
  </r>
  <r>
    <s v="ORD11469"/>
    <x v="617"/>
    <s v="CUST1389"/>
    <s v="Customer 389"/>
    <x v="1"/>
    <s v="Kerala"/>
    <x v="3"/>
    <s v="Chairs"/>
    <x v="12"/>
    <n v="3"/>
    <n v="7500"/>
    <x v="3"/>
    <n v="19125"/>
    <n v="15600"/>
    <n v="3525"/>
  </r>
  <r>
    <s v="ORD10343"/>
    <x v="618"/>
    <s v="CUST1311"/>
    <s v="Customer 311"/>
    <x v="3"/>
    <s v="Punjab"/>
    <x v="0"/>
    <s v="Accessories"/>
    <x v="0"/>
    <n v="4"/>
    <n v="650"/>
    <x v="4"/>
    <n v="2470"/>
    <n v="1560"/>
    <n v="910"/>
  </r>
  <r>
    <s v="ORD13569"/>
    <x v="619"/>
    <s v="CUST1378"/>
    <s v="Customer 378"/>
    <x v="1"/>
    <s v="Karnataka"/>
    <x v="3"/>
    <s v="Tables"/>
    <x v="16"/>
    <n v="4"/>
    <n v="6200"/>
    <x v="3"/>
    <n v="21080"/>
    <n v="17200"/>
    <n v="3880"/>
  </r>
  <r>
    <s v="ORD13731"/>
    <x v="620"/>
    <s v="CUST1361"/>
    <s v="Customer 361"/>
    <x v="1"/>
    <s v="Telangana"/>
    <x v="1"/>
    <s v="Kitchen"/>
    <x v="4"/>
    <n v="5"/>
    <n v="6800"/>
    <x v="0"/>
    <n v="30600"/>
    <n v="23500"/>
    <n v="7100"/>
  </r>
  <r>
    <s v="ORD11270"/>
    <x v="621"/>
    <s v="CUST1025"/>
    <s v="Customer 025"/>
    <x v="1"/>
    <s v="Telangana"/>
    <x v="1"/>
    <s v="Kitchen"/>
    <x v="1"/>
    <n v="3"/>
    <n v="1900"/>
    <x v="2"/>
    <n v="5700"/>
    <n v="3750"/>
    <n v="1950"/>
  </r>
  <r>
    <s v="ORD11379"/>
    <x v="622"/>
    <s v="CUST1252"/>
    <s v="Customer 252"/>
    <x v="2"/>
    <s v="Gujarat"/>
    <x v="2"/>
    <s v="Monitors"/>
    <x v="11"/>
    <n v="4"/>
    <n v="10500"/>
    <x v="3"/>
    <n v="35700"/>
    <n v="30400"/>
    <n v="5300"/>
  </r>
  <r>
    <s v="ORD12702"/>
    <x v="623"/>
    <s v="CUST1398"/>
    <s v="Customer 398"/>
    <x v="2"/>
    <s v="Maharashtra"/>
    <x v="3"/>
    <s v="Storage"/>
    <x v="14"/>
    <n v="2"/>
    <n v="4800"/>
    <x v="1"/>
    <n v="7200"/>
    <n v="6600"/>
    <n v="600"/>
  </r>
  <r>
    <s v="ORD13030"/>
    <x v="624"/>
    <s v="CUST1448"/>
    <s v="Customer 448"/>
    <x v="1"/>
    <s v="Telangana"/>
    <x v="1"/>
    <s v="Kitchen"/>
    <x v="1"/>
    <n v="4"/>
    <n v="1900"/>
    <x v="3"/>
    <n v="6460"/>
    <n v="5000"/>
    <n v="1460"/>
  </r>
  <r>
    <s v="ORD11450"/>
    <x v="625"/>
    <s v="CUST1052"/>
    <s v="Customer 052"/>
    <x v="3"/>
    <s v="Punjab"/>
    <x v="3"/>
    <s v="Chairs"/>
    <x v="12"/>
    <n v="5"/>
    <n v="7500"/>
    <x v="1"/>
    <n v="28125"/>
    <n v="26000"/>
    <n v="2125"/>
  </r>
  <r>
    <s v="ORD12806"/>
    <x v="626"/>
    <s v="CUST1485"/>
    <s v="Customer 485"/>
    <x v="3"/>
    <s v="Punjab"/>
    <x v="0"/>
    <s v="Paper"/>
    <x v="3"/>
    <n v="3"/>
    <n v="520"/>
    <x v="1"/>
    <n v="1170"/>
    <n v="990"/>
    <n v="180"/>
  </r>
  <r>
    <s v="ORD13237"/>
    <x v="627"/>
    <s v="CUST1182"/>
    <s v="Customer 182"/>
    <x v="1"/>
    <s v="Tamil Nadu"/>
    <x v="3"/>
    <s v="Tables"/>
    <x v="16"/>
    <n v="4"/>
    <n v="6200"/>
    <x v="0"/>
    <n v="22320"/>
    <n v="17200"/>
    <n v="5120"/>
  </r>
  <r>
    <s v="ORD12688"/>
    <x v="628"/>
    <s v="CUST1283"/>
    <s v="Customer 283"/>
    <x v="2"/>
    <s v="Maharashtra"/>
    <x v="1"/>
    <s v="Kitchen"/>
    <x v="1"/>
    <n v="3"/>
    <n v="1900"/>
    <x v="4"/>
    <n v="5415"/>
    <n v="3750"/>
    <n v="1665"/>
  </r>
  <r>
    <s v="ORD13860"/>
    <x v="629"/>
    <s v="CUST1220"/>
    <s v="Customer 220"/>
    <x v="1"/>
    <s v="Telangana"/>
    <x v="3"/>
    <s v="Storage"/>
    <x v="14"/>
    <n v="4"/>
    <n v="4800"/>
    <x v="1"/>
    <n v="14400"/>
    <n v="13200"/>
    <n v="1200"/>
  </r>
  <r>
    <s v="ORD13352"/>
    <x v="630"/>
    <s v="CUST1470"/>
    <s v="Customer 470"/>
    <x v="3"/>
    <s v="Haryana"/>
    <x v="3"/>
    <s v="Storage"/>
    <x v="6"/>
    <n v="2"/>
    <n v="5600"/>
    <x v="0"/>
    <n v="10080"/>
    <n v="7800"/>
    <n v="2280"/>
  </r>
  <r>
    <s v="ORD12572"/>
    <x v="631"/>
    <s v="CUST1467"/>
    <s v="Customer 467"/>
    <x v="0"/>
    <s v="Jharkhand"/>
    <x v="3"/>
    <s v="Storage"/>
    <x v="14"/>
    <n v="1"/>
    <n v="4800"/>
    <x v="2"/>
    <n v="4800"/>
    <n v="3300"/>
    <n v="1500"/>
  </r>
  <r>
    <s v="ORD13816"/>
    <x v="632"/>
    <s v="CUST1036"/>
    <s v="Customer 036"/>
    <x v="3"/>
    <s v="Uttar Pradesh"/>
    <x v="0"/>
    <s v="Stationery"/>
    <x v="10"/>
    <n v="4"/>
    <n v="280"/>
    <x v="5"/>
    <n v="896"/>
    <n v="640"/>
    <n v="256"/>
  </r>
  <r>
    <s v="ORD13457"/>
    <x v="633"/>
    <s v="CUST1376"/>
    <s v="Customer 376"/>
    <x v="1"/>
    <s v="Andhra Pradesh"/>
    <x v="2"/>
    <s v="Monitors"/>
    <x v="11"/>
    <n v="4"/>
    <n v="10500"/>
    <x v="3"/>
    <n v="35700"/>
    <n v="30400"/>
    <n v="5300"/>
  </r>
  <r>
    <s v="ORD13459"/>
    <x v="634"/>
    <s v="CUST1421"/>
    <s v="Customer 421"/>
    <x v="1"/>
    <s v="Karnataka"/>
    <x v="1"/>
    <s v="Kitchen"/>
    <x v="1"/>
    <n v="1"/>
    <n v="1900"/>
    <x v="3"/>
    <n v="1615"/>
    <n v="1250"/>
    <n v="365"/>
  </r>
  <r>
    <s v="ORD10755"/>
    <x v="635"/>
    <s v="CUST1278"/>
    <s v="Customer 278"/>
    <x v="0"/>
    <s v="Bihar"/>
    <x v="2"/>
    <s v="Audio"/>
    <x v="17"/>
    <n v="3"/>
    <n v="2800"/>
    <x v="2"/>
    <n v="8400"/>
    <n v="5400"/>
    <n v="3000"/>
  </r>
  <r>
    <s v="ORD13061"/>
    <x v="636"/>
    <s v="CUST1125"/>
    <s v="Customer 125"/>
    <x v="1"/>
    <s v="Telangana"/>
    <x v="3"/>
    <s v="Chairs"/>
    <x v="12"/>
    <n v="4"/>
    <n v="7500"/>
    <x v="5"/>
    <n v="24000"/>
    <n v="20800"/>
    <n v="3200"/>
  </r>
  <r>
    <s v="ORD10974"/>
    <x v="637"/>
    <s v="CUST1238"/>
    <s v="Customer 238"/>
    <x v="0"/>
    <s v="Odisha"/>
    <x v="2"/>
    <s v="Accessories"/>
    <x v="13"/>
    <n v="4"/>
    <n v="1400"/>
    <x v="2"/>
    <n v="5600"/>
    <n v="3600"/>
    <n v="2000"/>
  </r>
  <r>
    <s v="ORD11692"/>
    <x v="638"/>
    <s v="CUST1445"/>
    <s v="Customer 445"/>
    <x v="2"/>
    <s v="Maharashtra"/>
    <x v="2"/>
    <s v="Audio"/>
    <x v="17"/>
    <n v="1"/>
    <n v="2800"/>
    <x v="5"/>
    <n v="2240"/>
    <n v="1800"/>
    <n v="440"/>
  </r>
  <r>
    <s v="ORD12837"/>
    <x v="639"/>
    <s v="CUST1483"/>
    <s v="Customer 483"/>
    <x v="1"/>
    <s v="Telangana"/>
    <x v="3"/>
    <s v="Storage"/>
    <x v="6"/>
    <n v="3"/>
    <n v="5600"/>
    <x v="3"/>
    <n v="14280"/>
    <n v="11700"/>
    <n v="2580"/>
  </r>
  <r>
    <s v="ORD10021"/>
    <x v="640"/>
    <s v="CUST1251"/>
    <s v="Customer 251"/>
    <x v="2"/>
    <s v="Gujarat"/>
    <x v="2"/>
    <s v="Monitors"/>
    <x v="11"/>
    <n v="4"/>
    <n v="10500"/>
    <x v="5"/>
    <n v="33600"/>
    <n v="30400"/>
    <n v="3200"/>
  </r>
  <r>
    <s v="ORD12191"/>
    <x v="641"/>
    <s v="CUST1182"/>
    <s v="Customer 182"/>
    <x v="1"/>
    <s v="Tamil Nadu"/>
    <x v="1"/>
    <s v="Kitchen"/>
    <x v="2"/>
    <n v="1"/>
    <n v="4200"/>
    <x v="4"/>
    <n v="3990"/>
    <n v="2900"/>
    <n v="1090"/>
  </r>
  <r>
    <s v="ORD12091"/>
    <x v="642"/>
    <s v="CUST1444"/>
    <s v="Customer 444"/>
    <x v="1"/>
    <s v="Andhra Pradesh"/>
    <x v="0"/>
    <s v="Stationery"/>
    <x v="15"/>
    <n v="3"/>
    <n v="450"/>
    <x v="3"/>
    <n v="1147.5"/>
    <n v="780"/>
    <n v="367.5"/>
  </r>
  <r>
    <s v="ORD10077"/>
    <x v="643"/>
    <s v="CUST1166"/>
    <s v="Customer 166"/>
    <x v="0"/>
    <s v="Bihar"/>
    <x v="2"/>
    <s v="Monitors"/>
    <x v="11"/>
    <n v="4"/>
    <n v="10500"/>
    <x v="0"/>
    <n v="37800"/>
    <n v="30400"/>
    <n v="7400"/>
  </r>
  <r>
    <s v="ORD11597"/>
    <x v="644"/>
    <s v="CUST1330"/>
    <s v="Customer 330"/>
    <x v="3"/>
    <s v="Delhi"/>
    <x v="2"/>
    <s v="Audio"/>
    <x v="5"/>
    <n v="1"/>
    <n v="2200"/>
    <x v="0"/>
    <n v="1980"/>
    <n v="1450"/>
    <n v="530"/>
  </r>
  <r>
    <s v="ORD11914"/>
    <x v="645"/>
    <s v="CUST1389"/>
    <s v="Customer 389"/>
    <x v="1"/>
    <s v="Karnataka"/>
    <x v="2"/>
    <s v="Accessories"/>
    <x v="13"/>
    <n v="1"/>
    <n v="1400"/>
    <x v="3"/>
    <n v="1190"/>
    <n v="900"/>
    <n v="290"/>
  </r>
  <r>
    <s v="ORD12816"/>
    <x v="646"/>
    <s v="CUST1048"/>
    <s v="Customer 048"/>
    <x v="1"/>
    <s v="Kerala"/>
    <x v="2"/>
    <s v="Audio"/>
    <x v="17"/>
    <n v="2"/>
    <n v="2800"/>
    <x v="1"/>
    <n v="4200"/>
    <n v="3600"/>
    <n v="600"/>
  </r>
  <r>
    <s v="ORD10750"/>
    <x v="647"/>
    <s v="CUST1079"/>
    <s v="Customer 079"/>
    <x v="1"/>
    <s v="Karnataka"/>
    <x v="3"/>
    <s v="Chairs"/>
    <x v="12"/>
    <n v="4"/>
    <n v="7500"/>
    <x v="0"/>
    <n v="27000"/>
    <n v="20800"/>
    <n v="6200"/>
  </r>
  <r>
    <s v="ORD10211"/>
    <x v="648"/>
    <s v="CUST1131"/>
    <s v="Customer 131"/>
    <x v="0"/>
    <s v="Jharkhand"/>
    <x v="3"/>
    <s v="Storage"/>
    <x v="6"/>
    <n v="2"/>
    <n v="5600"/>
    <x v="4"/>
    <n v="10640"/>
    <n v="7800"/>
    <n v="2840"/>
  </r>
  <r>
    <s v="ORD13300"/>
    <x v="649"/>
    <s v="CUST1402"/>
    <s v="Customer 402"/>
    <x v="1"/>
    <s v="Telangana"/>
    <x v="0"/>
    <s v="Stationery"/>
    <x v="10"/>
    <n v="4"/>
    <n v="280"/>
    <x v="4"/>
    <n v="1064"/>
    <n v="640"/>
    <n v="424"/>
  </r>
  <r>
    <s v="ORD12520"/>
    <x v="650"/>
    <s v="CUST1499"/>
    <s v="Customer 499"/>
    <x v="1"/>
    <s v="Tamil Nadu"/>
    <x v="1"/>
    <s v="Appliances"/>
    <x v="7"/>
    <n v="4"/>
    <n v="2400"/>
    <x v="3"/>
    <n v="8160"/>
    <n v="6600"/>
    <n v="1560"/>
  </r>
  <r>
    <s v="ORD10888"/>
    <x v="651"/>
    <s v="CUST1097"/>
    <s v="Customer 097"/>
    <x v="0"/>
    <s v="Jharkhand"/>
    <x v="0"/>
    <s v="Paper"/>
    <x v="3"/>
    <n v="5"/>
    <n v="520"/>
    <x v="4"/>
    <n v="2470"/>
    <n v="1650"/>
    <n v="820"/>
  </r>
  <r>
    <s v="ORD13350"/>
    <x v="652"/>
    <s v="CUST1391"/>
    <s v="Customer 391"/>
    <x v="1"/>
    <s v="Kerala"/>
    <x v="1"/>
    <s v="Kitchen"/>
    <x v="4"/>
    <n v="4"/>
    <n v="6800"/>
    <x v="4"/>
    <n v="25840"/>
    <n v="18800"/>
    <n v="7040"/>
  </r>
  <r>
    <s v="ORD12779"/>
    <x v="653"/>
    <s v="CUST1195"/>
    <s v="Customer 195"/>
    <x v="1"/>
    <s v="Kerala"/>
    <x v="0"/>
    <s v="Paper"/>
    <x v="3"/>
    <n v="4"/>
    <n v="520"/>
    <x v="4"/>
    <n v="1976"/>
    <n v="1320"/>
    <n v="656"/>
  </r>
  <r>
    <s v="ORD11009"/>
    <x v="654"/>
    <s v="CUST1367"/>
    <s v="Customer 367"/>
    <x v="1"/>
    <s v="Andhra Pradesh"/>
    <x v="0"/>
    <s v="Stationery"/>
    <x v="15"/>
    <n v="3"/>
    <n v="450"/>
    <x v="2"/>
    <n v="1350"/>
    <n v="780"/>
    <n v="570"/>
  </r>
  <r>
    <s v="ORD13466"/>
    <x v="655"/>
    <s v="CUST1375"/>
    <s v="Customer 375"/>
    <x v="3"/>
    <s v="Punjab"/>
    <x v="0"/>
    <s v="Stationery"/>
    <x v="10"/>
    <n v="4"/>
    <n v="280"/>
    <x v="4"/>
    <n v="1064"/>
    <n v="640"/>
    <n v="424"/>
  </r>
  <r>
    <s v="ORD11786"/>
    <x v="656"/>
    <s v="CUST1122"/>
    <s v="Customer 122"/>
    <x v="0"/>
    <s v="West Bengal"/>
    <x v="0"/>
    <s v="Paper"/>
    <x v="3"/>
    <n v="2"/>
    <n v="520"/>
    <x v="4"/>
    <n v="988"/>
    <n v="660"/>
    <n v="328"/>
  </r>
  <r>
    <s v="ORD10595"/>
    <x v="657"/>
    <s v="CUST1161"/>
    <s v="Customer 161"/>
    <x v="1"/>
    <s v="Andhra Pradesh"/>
    <x v="2"/>
    <s v="Accessories"/>
    <x v="8"/>
    <n v="5"/>
    <n v="1800"/>
    <x v="2"/>
    <n v="9000"/>
    <n v="5500"/>
    <n v="3500"/>
  </r>
  <r>
    <s v="ORD12530"/>
    <x v="658"/>
    <s v="CUST1289"/>
    <s v="Customer 289"/>
    <x v="2"/>
    <s v="Goa"/>
    <x v="3"/>
    <s v="Chairs"/>
    <x v="12"/>
    <n v="4"/>
    <n v="7500"/>
    <x v="1"/>
    <n v="22500"/>
    <n v="20800"/>
    <n v="1700"/>
  </r>
  <r>
    <s v="ORD11725"/>
    <x v="659"/>
    <s v="CUST1267"/>
    <s v="Customer 267"/>
    <x v="3"/>
    <s v="Punjab"/>
    <x v="0"/>
    <s v="Stationery"/>
    <x v="18"/>
    <n v="4"/>
    <n v="300"/>
    <x v="4"/>
    <n v="1140"/>
    <n v="680"/>
    <n v="460"/>
  </r>
  <r>
    <s v="ORD12012"/>
    <x v="660"/>
    <s v="CUST1197"/>
    <s v="Customer 197"/>
    <x v="1"/>
    <s v="Kerala"/>
    <x v="3"/>
    <s v="Storage"/>
    <x v="14"/>
    <n v="1"/>
    <n v="4800"/>
    <x v="5"/>
    <n v="3840"/>
    <n v="3300"/>
    <n v="540"/>
  </r>
  <r>
    <s v="ORD10217"/>
    <x v="661"/>
    <s v="CUST1040"/>
    <s v="Customer 040"/>
    <x v="1"/>
    <s v="Tamil Nadu"/>
    <x v="1"/>
    <s v="Kitchen"/>
    <x v="2"/>
    <n v="3"/>
    <n v="4200"/>
    <x v="3"/>
    <n v="10710"/>
    <n v="8700"/>
    <n v="2010"/>
  </r>
  <r>
    <s v="ORD13875"/>
    <x v="662"/>
    <s v="CUST1311"/>
    <s v="Customer 311"/>
    <x v="1"/>
    <s v="Telangana"/>
    <x v="3"/>
    <s v="Tables"/>
    <x v="16"/>
    <n v="2"/>
    <n v="6200"/>
    <x v="4"/>
    <n v="11780"/>
    <n v="8600"/>
    <n v="3180"/>
  </r>
  <r>
    <s v="ORD11845"/>
    <x v="663"/>
    <s v="CUST1372"/>
    <s v="Customer 372"/>
    <x v="0"/>
    <s v="Bihar"/>
    <x v="2"/>
    <s v="Audio"/>
    <x v="17"/>
    <n v="2"/>
    <n v="2800"/>
    <x v="1"/>
    <n v="4200"/>
    <n v="3600"/>
    <n v="600"/>
  </r>
  <r>
    <s v="ORD12146"/>
    <x v="664"/>
    <s v="CUST1222"/>
    <s v="Customer 222"/>
    <x v="1"/>
    <s v="Karnataka"/>
    <x v="1"/>
    <s v="Kitchen"/>
    <x v="4"/>
    <n v="1"/>
    <n v="6800"/>
    <x v="3"/>
    <n v="5780"/>
    <n v="4700"/>
    <n v="1080"/>
  </r>
  <r>
    <s v="ORD13163"/>
    <x v="665"/>
    <s v="CUST1081"/>
    <s v="Customer 081"/>
    <x v="1"/>
    <s v="Telangana"/>
    <x v="2"/>
    <s v="Audio"/>
    <x v="5"/>
    <n v="1"/>
    <n v="2200"/>
    <x v="0"/>
    <n v="1980"/>
    <n v="1450"/>
    <n v="530"/>
  </r>
  <r>
    <s v="ORD12023"/>
    <x v="666"/>
    <s v="CUST1330"/>
    <s v="Customer 330"/>
    <x v="1"/>
    <s v="Andhra Pradesh"/>
    <x v="2"/>
    <s v="Accessories"/>
    <x v="8"/>
    <n v="5"/>
    <n v="1800"/>
    <x v="4"/>
    <n v="8550"/>
    <n v="5500"/>
    <n v="3050"/>
  </r>
  <r>
    <s v="ORD11883"/>
    <x v="667"/>
    <s v="CUST1089"/>
    <s v="Customer 089"/>
    <x v="3"/>
    <s v="Uttar Pradesh"/>
    <x v="0"/>
    <s v="Stationery"/>
    <x v="15"/>
    <n v="1"/>
    <n v="450"/>
    <x v="2"/>
    <n v="450"/>
    <n v="260"/>
    <n v="190"/>
  </r>
  <r>
    <s v="ORD10556"/>
    <x v="668"/>
    <s v="CUST1253"/>
    <s v="Customer 253"/>
    <x v="3"/>
    <s v="Haryana"/>
    <x v="2"/>
    <s v="Audio"/>
    <x v="17"/>
    <n v="5"/>
    <n v="2800"/>
    <x v="5"/>
    <n v="11200"/>
    <n v="9000"/>
    <n v="2200"/>
  </r>
  <r>
    <s v="ORD12258"/>
    <x v="669"/>
    <s v="CUST1327"/>
    <s v="Customer 327"/>
    <x v="2"/>
    <s v="Rajasthan"/>
    <x v="3"/>
    <s v="Storage"/>
    <x v="14"/>
    <n v="2"/>
    <n v="4800"/>
    <x v="0"/>
    <n v="8640"/>
    <n v="6600"/>
    <n v="2040"/>
  </r>
  <r>
    <s v="ORD11429"/>
    <x v="670"/>
    <s v="CUST1134"/>
    <s v="Customer 134"/>
    <x v="0"/>
    <s v="West Bengal"/>
    <x v="0"/>
    <s v="Accessories"/>
    <x v="0"/>
    <n v="5"/>
    <n v="650"/>
    <x v="0"/>
    <n v="2925"/>
    <n v="1950"/>
    <n v="975"/>
  </r>
  <r>
    <s v="ORD12128"/>
    <x v="671"/>
    <s v="CUST1313"/>
    <s v="Customer 313"/>
    <x v="2"/>
    <s v="Maharashtra"/>
    <x v="1"/>
    <s v="Appliances"/>
    <x v="7"/>
    <n v="3"/>
    <n v="2400"/>
    <x v="0"/>
    <n v="6480"/>
    <n v="4950"/>
    <n v="1530"/>
  </r>
  <r>
    <s v="ORD10284"/>
    <x v="672"/>
    <s v="CUST1246"/>
    <s v="Customer 246"/>
    <x v="3"/>
    <s v="Delhi"/>
    <x v="3"/>
    <s v="Storage"/>
    <x v="14"/>
    <n v="2"/>
    <n v="4800"/>
    <x v="0"/>
    <n v="8640"/>
    <n v="6600"/>
    <n v="2040"/>
  </r>
  <r>
    <s v="ORD12380"/>
    <x v="673"/>
    <s v="CUST1327"/>
    <s v="Customer 327"/>
    <x v="1"/>
    <s v="Telangana"/>
    <x v="2"/>
    <s v="Monitors"/>
    <x v="11"/>
    <n v="1"/>
    <n v="10500"/>
    <x v="0"/>
    <n v="9450"/>
    <n v="7600"/>
    <n v="1850"/>
  </r>
  <r>
    <s v="ORD13010"/>
    <x v="674"/>
    <s v="CUST1407"/>
    <s v="Customer 407"/>
    <x v="1"/>
    <s v="Kerala"/>
    <x v="1"/>
    <s v="Kitchen"/>
    <x v="1"/>
    <n v="2"/>
    <n v="1900"/>
    <x v="3"/>
    <n v="3230"/>
    <n v="2500"/>
    <n v="730"/>
  </r>
  <r>
    <s v="ORD12327"/>
    <x v="675"/>
    <s v="CUST1172"/>
    <s v="Customer 172"/>
    <x v="1"/>
    <s v="Kerala"/>
    <x v="2"/>
    <s v="Accessories"/>
    <x v="9"/>
    <n v="1"/>
    <n v="850"/>
    <x v="2"/>
    <n v="850"/>
    <n v="560"/>
    <n v="290"/>
  </r>
  <r>
    <s v="ORD11888"/>
    <x v="676"/>
    <s v="CUST1207"/>
    <s v="Customer 207"/>
    <x v="3"/>
    <s v="Haryana"/>
    <x v="0"/>
    <s v="Stationery"/>
    <x v="18"/>
    <n v="5"/>
    <n v="300"/>
    <x v="3"/>
    <n v="1275"/>
    <n v="850"/>
    <n v="425"/>
  </r>
  <r>
    <s v="ORD10624"/>
    <x v="677"/>
    <s v="CUST1209"/>
    <s v="Customer 209"/>
    <x v="0"/>
    <s v="Jharkhand"/>
    <x v="0"/>
    <s v="Stationery"/>
    <x v="10"/>
    <n v="4"/>
    <n v="280"/>
    <x v="0"/>
    <n v="1008"/>
    <n v="640"/>
    <n v="368"/>
  </r>
  <r>
    <s v="ORD12066"/>
    <x v="678"/>
    <s v="CUST1255"/>
    <s v="Customer 255"/>
    <x v="3"/>
    <s v="Delhi"/>
    <x v="1"/>
    <s v="Kitchen"/>
    <x v="1"/>
    <n v="3"/>
    <n v="1900"/>
    <x v="3"/>
    <n v="4845"/>
    <n v="3750"/>
    <n v="1095"/>
  </r>
  <r>
    <s v="ORD13904"/>
    <x v="679"/>
    <s v="CUST1007"/>
    <s v="Customer 007"/>
    <x v="3"/>
    <s v="Haryana"/>
    <x v="2"/>
    <s v="Monitors"/>
    <x v="11"/>
    <n v="4"/>
    <n v="10500"/>
    <x v="5"/>
    <n v="33600"/>
    <n v="30400"/>
    <n v="3200"/>
  </r>
  <r>
    <s v="ORD13794"/>
    <x v="680"/>
    <s v="CUST1328"/>
    <s v="Customer 328"/>
    <x v="1"/>
    <s v="Kerala"/>
    <x v="2"/>
    <s v="Audio"/>
    <x v="5"/>
    <n v="5"/>
    <n v="2200"/>
    <x v="1"/>
    <n v="8250"/>
    <n v="7250"/>
    <n v="1000"/>
  </r>
  <r>
    <s v="ORD12071"/>
    <x v="681"/>
    <s v="CUST1095"/>
    <s v="Customer 095"/>
    <x v="1"/>
    <s v="Kerala"/>
    <x v="3"/>
    <s v="Storage"/>
    <x v="6"/>
    <n v="3"/>
    <n v="5600"/>
    <x v="4"/>
    <n v="15960"/>
    <n v="11700"/>
    <n v="4260"/>
  </r>
  <r>
    <s v="ORD11422"/>
    <x v="682"/>
    <s v="CUST1498"/>
    <s v="Customer 498"/>
    <x v="1"/>
    <s v="Tamil Nadu"/>
    <x v="2"/>
    <s v="Audio"/>
    <x v="17"/>
    <n v="1"/>
    <n v="2800"/>
    <x v="3"/>
    <n v="2380"/>
    <n v="1800"/>
    <n v="580"/>
  </r>
  <r>
    <s v="ORD10656"/>
    <x v="683"/>
    <s v="CUST1267"/>
    <s v="Customer 267"/>
    <x v="0"/>
    <s v="Bihar"/>
    <x v="2"/>
    <s v="Accessories"/>
    <x v="9"/>
    <n v="4"/>
    <n v="850"/>
    <x v="3"/>
    <n v="2890"/>
    <n v="2240"/>
    <n v="650"/>
  </r>
  <r>
    <s v="ORD10564"/>
    <x v="684"/>
    <s v="CUST1091"/>
    <s v="Customer 091"/>
    <x v="2"/>
    <s v="Gujarat"/>
    <x v="2"/>
    <s v="Accessories"/>
    <x v="8"/>
    <n v="5"/>
    <n v="1800"/>
    <x v="2"/>
    <n v="9000"/>
    <n v="5500"/>
    <n v="3500"/>
  </r>
  <r>
    <s v="ORD13492"/>
    <x v="685"/>
    <s v="CUST1318"/>
    <s v="Customer 318"/>
    <x v="2"/>
    <s v="Goa"/>
    <x v="2"/>
    <s v="Accessories"/>
    <x v="8"/>
    <n v="4"/>
    <n v="1800"/>
    <x v="0"/>
    <n v="6480"/>
    <n v="4400"/>
    <n v="2080"/>
  </r>
  <r>
    <s v="ORD13705"/>
    <x v="686"/>
    <s v="CUST1473"/>
    <s v="Customer 473"/>
    <x v="2"/>
    <s v="Maharashtra"/>
    <x v="2"/>
    <s v="Audio"/>
    <x v="17"/>
    <n v="4"/>
    <n v="2800"/>
    <x v="4"/>
    <n v="10640"/>
    <n v="7200"/>
    <n v="3440"/>
  </r>
  <r>
    <s v="ORD11241"/>
    <x v="687"/>
    <s v="CUST1255"/>
    <s v="Customer 255"/>
    <x v="0"/>
    <s v="Bihar"/>
    <x v="2"/>
    <s v="Audio"/>
    <x v="17"/>
    <n v="1"/>
    <n v="2800"/>
    <x v="3"/>
    <n v="2380"/>
    <n v="1800"/>
    <n v="580"/>
  </r>
  <r>
    <s v="ORD11901"/>
    <x v="688"/>
    <s v="CUST1268"/>
    <s v="Customer 268"/>
    <x v="1"/>
    <s v="Andhra Pradesh"/>
    <x v="2"/>
    <s v="Accessories"/>
    <x v="8"/>
    <n v="2"/>
    <n v="1800"/>
    <x v="4"/>
    <n v="3420"/>
    <n v="2200"/>
    <n v="1220"/>
  </r>
  <r>
    <s v="ORD12940"/>
    <x v="689"/>
    <s v="CUST1085"/>
    <s v="Customer 085"/>
    <x v="1"/>
    <s v="Kerala"/>
    <x v="1"/>
    <s v="Kitchen"/>
    <x v="1"/>
    <n v="2"/>
    <n v="1900"/>
    <x v="4"/>
    <n v="3610"/>
    <n v="2500"/>
    <n v="1110"/>
  </r>
  <r>
    <s v="ORD11394"/>
    <x v="690"/>
    <s v="CUST1372"/>
    <s v="Customer 372"/>
    <x v="1"/>
    <s v="Karnataka"/>
    <x v="2"/>
    <s v="Monitors"/>
    <x v="11"/>
    <n v="1"/>
    <n v="10500"/>
    <x v="0"/>
    <n v="9450"/>
    <n v="7600"/>
    <n v="1850"/>
  </r>
  <r>
    <s v="ORD10111"/>
    <x v="691"/>
    <s v="CUST1139"/>
    <s v="Customer 139"/>
    <x v="2"/>
    <s v="Gujarat"/>
    <x v="2"/>
    <s v="Monitors"/>
    <x v="11"/>
    <n v="5"/>
    <n v="10500"/>
    <x v="3"/>
    <n v="44625"/>
    <n v="38000"/>
    <n v="6625"/>
  </r>
  <r>
    <s v="ORD11986"/>
    <x v="692"/>
    <s v="CUST1397"/>
    <s v="Customer 397"/>
    <x v="1"/>
    <s v="Andhra Pradesh"/>
    <x v="1"/>
    <s v="Kitchen"/>
    <x v="2"/>
    <n v="4"/>
    <n v="4200"/>
    <x v="0"/>
    <n v="15120"/>
    <n v="11600"/>
    <n v="3520"/>
  </r>
  <r>
    <s v="ORD12547"/>
    <x v="693"/>
    <s v="CUST1398"/>
    <s v="Customer 398"/>
    <x v="0"/>
    <s v="Jharkhand"/>
    <x v="0"/>
    <s v="Accessories"/>
    <x v="0"/>
    <n v="5"/>
    <n v="650"/>
    <x v="3"/>
    <n v="2762.5"/>
    <n v="1950"/>
    <n v="812.5"/>
  </r>
  <r>
    <s v="ORD13796"/>
    <x v="694"/>
    <s v="CUST1138"/>
    <s v="Customer 138"/>
    <x v="2"/>
    <s v="Maharashtra"/>
    <x v="0"/>
    <s v="Paper"/>
    <x v="3"/>
    <n v="1"/>
    <n v="520"/>
    <x v="4"/>
    <n v="494"/>
    <n v="330"/>
    <n v="164"/>
  </r>
  <r>
    <s v="ORD11147"/>
    <x v="695"/>
    <s v="CUST1266"/>
    <s v="Customer 266"/>
    <x v="3"/>
    <s v="Punjab"/>
    <x v="2"/>
    <s v="Accessories"/>
    <x v="9"/>
    <n v="3"/>
    <n v="850"/>
    <x v="3"/>
    <n v="2167.5"/>
    <n v="1680"/>
    <n v="487.5"/>
  </r>
  <r>
    <s v="ORD13330"/>
    <x v="696"/>
    <s v="CUST1459"/>
    <s v="Customer 459"/>
    <x v="1"/>
    <s v="Tamil Nadu"/>
    <x v="1"/>
    <s v="Appliances"/>
    <x v="7"/>
    <n v="2"/>
    <n v="2400"/>
    <x v="0"/>
    <n v="4320"/>
    <n v="3300"/>
    <n v="1020"/>
  </r>
  <r>
    <s v="ORD13559"/>
    <x v="697"/>
    <s v="CUST1084"/>
    <s v="Customer 084"/>
    <x v="3"/>
    <s v="Haryana"/>
    <x v="0"/>
    <s v="Paper"/>
    <x v="3"/>
    <n v="3"/>
    <n v="520"/>
    <x v="3"/>
    <n v="1326"/>
    <n v="990"/>
    <n v="336"/>
  </r>
  <r>
    <s v="ORD12178"/>
    <x v="698"/>
    <s v="CUST1241"/>
    <s v="Customer 241"/>
    <x v="0"/>
    <s v="West Bengal"/>
    <x v="0"/>
    <s v="Stationery"/>
    <x v="18"/>
    <n v="3"/>
    <n v="300"/>
    <x v="3"/>
    <n v="765"/>
    <n v="510"/>
    <n v="255"/>
  </r>
  <r>
    <s v="ORD13017"/>
    <x v="699"/>
    <s v="CUST1267"/>
    <s v="Customer 267"/>
    <x v="2"/>
    <s v="Goa"/>
    <x v="3"/>
    <s v="Tables"/>
    <x v="16"/>
    <n v="2"/>
    <n v="6200"/>
    <x v="0"/>
    <n v="11160"/>
    <n v="8600"/>
    <n v="2560"/>
  </r>
  <r>
    <s v="ORD13167"/>
    <x v="700"/>
    <s v="CUST1375"/>
    <s v="Customer 375"/>
    <x v="1"/>
    <s v="Andhra Pradesh"/>
    <x v="2"/>
    <s v="Accessories"/>
    <x v="13"/>
    <n v="1"/>
    <n v="1400"/>
    <x v="4"/>
    <n v="1330"/>
    <n v="900"/>
    <n v="430"/>
  </r>
  <r>
    <s v="ORD10735"/>
    <x v="701"/>
    <s v="CUST1105"/>
    <s v="Customer 105"/>
    <x v="1"/>
    <s v="Karnataka"/>
    <x v="0"/>
    <s v="Accessories"/>
    <x v="0"/>
    <n v="4"/>
    <n v="650"/>
    <x v="5"/>
    <n v="2080"/>
    <n v="1560"/>
    <n v="520"/>
  </r>
  <r>
    <s v="ORD12291"/>
    <x v="702"/>
    <s v="CUST1198"/>
    <s v="Customer 198"/>
    <x v="1"/>
    <s v="Kerala"/>
    <x v="2"/>
    <s v="Audio"/>
    <x v="17"/>
    <n v="5"/>
    <n v="2800"/>
    <x v="5"/>
    <n v="11200"/>
    <n v="9000"/>
    <n v="2200"/>
  </r>
  <r>
    <s v="ORD12554"/>
    <x v="703"/>
    <s v="CUST1097"/>
    <s v="Customer 097"/>
    <x v="3"/>
    <s v="Punjab"/>
    <x v="2"/>
    <s v="Audio"/>
    <x v="17"/>
    <n v="5"/>
    <n v="2800"/>
    <x v="0"/>
    <n v="12600"/>
    <n v="9000"/>
    <n v="3600"/>
  </r>
  <r>
    <s v="ORD12442"/>
    <x v="704"/>
    <s v="CUST1001"/>
    <s v="Customer 001"/>
    <x v="1"/>
    <s v="Karnataka"/>
    <x v="3"/>
    <s v="Storage"/>
    <x v="14"/>
    <n v="4"/>
    <n v="4800"/>
    <x v="3"/>
    <n v="16320"/>
    <n v="13200"/>
    <n v="3120"/>
  </r>
  <r>
    <s v="ORD12256"/>
    <x v="705"/>
    <s v="CUST1344"/>
    <s v="Customer 344"/>
    <x v="1"/>
    <s v="Kerala"/>
    <x v="2"/>
    <s v="Audio"/>
    <x v="17"/>
    <n v="4"/>
    <n v="2800"/>
    <x v="2"/>
    <n v="11200"/>
    <n v="7200"/>
    <n v="4000"/>
  </r>
  <r>
    <s v="ORD12516"/>
    <x v="706"/>
    <s v="CUST1410"/>
    <s v="Customer 410"/>
    <x v="1"/>
    <s v="Andhra Pradesh"/>
    <x v="2"/>
    <s v="Monitors"/>
    <x v="11"/>
    <n v="2"/>
    <n v="10500"/>
    <x v="4"/>
    <n v="19950"/>
    <n v="15200"/>
    <n v="4750"/>
  </r>
  <r>
    <s v="ORD11252"/>
    <x v="707"/>
    <s v="CUST1206"/>
    <s v="Customer 206"/>
    <x v="2"/>
    <s v="Rajasthan"/>
    <x v="3"/>
    <s v="Storage"/>
    <x v="14"/>
    <n v="4"/>
    <n v="4800"/>
    <x v="4"/>
    <n v="18240"/>
    <n v="13200"/>
    <n v="5040"/>
  </r>
  <r>
    <s v="ORD10409"/>
    <x v="708"/>
    <s v="CUST1468"/>
    <s v="Customer 468"/>
    <x v="1"/>
    <s v="Karnataka"/>
    <x v="1"/>
    <s v="Kitchen"/>
    <x v="2"/>
    <n v="4"/>
    <n v="4200"/>
    <x v="2"/>
    <n v="16800"/>
    <n v="11600"/>
    <n v="5200"/>
  </r>
  <r>
    <s v="ORD11757"/>
    <x v="709"/>
    <s v="CUST1175"/>
    <s v="Customer 175"/>
    <x v="1"/>
    <s v="Telangana"/>
    <x v="0"/>
    <s v="Stationery"/>
    <x v="10"/>
    <n v="5"/>
    <n v="280"/>
    <x v="2"/>
    <n v="1400"/>
    <n v="800"/>
    <n v="600"/>
  </r>
  <r>
    <s v="ORD10841"/>
    <x v="710"/>
    <s v="CUST1145"/>
    <s v="Customer 145"/>
    <x v="3"/>
    <s v="Delhi"/>
    <x v="2"/>
    <s v="Accessories"/>
    <x v="8"/>
    <n v="3"/>
    <n v="1800"/>
    <x v="3"/>
    <n v="4590"/>
    <n v="3300"/>
    <n v="1290"/>
  </r>
  <r>
    <s v="ORD11428"/>
    <x v="711"/>
    <s v="CUST1452"/>
    <s v="Customer 452"/>
    <x v="0"/>
    <s v="Bihar"/>
    <x v="3"/>
    <s v="Storage"/>
    <x v="14"/>
    <n v="3"/>
    <n v="4800"/>
    <x v="3"/>
    <n v="12240"/>
    <n v="9900"/>
    <n v="2340"/>
  </r>
  <r>
    <s v="ORD10641"/>
    <x v="712"/>
    <s v="CUST1336"/>
    <s v="Customer 336"/>
    <x v="3"/>
    <s v="Uttar Pradesh"/>
    <x v="2"/>
    <s v="Audio"/>
    <x v="17"/>
    <n v="4"/>
    <n v="2800"/>
    <x v="4"/>
    <n v="10640"/>
    <n v="7200"/>
    <n v="3440"/>
  </r>
  <r>
    <s v="ORD12592"/>
    <x v="713"/>
    <s v="CUST1190"/>
    <s v="Customer 190"/>
    <x v="2"/>
    <s v="Rajasthan"/>
    <x v="0"/>
    <s v="Paper"/>
    <x v="3"/>
    <n v="5"/>
    <n v="520"/>
    <x v="0"/>
    <n v="2340"/>
    <n v="1650"/>
    <n v="690"/>
  </r>
  <r>
    <s v="ORD13553"/>
    <x v="714"/>
    <s v="CUST1470"/>
    <s v="Customer 470"/>
    <x v="1"/>
    <s v="Kerala"/>
    <x v="0"/>
    <s v="Paper"/>
    <x v="3"/>
    <n v="2"/>
    <n v="520"/>
    <x v="1"/>
    <n v="780"/>
    <n v="660"/>
    <n v="120"/>
  </r>
  <r>
    <s v="ORD10180"/>
    <x v="715"/>
    <s v="CUST1251"/>
    <s v="Customer 251"/>
    <x v="0"/>
    <s v="Bihar"/>
    <x v="3"/>
    <s v="Storage"/>
    <x v="14"/>
    <n v="2"/>
    <n v="4800"/>
    <x v="5"/>
    <n v="7680"/>
    <n v="6600"/>
    <n v="1080"/>
  </r>
  <r>
    <s v="ORD11327"/>
    <x v="716"/>
    <s v="CUST1340"/>
    <s v="Customer 340"/>
    <x v="1"/>
    <s v="Andhra Pradesh"/>
    <x v="3"/>
    <s v="Chairs"/>
    <x v="12"/>
    <n v="4"/>
    <n v="7500"/>
    <x v="5"/>
    <n v="24000"/>
    <n v="20800"/>
    <n v="3200"/>
  </r>
  <r>
    <s v="ORD12923"/>
    <x v="717"/>
    <s v="CUST1062"/>
    <s v="Customer 062"/>
    <x v="1"/>
    <s v="Tamil Nadu"/>
    <x v="0"/>
    <s v="Stationery"/>
    <x v="15"/>
    <n v="2"/>
    <n v="450"/>
    <x v="0"/>
    <n v="810"/>
    <n v="520"/>
    <n v="290"/>
  </r>
  <r>
    <s v="ORD13588"/>
    <x v="718"/>
    <s v="CUST1345"/>
    <s v="Customer 345"/>
    <x v="1"/>
    <s v="Kerala"/>
    <x v="2"/>
    <s v="Audio"/>
    <x v="17"/>
    <n v="1"/>
    <n v="2800"/>
    <x v="2"/>
    <n v="2800"/>
    <n v="1800"/>
    <n v="1000"/>
  </r>
  <r>
    <s v="ORD10563"/>
    <x v="719"/>
    <s v="CUST1247"/>
    <s v="Customer 247"/>
    <x v="3"/>
    <s v="Haryana"/>
    <x v="1"/>
    <s v="Appliances"/>
    <x v="7"/>
    <n v="3"/>
    <n v="2400"/>
    <x v="4"/>
    <n v="6840"/>
    <n v="4950"/>
    <n v="1890"/>
  </r>
  <r>
    <s v="ORD10394"/>
    <x v="720"/>
    <s v="CUST1300"/>
    <s v="Customer 300"/>
    <x v="1"/>
    <s v="Telangana"/>
    <x v="0"/>
    <s v="Stationery"/>
    <x v="15"/>
    <n v="3"/>
    <n v="450"/>
    <x v="5"/>
    <n v="1080"/>
    <n v="780"/>
    <n v="300"/>
  </r>
  <r>
    <s v="ORD11863"/>
    <x v="721"/>
    <s v="CUST1424"/>
    <s v="Customer 424"/>
    <x v="3"/>
    <s v="Punjab"/>
    <x v="2"/>
    <s v="Audio"/>
    <x v="5"/>
    <n v="5"/>
    <n v="2200"/>
    <x v="5"/>
    <n v="8800"/>
    <n v="7250"/>
    <n v="1550"/>
  </r>
  <r>
    <s v="ORD11607"/>
    <x v="722"/>
    <s v="CUST1074"/>
    <s v="Customer 074"/>
    <x v="1"/>
    <s v="Andhra Pradesh"/>
    <x v="3"/>
    <s v="Storage"/>
    <x v="14"/>
    <n v="5"/>
    <n v="4800"/>
    <x v="1"/>
    <n v="18000"/>
    <n v="16500"/>
    <n v="1500"/>
  </r>
  <r>
    <s v="ORD11502"/>
    <x v="723"/>
    <s v="CUST1131"/>
    <s v="Customer 131"/>
    <x v="2"/>
    <s v="Maharashtra"/>
    <x v="0"/>
    <s v="Stationery"/>
    <x v="18"/>
    <n v="1"/>
    <n v="300"/>
    <x v="2"/>
    <n v="300"/>
    <n v="170"/>
    <n v="130"/>
  </r>
  <r>
    <s v="ORD10459"/>
    <x v="724"/>
    <s v="CUST1421"/>
    <s v="Customer 421"/>
    <x v="1"/>
    <s v="Kerala"/>
    <x v="0"/>
    <s v="Accessories"/>
    <x v="0"/>
    <n v="2"/>
    <n v="650"/>
    <x v="5"/>
    <n v="1040"/>
    <n v="780"/>
    <n v="260"/>
  </r>
  <r>
    <s v="ORD10995"/>
    <x v="725"/>
    <s v="CUST1265"/>
    <s v="Customer 265"/>
    <x v="2"/>
    <s v="Gujarat"/>
    <x v="3"/>
    <s v="Tables"/>
    <x v="16"/>
    <n v="3"/>
    <n v="6200"/>
    <x v="0"/>
    <n v="16740"/>
    <n v="12900"/>
    <n v="3840"/>
  </r>
  <r>
    <s v="ORD13696"/>
    <x v="726"/>
    <s v="CUST1321"/>
    <s v="Customer 321"/>
    <x v="1"/>
    <s v="Karnataka"/>
    <x v="1"/>
    <s v="Kitchen"/>
    <x v="1"/>
    <n v="1"/>
    <n v="1900"/>
    <x v="3"/>
    <n v="1615"/>
    <n v="1250"/>
    <n v="365"/>
  </r>
  <r>
    <s v="ORD11538"/>
    <x v="727"/>
    <s v="CUST1056"/>
    <s v="Customer 056"/>
    <x v="2"/>
    <s v="Rajasthan"/>
    <x v="2"/>
    <s v="Audio"/>
    <x v="17"/>
    <n v="3"/>
    <n v="2800"/>
    <x v="4"/>
    <n v="7980"/>
    <n v="5400"/>
    <n v="2580"/>
  </r>
  <r>
    <s v="ORD11046"/>
    <x v="728"/>
    <s v="CUST1077"/>
    <s v="Customer 077"/>
    <x v="0"/>
    <s v="West Bengal"/>
    <x v="2"/>
    <s v="Accessories"/>
    <x v="8"/>
    <n v="5"/>
    <n v="1800"/>
    <x v="5"/>
    <n v="7200"/>
    <n v="5500"/>
    <n v="1700"/>
  </r>
  <r>
    <s v="ORD12803"/>
    <x v="729"/>
    <s v="CUST1495"/>
    <s v="Customer 495"/>
    <x v="1"/>
    <s v="Karnataka"/>
    <x v="0"/>
    <s v="Stationery"/>
    <x v="15"/>
    <n v="2"/>
    <n v="450"/>
    <x v="5"/>
    <n v="720"/>
    <n v="520"/>
    <n v="200"/>
  </r>
  <r>
    <s v="ORD10798"/>
    <x v="730"/>
    <s v="CUST1230"/>
    <s v="Customer 230"/>
    <x v="1"/>
    <s v="Kerala"/>
    <x v="0"/>
    <s v="Stationery"/>
    <x v="15"/>
    <n v="3"/>
    <n v="450"/>
    <x v="0"/>
    <n v="1215"/>
    <n v="780"/>
    <n v="435"/>
  </r>
  <r>
    <s v="ORD13673"/>
    <x v="731"/>
    <s v="CUST1294"/>
    <s v="Customer 294"/>
    <x v="1"/>
    <s v="Karnataka"/>
    <x v="3"/>
    <s v="Storage"/>
    <x v="6"/>
    <n v="3"/>
    <n v="5600"/>
    <x v="4"/>
    <n v="15960"/>
    <n v="11700"/>
    <n v="4260"/>
  </r>
  <r>
    <s v="ORD12334"/>
    <x v="732"/>
    <s v="CUST1412"/>
    <s v="Customer 412"/>
    <x v="2"/>
    <s v="Goa"/>
    <x v="2"/>
    <s v="Accessories"/>
    <x v="13"/>
    <n v="1"/>
    <n v="1400"/>
    <x v="4"/>
    <n v="1330"/>
    <n v="900"/>
    <n v="430"/>
  </r>
  <r>
    <s v="ORD11344"/>
    <x v="733"/>
    <s v="CUST1288"/>
    <s v="Customer 288"/>
    <x v="1"/>
    <s v="Karnataka"/>
    <x v="2"/>
    <s v="Accessories"/>
    <x v="8"/>
    <n v="5"/>
    <n v="1800"/>
    <x v="5"/>
    <n v="7200"/>
    <n v="5500"/>
    <n v="1700"/>
  </r>
  <r>
    <s v="ORD10660"/>
    <x v="734"/>
    <s v="CUST1145"/>
    <s v="Customer 145"/>
    <x v="1"/>
    <s v="Karnataka"/>
    <x v="3"/>
    <s v="Storage"/>
    <x v="14"/>
    <n v="1"/>
    <n v="4800"/>
    <x v="0"/>
    <n v="4320"/>
    <n v="3300"/>
    <n v="1020"/>
  </r>
  <r>
    <s v="ORD10411"/>
    <x v="735"/>
    <s v="CUST1088"/>
    <s v="Customer 088"/>
    <x v="3"/>
    <s v="Uttar Pradesh"/>
    <x v="0"/>
    <s v="Stationery"/>
    <x v="15"/>
    <n v="2"/>
    <n v="450"/>
    <x v="3"/>
    <n v="765"/>
    <n v="520"/>
    <n v="245"/>
  </r>
  <r>
    <s v="ORD12319"/>
    <x v="736"/>
    <s v="CUST1426"/>
    <s v="Customer 426"/>
    <x v="3"/>
    <s v="Delhi"/>
    <x v="1"/>
    <s v="Kitchen"/>
    <x v="4"/>
    <n v="1"/>
    <n v="6800"/>
    <x v="0"/>
    <n v="6120"/>
    <n v="4700"/>
    <n v="1420"/>
  </r>
  <r>
    <s v="ORD13503"/>
    <x v="737"/>
    <s v="CUST1156"/>
    <s v="Customer 156"/>
    <x v="1"/>
    <s v="Telangana"/>
    <x v="3"/>
    <s v="Storage"/>
    <x v="14"/>
    <n v="5"/>
    <n v="4800"/>
    <x v="3"/>
    <n v="20400"/>
    <n v="16500"/>
    <n v="3900"/>
  </r>
  <r>
    <s v="ORD12332"/>
    <x v="738"/>
    <s v="CUST1431"/>
    <s v="Customer 431"/>
    <x v="0"/>
    <s v="Odisha"/>
    <x v="1"/>
    <s v="Kitchen"/>
    <x v="4"/>
    <n v="4"/>
    <n v="6800"/>
    <x v="4"/>
    <n v="25840"/>
    <n v="18800"/>
    <n v="7040"/>
  </r>
  <r>
    <s v="ORD12929"/>
    <x v="739"/>
    <s v="CUST1093"/>
    <s v="Customer 093"/>
    <x v="3"/>
    <s v="Haryana"/>
    <x v="1"/>
    <s v="Kitchen"/>
    <x v="2"/>
    <n v="4"/>
    <n v="4200"/>
    <x v="0"/>
    <n v="15120"/>
    <n v="11600"/>
    <n v="3520"/>
  </r>
  <r>
    <s v="ORD11629"/>
    <x v="740"/>
    <s v="CUST1195"/>
    <s v="Customer 195"/>
    <x v="2"/>
    <s v="Goa"/>
    <x v="1"/>
    <s v="Appliances"/>
    <x v="7"/>
    <n v="2"/>
    <n v="2400"/>
    <x v="4"/>
    <n v="4560"/>
    <n v="3300"/>
    <n v="1260"/>
  </r>
  <r>
    <s v="ORD12949"/>
    <x v="741"/>
    <s v="CUST1266"/>
    <s v="Customer 266"/>
    <x v="2"/>
    <s v="Gujarat"/>
    <x v="3"/>
    <s v="Tables"/>
    <x v="16"/>
    <n v="4"/>
    <n v="6200"/>
    <x v="2"/>
    <n v="24800"/>
    <n v="17200"/>
    <n v="7600"/>
  </r>
  <r>
    <s v="ORD12518"/>
    <x v="742"/>
    <s v="CUST1264"/>
    <s v="Customer 264"/>
    <x v="1"/>
    <s v="Telangana"/>
    <x v="0"/>
    <s v="Stationery"/>
    <x v="15"/>
    <n v="2"/>
    <n v="450"/>
    <x v="1"/>
    <n v="675"/>
    <n v="520"/>
    <n v="155"/>
  </r>
  <r>
    <s v="ORD12596"/>
    <x v="743"/>
    <s v="CUST1084"/>
    <s v="Customer 084"/>
    <x v="0"/>
    <s v="West Bengal"/>
    <x v="3"/>
    <s v="Chairs"/>
    <x v="12"/>
    <n v="2"/>
    <n v="7500"/>
    <x v="0"/>
    <n v="13500"/>
    <n v="10400"/>
    <n v="3100"/>
  </r>
  <r>
    <s v="ORD12511"/>
    <x v="744"/>
    <s v="CUST1100"/>
    <s v="Customer 100"/>
    <x v="2"/>
    <s v="Goa"/>
    <x v="3"/>
    <s v="Chairs"/>
    <x v="12"/>
    <n v="5"/>
    <n v="7500"/>
    <x v="4"/>
    <n v="35625"/>
    <n v="26000"/>
    <n v="9625"/>
  </r>
  <r>
    <s v="ORD10470"/>
    <x v="745"/>
    <s v="CUST1467"/>
    <s v="Customer 467"/>
    <x v="1"/>
    <s v="Karnataka"/>
    <x v="3"/>
    <s v="Storage"/>
    <x v="6"/>
    <n v="5"/>
    <n v="5600"/>
    <x v="0"/>
    <n v="25200"/>
    <n v="19500"/>
    <n v="5700"/>
  </r>
  <r>
    <s v="ORD11410"/>
    <x v="746"/>
    <s v="CUST1142"/>
    <s v="Customer 142"/>
    <x v="1"/>
    <s v="Kerala"/>
    <x v="0"/>
    <s v="Paper"/>
    <x v="3"/>
    <n v="2"/>
    <n v="520"/>
    <x v="5"/>
    <n v="832"/>
    <n v="660"/>
    <n v="172"/>
  </r>
  <r>
    <s v="ORD11864"/>
    <x v="747"/>
    <s v="CUST1186"/>
    <s v="Customer 186"/>
    <x v="1"/>
    <s v="Telangana"/>
    <x v="1"/>
    <s v="Kitchen"/>
    <x v="4"/>
    <n v="1"/>
    <n v="6800"/>
    <x v="1"/>
    <n v="5100"/>
    <n v="4700"/>
    <n v="400"/>
  </r>
  <r>
    <s v="ORD11194"/>
    <x v="748"/>
    <s v="CUST1352"/>
    <s v="Customer 352"/>
    <x v="3"/>
    <s v="Delhi"/>
    <x v="2"/>
    <s v="Accessories"/>
    <x v="8"/>
    <n v="2"/>
    <n v="1800"/>
    <x v="5"/>
    <n v="2880"/>
    <n v="2200"/>
    <n v="680"/>
  </r>
  <r>
    <s v="ORD13620"/>
    <x v="749"/>
    <s v="CUST1044"/>
    <s v="Customer 044"/>
    <x v="1"/>
    <s v="Tamil Nadu"/>
    <x v="2"/>
    <s v="Accessories"/>
    <x v="8"/>
    <n v="4"/>
    <n v="1800"/>
    <x v="4"/>
    <n v="6840"/>
    <n v="4400"/>
    <n v="2440"/>
  </r>
  <r>
    <s v="ORD11207"/>
    <x v="750"/>
    <s v="CUST1258"/>
    <s v="Customer 258"/>
    <x v="1"/>
    <s v="Karnataka"/>
    <x v="0"/>
    <s v="Accessories"/>
    <x v="0"/>
    <n v="4"/>
    <n v="650"/>
    <x v="2"/>
    <n v="2600"/>
    <n v="1560"/>
    <n v="1040"/>
  </r>
  <r>
    <s v="ORD13901"/>
    <x v="751"/>
    <s v="CUST1260"/>
    <s v="Customer 260"/>
    <x v="3"/>
    <s v="Uttar Pradesh"/>
    <x v="2"/>
    <s v="Accessories"/>
    <x v="13"/>
    <n v="3"/>
    <n v="1400"/>
    <x v="2"/>
    <n v="4200"/>
    <n v="2700"/>
    <n v="1500"/>
  </r>
  <r>
    <s v="ORD12515"/>
    <x v="752"/>
    <s v="CUST1052"/>
    <s v="Customer 052"/>
    <x v="1"/>
    <s v="Karnataka"/>
    <x v="1"/>
    <s v="Kitchen"/>
    <x v="2"/>
    <n v="3"/>
    <n v="4200"/>
    <x v="5"/>
    <n v="10080"/>
    <n v="8700"/>
    <n v="1380"/>
  </r>
  <r>
    <s v="ORD13315"/>
    <x v="753"/>
    <s v="CUST1202"/>
    <s v="Customer 202"/>
    <x v="1"/>
    <s v="Andhra Pradesh"/>
    <x v="2"/>
    <s v="Accessories"/>
    <x v="13"/>
    <n v="3"/>
    <n v="1400"/>
    <x v="5"/>
    <n v="3360"/>
    <n v="2700"/>
    <n v="660"/>
  </r>
  <r>
    <s v="ORD10936"/>
    <x v="754"/>
    <s v="CUST1471"/>
    <s v="Customer 471"/>
    <x v="2"/>
    <s v="Goa"/>
    <x v="1"/>
    <s v="Kitchen"/>
    <x v="1"/>
    <n v="5"/>
    <n v="1900"/>
    <x v="3"/>
    <n v="8075"/>
    <n v="6250"/>
    <n v="1825"/>
  </r>
  <r>
    <s v="ORD12844"/>
    <x v="755"/>
    <s v="CUST1242"/>
    <s v="Customer 242"/>
    <x v="2"/>
    <s v="Maharashtra"/>
    <x v="0"/>
    <s v="Accessories"/>
    <x v="0"/>
    <n v="4"/>
    <n v="650"/>
    <x v="3"/>
    <n v="2210"/>
    <n v="1560"/>
    <n v="650"/>
  </r>
  <r>
    <s v="ORD12604"/>
    <x v="756"/>
    <s v="CUST1282"/>
    <s v="Customer 282"/>
    <x v="2"/>
    <s v="Goa"/>
    <x v="0"/>
    <s v="Stationery"/>
    <x v="18"/>
    <n v="2"/>
    <n v="300"/>
    <x v="5"/>
    <n v="480"/>
    <n v="340"/>
    <n v="140"/>
  </r>
  <r>
    <s v="ORD11067"/>
    <x v="757"/>
    <s v="CUST1463"/>
    <s v="Customer 463"/>
    <x v="1"/>
    <s v="Telangana"/>
    <x v="3"/>
    <s v="Chairs"/>
    <x v="12"/>
    <n v="3"/>
    <n v="7500"/>
    <x v="0"/>
    <n v="20250"/>
    <n v="15600"/>
    <n v="4650"/>
  </r>
  <r>
    <s v="ORD10725"/>
    <x v="758"/>
    <s v="CUST1393"/>
    <s v="Customer 393"/>
    <x v="1"/>
    <s v="Andhra Pradesh"/>
    <x v="3"/>
    <s v="Chairs"/>
    <x v="12"/>
    <n v="2"/>
    <n v="7500"/>
    <x v="2"/>
    <n v="15000"/>
    <n v="10400"/>
    <n v="4600"/>
  </r>
  <r>
    <s v="ORD10375"/>
    <x v="759"/>
    <s v="CUST1444"/>
    <s v="Customer 444"/>
    <x v="1"/>
    <s v="Tamil Nadu"/>
    <x v="0"/>
    <s v="Stationery"/>
    <x v="10"/>
    <n v="4"/>
    <n v="280"/>
    <x v="2"/>
    <n v="1120"/>
    <n v="640"/>
    <n v="480"/>
  </r>
  <r>
    <s v="ORD10539"/>
    <x v="760"/>
    <s v="CUST1271"/>
    <s v="Customer 271"/>
    <x v="1"/>
    <s v="Tamil Nadu"/>
    <x v="2"/>
    <s v="Accessories"/>
    <x v="9"/>
    <n v="1"/>
    <n v="850"/>
    <x v="3"/>
    <n v="722.5"/>
    <n v="560"/>
    <n v="162.5"/>
  </r>
  <r>
    <s v="ORD12523"/>
    <x v="761"/>
    <s v="CUST1105"/>
    <s v="Customer 105"/>
    <x v="3"/>
    <s v="Punjab"/>
    <x v="2"/>
    <s v="Audio"/>
    <x v="17"/>
    <n v="3"/>
    <n v="2800"/>
    <x v="0"/>
    <n v="7560"/>
    <n v="5400"/>
    <n v="2160"/>
  </r>
  <r>
    <s v="ORD11793"/>
    <x v="762"/>
    <s v="CUST1172"/>
    <s v="Customer 172"/>
    <x v="1"/>
    <s v="Andhra Pradesh"/>
    <x v="2"/>
    <s v="Audio"/>
    <x v="5"/>
    <n v="2"/>
    <n v="2200"/>
    <x v="5"/>
    <n v="3520"/>
    <n v="2900"/>
    <n v="620"/>
  </r>
  <r>
    <s v="ORD13236"/>
    <x v="763"/>
    <s v="CUST1286"/>
    <s v="Customer 286"/>
    <x v="2"/>
    <s v="Goa"/>
    <x v="0"/>
    <s v="Stationery"/>
    <x v="18"/>
    <n v="2"/>
    <n v="300"/>
    <x v="0"/>
    <n v="540"/>
    <n v="340"/>
    <n v="200"/>
  </r>
  <r>
    <s v="ORD10468"/>
    <x v="764"/>
    <s v="CUST1299"/>
    <s v="Customer 299"/>
    <x v="2"/>
    <s v="Maharashtra"/>
    <x v="3"/>
    <s v="Chairs"/>
    <x v="12"/>
    <n v="3"/>
    <n v="7500"/>
    <x v="2"/>
    <n v="22500"/>
    <n v="15600"/>
    <n v="6900"/>
  </r>
  <r>
    <s v="ORD13117"/>
    <x v="765"/>
    <s v="CUST1315"/>
    <s v="Customer 315"/>
    <x v="2"/>
    <s v="Goa"/>
    <x v="2"/>
    <s v="Audio"/>
    <x v="17"/>
    <n v="4"/>
    <n v="2800"/>
    <x v="0"/>
    <n v="10080"/>
    <n v="7200"/>
    <n v="2880"/>
  </r>
  <r>
    <s v="ORD12131"/>
    <x v="766"/>
    <s v="CUST1359"/>
    <s v="Customer 359"/>
    <x v="3"/>
    <s v="Delhi"/>
    <x v="1"/>
    <s v="Kitchen"/>
    <x v="1"/>
    <n v="3"/>
    <n v="1900"/>
    <x v="0"/>
    <n v="5130"/>
    <n v="3750"/>
    <n v="1380"/>
  </r>
  <r>
    <s v="ORD10526"/>
    <x v="767"/>
    <s v="CUST1156"/>
    <s v="Customer 156"/>
    <x v="1"/>
    <s v="Tamil Nadu"/>
    <x v="1"/>
    <s v="Kitchen"/>
    <x v="2"/>
    <n v="5"/>
    <n v="4200"/>
    <x v="0"/>
    <n v="18900"/>
    <n v="14500"/>
    <n v="4400"/>
  </r>
  <r>
    <s v="ORD13917"/>
    <x v="768"/>
    <s v="CUST1034"/>
    <s v="Customer 034"/>
    <x v="3"/>
    <s v="Punjab"/>
    <x v="0"/>
    <s v="Paper"/>
    <x v="3"/>
    <n v="4"/>
    <n v="520"/>
    <x v="0"/>
    <n v="1872"/>
    <n v="1320"/>
    <n v="552"/>
  </r>
  <r>
    <s v="ORD10549"/>
    <x v="769"/>
    <s v="CUST1258"/>
    <s v="Customer 258"/>
    <x v="1"/>
    <s v="Tamil Nadu"/>
    <x v="0"/>
    <s v="Paper"/>
    <x v="3"/>
    <n v="1"/>
    <n v="520"/>
    <x v="4"/>
    <n v="494"/>
    <n v="330"/>
    <n v="164"/>
  </r>
  <r>
    <s v="ORD10483"/>
    <x v="770"/>
    <s v="CUST1126"/>
    <s v="Customer 126"/>
    <x v="1"/>
    <s v="Tamil Nadu"/>
    <x v="1"/>
    <s v="Kitchen"/>
    <x v="4"/>
    <n v="4"/>
    <n v="6800"/>
    <x v="0"/>
    <n v="24480"/>
    <n v="18800"/>
    <n v="5680"/>
  </r>
  <r>
    <s v="ORD12676"/>
    <x v="771"/>
    <s v="CUST1298"/>
    <s v="Customer 298"/>
    <x v="1"/>
    <s v="Kerala"/>
    <x v="0"/>
    <s v="Stationery"/>
    <x v="18"/>
    <n v="4"/>
    <n v="300"/>
    <x v="3"/>
    <n v="1020"/>
    <n v="680"/>
    <n v="340"/>
  </r>
  <r>
    <s v="ORD11388"/>
    <x v="772"/>
    <s v="CUST1163"/>
    <s v="Customer 163"/>
    <x v="0"/>
    <s v="Jharkhand"/>
    <x v="0"/>
    <s v="Paper"/>
    <x v="3"/>
    <n v="1"/>
    <n v="520"/>
    <x v="0"/>
    <n v="468"/>
    <n v="330"/>
    <n v="138"/>
  </r>
  <r>
    <s v="ORD10579"/>
    <x v="773"/>
    <s v="CUST1447"/>
    <s v="Customer 447"/>
    <x v="1"/>
    <s v="Karnataka"/>
    <x v="0"/>
    <s v="Accessories"/>
    <x v="0"/>
    <n v="2"/>
    <n v="650"/>
    <x v="5"/>
    <n v="1040"/>
    <n v="780"/>
    <n v="260"/>
  </r>
  <r>
    <s v="ORD13243"/>
    <x v="774"/>
    <s v="CUST1449"/>
    <s v="Customer 449"/>
    <x v="1"/>
    <s v="Karnataka"/>
    <x v="3"/>
    <s v="Storage"/>
    <x v="14"/>
    <n v="4"/>
    <n v="4800"/>
    <x v="4"/>
    <n v="18240"/>
    <n v="13200"/>
    <n v="5040"/>
  </r>
  <r>
    <s v="ORD11941"/>
    <x v="775"/>
    <s v="CUST1083"/>
    <s v="Customer 083"/>
    <x v="1"/>
    <s v="Telangana"/>
    <x v="1"/>
    <s v="Kitchen"/>
    <x v="4"/>
    <n v="5"/>
    <n v="6800"/>
    <x v="1"/>
    <n v="25500"/>
    <n v="23500"/>
    <n v="2000"/>
  </r>
  <r>
    <s v="ORD12939"/>
    <x v="776"/>
    <s v="CUST1452"/>
    <s v="Customer 452"/>
    <x v="2"/>
    <s v="Gujarat"/>
    <x v="3"/>
    <s v="Storage"/>
    <x v="6"/>
    <n v="2"/>
    <n v="5600"/>
    <x v="0"/>
    <n v="10080"/>
    <n v="7800"/>
    <n v="2280"/>
  </r>
  <r>
    <s v="ORD10269"/>
    <x v="777"/>
    <s v="CUST1307"/>
    <s v="Customer 307"/>
    <x v="3"/>
    <s v="Punjab"/>
    <x v="0"/>
    <s v="Paper"/>
    <x v="3"/>
    <n v="4"/>
    <n v="520"/>
    <x v="4"/>
    <n v="1976"/>
    <n v="1320"/>
    <n v="656"/>
  </r>
  <r>
    <s v="ORD11530"/>
    <x v="778"/>
    <s v="CUST1460"/>
    <s v="Customer 460"/>
    <x v="2"/>
    <s v="Gujarat"/>
    <x v="2"/>
    <s v="Audio"/>
    <x v="5"/>
    <n v="5"/>
    <n v="2200"/>
    <x v="3"/>
    <n v="9350"/>
    <n v="7250"/>
    <n v="2100"/>
  </r>
  <r>
    <s v="ORD12201"/>
    <x v="779"/>
    <s v="CUST1183"/>
    <s v="Customer 183"/>
    <x v="1"/>
    <s v="Andhra Pradesh"/>
    <x v="0"/>
    <s v="Stationery"/>
    <x v="18"/>
    <n v="2"/>
    <n v="300"/>
    <x v="4"/>
    <n v="570"/>
    <n v="340"/>
    <n v="230"/>
  </r>
  <r>
    <s v="ORD12359"/>
    <x v="780"/>
    <s v="CUST1313"/>
    <s v="Customer 313"/>
    <x v="2"/>
    <s v="Goa"/>
    <x v="0"/>
    <s v="Stationery"/>
    <x v="18"/>
    <n v="5"/>
    <n v="300"/>
    <x v="4"/>
    <n v="1425"/>
    <n v="850"/>
    <n v="575"/>
  </r>
  <r>
    <s v="ORD13817"/>
    <x v="781"/>
    <s v="CUST1226"/>
    <s v="Customer 226"/>
    <x v="1"/>
    <s v="Tamil Nadu"/>
    <x v="0"/>
    <s v="Stationery"/>
    <x v="18"/>
    <n v="2"/>
    <n v="300"/>
    <x v="4"/>
    <n v="570"/>
    <n v="340"/>
    <n v="230"/>
  </r>
  <r>
    <s v="ORD12222"/>
    <x v="782"/>
    <s v="CUST1077"/>
    <s v="Customer 077"/>
    <x v="1"/>
    <s v="Andhra Pradesh"/>
    <x v="0"/>
    <s v="Stationery"/>
    <x v="10"/>
    <n v="3"/>
    <n v="280"/>
    <x v="3"/>
    <n v="714"/>
    <n v="480"/>
    <n v="234"/>
  </r>
  <r>
    <s v="ORD10124"/>
    <x v="783"/>
    <s v="CUST1236"/>
    <s v="Customer 236"/>
    <x v="1"/>
    <s v="Kerala"/>
    <x v="2"/>
    <s v="Monitors"/>
    <x v="11"/>
    <n v="1"/>
    <n v="10500"/>
    <x v="4"/>
    <n v="9975"/>
    <n v="7600"/>
    <n v="2375"/>
  </r>
  <r>
    <s v="ORD10567"/>
    <x v="784"/>
    <s v="CUST1115"/>
    <s v="Customer 115"/>
    <x v="1"/>
    <s v="Kerala"/>
    <x v="1"/>
    <s v="Kitchen"/>
    <x v="4"/>
    <n v="5"/>
    <n v="6800"/>
    <x v="3"/>
    <n v="28900"/>
    <n v="23500"/>
    <n v="5400"/>
  </r>
  <r>
    <s v="ORD10627"/>
    <x v="785"/>
    <s v="CUST1170"/>
    <s v="Customer 170"/>
    <x v="2"/>
    <s v="Rajasthan"/>
    <x v="2"/>
    <s v="Accessories"/>
    <x v="9"/>
    <n v="4"/>
    <n v="850"/>
    <x v="0"/>
    <n v="3060"/>
    <n v="2240"/>
    <n v="820"/>
  </r>
  <r>
    <s v="ORD13909"/>
    <x v="786"/>
    <s v="CUST1099"/>
    <s v="Customer 099"/>
    <x v="1"/>
    <s v="Telangana"/>
    <x v="3"/>
    <s v="Storage"/>
    <x v="6"/>
    <n v="4"/>
    <n v="5600"/>
    <x v="3"/>
    <n v="19040"/>
    <n v="15600"/>
    <n v="3440"/>
  </r>
  <r>
    <s v="ORD13303"/>
    <x v="787"/>
    <s v="CUST1301"/>
    <s v="Customer 301"/>
    <x v="3"/>
    <s v="Uttar Pradesh"/>
    <x v="1"/>
    <s v="Kitchen"/>
    <x v="2"/>
    <n v="4"/>
    <n v="4200"/>
    <x v="0"/>
    <n v="15120"/>
    <n v="11600"/>
    <n v="3520"/>
  </r>
  <r>
    <s v="ORD10840"/>
    <x v="788"/>
    <s v="CUST1456"/>
    <s v="Customer 456"/>
    <x v="1"/>
    <s v="Telangana"/>
    <x v="0"/>
    <s v="Stationery"/>
    <x v="15"/>
    <n v="1"/>
    <n v="450"/>
    <x v="0"/>
    <n v="405"/>
    <n v="260"/>
    <n v="145"/>
  </r>
  <r>
    <s v="ORD13982"/>
    <x v="789"/>
    <s v="CUST1045"/>
    <s v="Customer 045"/>
    <x v="2"/>
    <s v="Goa"/>
    <x v="2"/>
    <s v="Monitors"/>
    <x v="11"/>
    <n v="1"/>
    <n v="10500"/>
    <x v="0"/>
    <n v="9450"/>
    <n v="7600"/>
    <n v="1850"/>
  </r>
  <r>
    <s v="ORD13964"/>
    <x v="790"/>
    <s v="CUST1190"/>
    <s v="Customer 190"/>
    <x v="1"/>
    <s v="Andhra Pradesh"/>
    <x v="2"/>
    <s v="Accessories"/>
    <x v="13"/>
    <n v="3"/>
    <n v="1400"/>
    <x v="2"/>
    <n v="4200"/>
    <n v="2700"/>
    <n v="1500"/>
  </r>
  <r>
    <s v="ORD13238"/>
    <x v="791"/>
    <s v="CUST1498"/>
    <s v="Customer 498"/>
    <x v="1"/>
    <s v="Telangana"/>
    <x v="0"/>
    <s v="Stationery"/>
    <x v="15"/>
    <n v="5"/>
    <n v="450"/>
    <x v="0"/>
    <n v="2025"/>
    <n v="1300"/>
    <n v="725"/>
  </r>
  <r>
    <s v="ORD11694"/>
    <x v="792"/>
    <s v="CUST1198"/>
    <s v="Customer 198"/>
    <x v="2"/>
    <s v="Maharashtra"/>
    <x v="2"/>
    <s v="Audio"/>
    <x v="5"/>
    <n v="2"/>
    <n v="2200"/>
    <x v="0"/>
    <n v="3960"/>
    <n v="2900"/>
    <n v="1060"/>
  </r>
  <r>
    <s v="ORD13892"/>
    <x v="793"/>
    <s v="CUST1463"/>
    <s v="Customer 463"/>
    <x v="2"/>
    <s v="Gujarat"/>
    <x v="2"/>
    <s v="Monitors"/>
    <x v="11"/>
    <n v="5"/>
    <n v="10500"/>
    <x v="3"/>
    <n v="44625"/>
    <n v="38000"/>
    <n v="6625"/>
  </r>
  <r>
    <s v="ORD12910"/>
    <x v="794"/>
    <s v="CUST1174"/>
    <s v="Customer 174"/>
    <x v="1"/>
    <s v="Andhra Pradesh"/>
    <x v="1"/>
    <s v="Kitchen"/>
    <x v="1"/>
    <n v="2"/>
    <n v="1900"/>
    <x v="3"/>
    <n v="3230"/>
    <n v="2500"/>
    <n v="730"/>
  </r>
  <r>
    <s v="ORD12525"/>
    <x v="795"/>
    <s v="CUST1032"/>
    <s v="Customer 032"/>
    <x v="3"/>
    <s v="Uttar Pradesh"/>
    <x v="1"/>
    <s v="Appliances"/>
    <x v="7"/>
    <n v="2"/>
    <n v="2400"/>
    <x v="0"/>
    <n v="4320"/>
    <n v="3300"/>
    <n v="1020"/>
  </r>
  <r>
    <s v="ORD12682"/>
    <x v="796"/>
    <s v="CUST1051"/>
    <s v="Customer 051"/>
    <x v="1"/>
    <s v="Kerala"/>
    <x v="1"/>
    <s v="Kitchen"/>
    <x v="1"/>
    <n v="3"/>
    <n v="1900"/>
    <x v="3"/>
    <n v="4845"/>
    <n v="3750"/>
    <n v="1095"/>
  </r>
  <r>
    <s v="ORD13647"/>
    <x v="797"/>
    <s v="CUST1322"/>
    <s v="Customer 322"/>
    <x v="2"/>
    <s v="Gujarat"/>
    <x v="0"/>
    <s v="Stationery"/>
    <x v="15"/>
    <n v="3"/>
    <n v="450"/>
    <x v="5"/>
    <n v="1080"/>
    <n v="780"/>
    <n v="300"/>
  </r>
  <r>
    <s v="ORD12103"/>
    <x v="798"/>
    <s v="CUST1087"/>
    <s v="Customer 087"/>
    <x v="2"/>
    <s v="Gujarat"/>
    <x v="1"/>
    <s v="Kitchen"/>
    <x v="2"/>
    <n v="5"/>
    <n v="4200"/>
    <x v="4"/>
    <n v="19950"/>
    <n v="14500"/>
    <n v="5450"/>
  </r>
  <r>
    <s v="ORD11989"/>
    <x v="799"/>
    <s v="CUST1106"/>
    <s v="Customer 106"/>
    <x v="0"/>
    <s v="Jharkhand"/>
    <x v="2"/>
    <s v="Accessories"/>
    <x v="13"/>
    <n v="5"/>
    <n v="1400"/>
    <x v="0"/>
    <n v="6300"/>
    <n v="4500"/>
    <n v="1800"/>
  </r>
  <r>
    <s v="ORD11262"/>
    <x v="800"/>
    <s v="CUST1463"/>
    <s v="Customer 463"/>
    <x v="3"/>
    <s v="Haryana"/>
    <x v="2"/>
    <s v="Audio"/>
    <x v="5"/>
    <n v="1"/>
    <n v="2200"/>
    <x v="0"/>
    <n v="1980"/>
    <n v="1450"/>
    <n v="530"/>
  </r>
  <r>
    <s v="ORD10965"/>
    <x v="801"/>
    <s v="CUST1475"/>
    <s v="Customer 475"/>
    <x v="1"/>
    <s v="Andhra Pradesh"/>
    <x v="3"/>
    <s v="Storage"/>
    <x v="6"/>
    <n v="2"/>
    <n v="5600"/>
    <x v="0"/>
    <n v="10080"/>
    <n v="7800"/>
    <n v="2280"/>
  </r>
  <r>
    <s v="ORD11880"/>
    <x v="802"/>
    <s v="CUST1051"/>
    <s v="Customer 051"/>
    <x v="1"/>
    <s v="Karnataka"/>
    <x v="3"/>
    <s v="Tables"/>
    <x v="16"/>
    <n v="1"/>
    <n v="6200"/>
    <x v="3"/>
    <n v="5270"/>
    <n v="4300"/>
    <n v="970"/>
  </r>
  <r>
    <s v="ORD11639"/>
    <x v="803"/>
    <s v="CUST1092"/>
    <s v="Customer 092"/>
    <x v="3"/>
    <s v="Delhi"/>
    <x v="0"/>
    <s v="Stationery"/>
    <x v="18"/>
    <n v="3"/>
    <n v="300"/>
    <x v="0"/>
    <n v="810"/>
    <n v="510"/>
    <n v="300"/>
  </r>
  <r>
    <s v="ORD13943"/>
    <x v="804"/>
    <s v="CUST1464"/>
    <s v="Customer 464"/>
    <x v="1"/>
    <s v="Karnataka"/>
    <x v="2"/>
    <s v="Accessories"/>
    <x v="9"/>
    <n v="1"/>
    <n v="850"/>
    <x v="0"/>
    <n v="765"/>
    <n v="560"/>
    <n v="205"/>
  </r>
  <r>
    <s v="ORD12027"/>
    <x v="805"/>
    <s v="CUST1307"/>
    <s v="Customer 307"/>
    <x v="2"/>
    <s v="Gujarat"/>
    <x v="1"/>
    <s v="Kitchen"/>
    <x v="2"/>
    <n v="1"/>
    <n v="4200"/>
    <x v="4"/>
    <n v="3990"/>
    <n v="2900"/>
    <n v="1090"/>
  </r>
  <r>
    <s v="ORD12570"/>
    <x v="806"/>
    <s v="CUST1464"/>
    <s v="Customer 464"/>
    <x v="2"/>
    <s v="Rajasthan"/>
    <x v="1"/>
    <s v="Appliances"/>
    <x v="7"/>
    <n v="5"/>
    <n v="2400"/>
    <x v="1"/>
    <n v="9000"/>
    <n v="8250"/>
    <n v="750"/>
  </r>
  <r>
    <s v="ORD11749"/>
    <x v="807"/>
    <s v="CUST1403"/>
    <s v="Customer 403"/>
    <x v="1"/>
    <s v="Tamil Nadu"/>
    <x v="1"/>
    <s v="Kitchen"/>
    <x v="2"/>
    <n v="3"/>
    <n v="4200"/>
    <x v="4"/>
    <n v="11970"/>
    <n v="8700"/>
    <n v="3270"/>
  </r>
  <r>
    <s v="ORD11062"/>
    <x v="808"/>
    <s v="CUST1344"/>
    <s v="Customer 344"/>
    <x v="2"/>
    <s v="Gujarat"/>
    <x v="1"/>
    <s v="Kitchen"/>
    <x v="1"/>
    <n v="3"/>
    <n v="1900"/>
    <x v="3"/>
    <n v="4845"/>
    <n v="3750"/>
    <n v="1095"/>
  </r>
  <r>
    <s v="ORD10749"/>
    <x v="809"/>
    <s v="CUST1157"/>
    <s v="Customer 157"/>
    <x v="2"/>
    <s v="Rajasthan"/>
    <x v="0"/>
    <s v="Accessories"/>
    <x v="0"/>
    <n v="3"/>
    <n v="650"/>
    <x v="2"/>
    <n v="1950"/>
    <n v="1170"/>
    <n v="780"/>
  </r>
  <r>
    <s v="ORD11716"/>
    <x v="810"/>
    <s v="CUST1440"/>
    <s v="Customer 440"/>
    <x v="3"/>
    <s v="Punjab"/>
    <x v="3"/>
    <s v="Chairs"/>
    <x v="12"/>
    <n v="4"/>
    <n v="7500"/>
    <x v="4"/>
    <n v="28500"/>
    <n v="20800"/>
    <n v="7700"/>
  </r>
  <r>
    <s v="ORD13164"/>
    <x v="811"/>
    <s v="CUST1158"/>
    <s v="Customer 158"/>
    <x v="1"/>
    <s v="Andhra Pradesh"/>
    <x v="1"/>
    <s v="Kitchen"/>
    <x v="2"/>
    <n v="5"/>
    <n v="4200"/>
    <x v="2"/>
    <n v="21000"/>
    <n v="14500"/>
    <n v="6500"/>
  </r>
  <r>
    <s v="ORD10882"/>
    <x v="812"/>
    <s v="CUST1426"/>
    <s v="Customer 426"/>
    <x v="1"/>
    <s v="Kerala"/>
    <x v="1"/>
    <s v="Appliances"/>
    <x v="7"/>
    <n v="2"/>
    <n v="2400"/>
    <x v="3"/>
    <n v="4080"/>
    <n v="3300"/>
    <n v="780"/>
  </r>
  <r>
    <s v="ORD12964"/>
    <x v="813"/>
    <s v="CUST1034"/>
    <s v="Customer 034"/>
    <x v="1"/>
    <s v="Andhra Pradesh"/>
    <x v="0"/>
    <s v="Stationery"/>
    <x v="15"/>
    <n v="1"/>
    <n v="450"/>
    <x v="2"/>
    <n v="450"/>
    <n v="260"/>
    <n v="190"/>
  </r>
  <r>
    <s v="ORD10399"/>
    <x v="814"/>
    <s v="CUST1141"/>
    <s v="Customer 141"/>
    <x v="1"/>
    <s v="Andhra Pradesh"/>
    <x v="1"/>
    <s v="Kitchen"/>
    <x v="4"/>
    <n v="3"/>
    <n v="6800"/>
    <x v="5"/>
    <n v="16320"/>
    <n v="14100"/>
    <n v="2220"/>
  </r>
  <r>
    <s v="ORD12186"/>
    <x v="815"/>
    <s v="CUST1145"/>
    <s v="Customer 145"/>
    <x v="3"/>
    <s v="Uttar Pradesh"/>
    <x v="2"/>
    <s v="Audio"/>
    <x v="5"/>
    <n v="4"/>
    <n v="2200"/>
    <x v="5"/>
    <n v="7040"/>
    <n v="5800"/>
    <n v="1240"/>
  </r>
  <r>
    <s v="ORD10850"/>
    <x v="816"/>
    <s v="CUST1303"/>
    <s v="Customer 303"/>
    <x v="1"/>
    <s v="Tamil Nadu"/>
    <x v="1"/>
    <s v="Kitchen"/>
    <x v="1"/>
    <n v="4"/>
    <n v="1900"/>
    <x v="2"/>
    <n v="7600"/>
    <n v="5000"/>
    <n v="2600"/>
  </r>
  <r>
    <s v="ORD12068"/>
    <x v="817"/>
    <s v="CUST1454"/>
    <s v="Customer 454"/>
    <x v="3"/>
    <s v="Delhi"/>
    <x v="1"/>
    <s v="Kitchen"/>
    <x v="1"/>
    <n v="3"/>
    <n v="1900"/>
    <x v="3"/>
    <n v="4845"/>
    <n v="3750"/>
    <n v="1095"/>
  </r>
  <r>
    <s v="ORD13568"/>
    <x v="818"/>
    <s v="CUST1077"/>
    <s v="Customer 077"/>
    <x v="1"/>
    <s v="Karnataka"/>
    <x v="0"/>
    <s v="Stationery"/>
    <x v="15"/>
    <n v="5"/>
    <n v="450"/>
    <x v="3"/>
    <n v="1912.5"/>
    <n v="1300"/>
    <n v="612.5"/>
  </r>
  <r>
    <s v="ORD13341"/>
    <x v="819"/>
    <s v="CUST1271"/>
    <s v="Customer 271"/>
    <x v="1"/>
    <s v="Kerala"/>
    <x v="0"/>
    <s v="Stationery"/>
    <x v="10"/>
    <n v="3"/>
    <n v="280"/>
    <x v="5"/>
    <n v="672"/>
    <n v="480"/>
    <n v="192"/>
  </r>
  <r>
    <s v="ORD12308"/>
    <x v="820"/>
    <s v="CUST1077"/>
    <s v="Customer 077"/>
    <x v="1"/>
    <s v="Kerala"/>
    <x v="2"/>
    <s v="Audio"/>
    <x v="17"/>
    <n v="2"/>
    <n v="2800"/>
    <x v="4"/>
    <n v="5320"/>
    <n v="3600"/>
    <n v="1720"/>
  </r>
  <r>
    <s v="ORD12790"/>
    <x v="821"/>
    <s v="CUST1418"/>
    <s v="Customer 418"/>
    <x v="3"/>
    <s v="Uttar Pradesh"/>
    <x v="2"/>
    <s v="Accessories"/>
    <x v="9"/>
    <n v="3"/>
    <n v="850"/>
    <x v="0"/>
    <n v="2295"/>
    <n v="1680"/>
    <n v="615"/>
  </r>
  <r>
    <s v="ORD13204"/>
    <x v="822"/>
    <s v="CUST1071"/>
    <s v="Customer 071"/>
    <x v="2"/>
    <s v="Rajasthan"/>
    <x v="2"/>
    <s v="Accessories"/>
    <x v="9"/>
    <n v="2"/>
    <n v="850"/>
    <x v="0"/>
    <n v="1530"/>
    <n v="1120"/>
    <n v="410"/>
  </r>
  <r>
    <s v="ORD13092"/>
    <x v="823"/>
    <s v="CUST1197"/>
    <s v="Customer 197"/>
    <x v="3"/>
    <s v="Punjab"/>
    <x v="2"/>
    <s v="Monitors"/>
    <x v="11"/>
    <n v="1"/>
    <n v="10500"/>
    <x v="1"/>
    <n v="7875"/>
    <n v="7600"/>
    <n v="275"/>
  </r>
  <r>
    <s v="ORD12776"/>
    <x v="824"/>
    <s v="CUST1151"/>
    <s v="Customer 151"/>
    <x v="1"/>
    <s v="Tamil Nadu"/>
    <x v="2"/>
    <s v="Accessories"/>
    <x v="8"/>
    <n v="4"/>
    <n v="1800"/>
    <x v="5"/>
    <n v="5760"/>
    <n v="4400"/>
    <n v="1360"/>
  </r>
  <r>
    <s v="ORD13836"/>
    <x v="825"/>
    <s v="CUST1363"/>
    <s v="Customer 363"/>
    <x v="1"/>
    <s v="Tamil Nadu"/>
    <x v="1"/>
    <s v="Kitchen"/>
    <x v="4"/>
    <n v="2"/>
    <n v="6800"/>
    <x v="0"/>
    <n v="12240"/>
    <n v="9400"/>
    <n v="2840"/>
  </r>
  <r>
    <s v="ORD12410"/>
    <x v="826"/>
    <s v="CUST1014"/>
    <s v="Customer 014"/>
    <x v="1"/>
    <s v="Telangana"/>
    <x v="2"/>
    <s v="Audio"/>
    <x v="5"/>
    <n v="2"/>
    <n v="2200"/>
    <x v="0"/>
    <n v="3960"/>
    <n v="2900"/>
    <n v="1060"/>
  </r>
  <r>
    <s v="ORD13218"/>
    <x v="827"/>
    <s v="CUST1215"/>
    <s v="Customer 215"/>
    <x v="1"/>
    <s v="Karnataka"/>
    <x v="3"/>
    <s v="Tables"/>
    <x v="16"/>
    <n v="4"/>
    <n v="6200"/>
    <x v="3"/>
    <n v="21080"/>
    <n v="17200"/>
    <n v="3880"/>
  </r>
  <r>
    <s v="ORD10912"/>
    <x v="828"/>
    <s v="CUST1092"/>
    <s v="Customer 092"/>
    <x v="1"/>
    <s v="Telangana"/>
    <x v="3"/>
    <s v="Storage"/>
    <x v="6"/>
    <n v="4"/>
    <n v="5600"/>
    <x v="4"/>
    <n v="21280"/>
    <n v="15600"/>
    <n v="5680"/>
  </r>
  <r>
    <s v="ORD11340"/>
    <x v="829"/>
    <s v="CUST1204"/>
    <s v="Customer 204"/>
    <x v="2"/>
    <s v="Rajasthan"/>
    <x v="2"/>
    <s v="Accessories"/>
    <x v="8"/>
    <n v="3"/>
    <n v="1800"/>
    <x v="3"/>
    <n v="4590"/>
    <n v="3300"/>
    <n v="1290"/>
  </r>
  <r>
    <s v="ORD11135"/>
    <x v="830"/>
    <s v="CUST1307"/>
    <s v="Customer 307"/>
    <x v="3"/>
    <s v="Uttar Pradesh"/>
    <x v="2"/>
    <s v="Monitors"/>
    <x v="11"/>
    <n v="1"/>
    <n v="10500"/>
    <x v="4"/>
    <n v="9975"/>
    <n v="7600"/>
    <n v="2375"/>
  </r>
  <r>
    <s v="ORD11289"/>
    <x v="831"/>
    <s v="CUST1051"/>
    <s v="Customer 051"/>
    <x v="1"/>
    <s v="Telangana"/>
    <x v="3"/>
    <s v="Tables"/>
    <x v="16"/>
    <n v="1"/>
    <n v="6200"/>
    <x v="4"/>
    <n v="5890"/>
    <n v="4300"/>
    <n v="1590"/>
  </r>
  <r>
    <s v="ORD11464"/>
    <x v="832"/>
    <s v="CUST1026"/>
    <s v="Customer 026"/>
    <x v="1"/>
    <s v="Kerala"/>
    <x v="2"/>
    <s v="Accessories"/>
    <x v="9"/>
    <n v="3"/>
    <n v="850"/>
    <x v="2"/>
    <n v="2550"/>
    <n v="1680"/>
    <n v="870"/>
  </r>
  <r>
    <s v="ORD11058"/>
    <x v="833"/>
    <s v="CUST1387"/>
    <s v="Customer 387"/>
    <x v="1"/>
    <s v="Kerala"/>
    <x v="1"/>
    <s v="Kitchen"/>
    <x v="4"/>
    <n v="1"/>
    <n v="6800"/>
    <x v="4"/>
    <n v="6460"/>
    <n v="4700"/>
    <n v="1760"/>
  </r>
  <r>
    <s v="ORD12870"/>
    <x v="834"/>
    <s v="CUST1103"/>
    <s v="Customer 103"/>
    <x v="2"/>
    <s v="Maharashtra"/>
    <x v="1"/>
    <s v="Appliances"/>
    <x v="7"/>
    <n v="2"/>
    <n v="2400"/>
    <x v="1"/>
    <n v="3600"/>
    <n v="3300"/>
    <n v="300"/>
  </r>
  <r>
    <s v="ORD10615"/>
    <x v="835"/>
    <s v="CUST1344"/>
    <s v="Customer 344"/>
    <x v="1"/>
    <s v="Kerala"/>
    <x v="2"/>
    <s v="Accessories"/>
    <x v="9"/>
    <n v="3"/>
    <n v="850"/>
    <x v="0"/>
    <n v="2295"/>
    <n v="1680"/>
    <n v="615"/>
  </r>
  <r>
    <s v="ORD13599"/>
    <x v="836"/>
    <s v="CUST1143"/>
    <s v="Customer 143"/>
    <x v="2"/>
    <s v="Maharashtra"/>
    <x v="0"/>
    <s v="Paper"/>
    <x v="3"/>
    <n v="1"/>
    <n v="520"/>
    <x v="0"/>
    <n v="468"/>
    <n v="330"/>
    <n v="138"/>
  </r>
  <r>
    <s v="ORD12200"/>
    <x v="837"/>
    <s v="CUST1084"/>
    <s v="Customer 084"/>
    <x v="1"/>
    <s v="Tamil Nadu"/>
    <x v="0"/>
    <s v="Paper"/>
    <x v="3"/>
    <n v="5"/>
    <n v="520"/>
    <x v="3"/>
    <n v="2210"/>
    <n v="1650"/>
    <n v="560"/>
  </r>
  <r>
    <s v="ORD10792"/>
    <x v="838"/>
    <s v="CUST1228"/>
    <s v="Customer 228"/>
    <x v="1"/>
    <s v="Telangana"/>
    <x v="1"/>
    <s v="Kitchen"/>
    <x v="2"/>
    <n v="2"/>
    <n v="4200"/>
    <x v="5"/>
    <n v="6720"/>
    <n v="5800"/>
    <n v="920"/>
  </r>
  <r>
    <s v="ORD10464"/>
    <x v="839"/>
    <s v="CUST1210"/>
    <s v="Customer 210"/>
    <x v="2"/>
    <s v="Gujarat"/>
    <x v="1"/>
    <s v="Appliances"/>
    <x v="7"/>
    <n v="5"/>
    <n v="2400"/>
    <x v="0"/>
    <n v="10800"/>
    <n v="8250"/>
    <n v="2550"/>
  </r>
  <r>
    <s v="ORD13155"/>
    <x v="840"/>
    <s v="CUST1035"/>
    <s v="Customer 035"/>
    <x v="1"/>
    <s v="Telangana"/>
    <x v="2"/>
    <s v="Accessories"/>
    <x v="9"/>
    <n v="5"/>
    <n v="850"/>
    <x v="0"/>
    <n v="3825"/>
    <n v="2800"/>
    <n v="1025"/>
  </r>
  <r>
    <s v="ORD12245"/>
    <x v="841"/>
    <s v="CUST1356"/>
    <s v="Customer 356"/>
    <x v="3"/>
    <s v="Punjab"/>
    <x v="2"/>
    <s v="Accessories"/>
    <x v="13"/>
    <n v="2"/>
    <n v="1400"/>
    <x v="3"/>
    <n v="2380"/>
    <n v="1800"/>
    <n v="580"/>
  </r>
  <r>
    <s v="ORD10889"/>
    <x v="842"/>
    <s v="CUST1008"/>
    <s v="Customer 008"/>
    <x v="1"/>
    <s v="Andhra Pradesh"/>
    <x v="0"/>
    <s v="Stationery"/>
    <x v="15"/>
    <n v="4"/>
    <n v="450"/>
    <x v="3"/>
    <n v="1530"/>
    <n v="1040"/>
    <n v="490"/>
  </r>
  <r>
    <s v="ORD10045"/>
    <x v="843"/>
    <s v="CUST1034"/>
    <s v="Customer 034"/>
    <x v="0"/>
    <s v="Bihar"/>
    <x v="1"/>
    <s v="Kitchen"/>
    <x v="4"/>
    <n v="2"/>
    <n v="6800"/>
    <x v="5"/>
    <n v="10880"/>
    <n v="9400"/>
    <n v="1480"/>
  </r>
  <r>
    <s v="ORD12378"/>
    <x v="844"/>
    <s v="CUST1069"/>
    <s v="Customer 069"/>
    <x v="1"/>
    <s v="Tamil Nadu"/>
    <x v="2"/>
    <s v="Accessories"/>
    <x v="9"/>
    <n v="1"/>
    <n v="850"/>
    <x v="3"/>
    <n v="722.5"/>
    <n v="560"/>
    <n v="162.5"/>
  </r>
  <r>
    <s v="ORD10228"/>
    <x v="845"/>
    <s v="CUST1290"/>
    <s v="Customer 290"/>
    <x v="1"/>
    <s v="Andhra Pradesh"/>
    <x v="2"/>
    <s v="Accessories"/>
    <x v="13"/>
    <n v="5"/>
    <n v="1400"/>
    <x v="0"/>
    <n v="6300"/>
    <n v="4500"/>
    <n v="1800"/>
  </r>
  <r>
    <s v="ORD13369"/>
    <x v="846"/>
    <s v="CUST1212"/>
    <s v="Customer 212"/>
    <x v="3"/>
    <s v="Uttar Pradesh"/>
    <x v="0"/>
    <s v="Stationery"/>
    <x v="15"/>
    <n v="4"/>
    <n v="450"/>
    <x v="0"/>
    <n v="1620"/>
    <n v="1040"/>
    <n v="580"/>
  </r>
  <r>
    <s v="ORD11291"/>
    <x v="847"/>
    <s v="CUST1117"/>
    <s v="Customer 117"/>
    <x v="1"/>
    <s v="Tamil Nadu"/>
    <x v="3"/>
    <s v="Storage"/>
    <x v="14"/>
    <n v="2"/>
    <n v="4800"/>
    <x v="2"/>
    <n v="9600"/>
    <n v="6600"/>
    <n v="3000"/>
  </r>
  <r>
    <s v="ORD11957"/>
    <x v="848"/>
    <s v="CUST1265"/>
    <s v="Customer 265"/>
    <x v="0"/>
    <s v="Jharkhand"/>
    <x v="0"/>
    <s v="Stationery"/>
    <x v="15"/>
    <n v="1"/>
    <n v="450"/>
    <x v="2"/>
    <n v="450"/>
    <n v="260"/>
    <n v="190"/>
  </r>
  <r>
    <s v="ORD13861"/>
    <x v="849"/>
    <s v="CUST1272"/>
    <s v="Customer 272"/>
    <x v="2"/>
    <s v="Rajasthan"/>
    <x v="1"/>
    <s v="Kitchen"/>
    <x v="4"/>
    <n v="1"/>
    <n v="6800"/>
    <x v="3"/>
    <n v="5780"/>
    <n v="4700"/>
    <n v="1080"/>
  </r>
  <r>
    <s v="ORD10216"/>
    <x v="850"/>
    <s v="CUST1137"/>
    <s v="Customer 137"/>
    <x v="1"/>
    <s v="Tamil Nadu"/>
    <x v="2"/>
    <s v="Accessories"/>
    <x v="9"/>
    <n v="4"/>
    <n v="850"/>
    <x v="5"/>
    <n v="2720"/>
    <n v="2240"/>
    <n v="480"/>
  </r>
  <r>
    <s v="ORD12847"/>
    <x v="851"/>
    <s v="CUST1432"/>
    <s v="Customer 432"/>
    <x v="1"/>
    <s v="Telangana"/>
    <x v="0"/>
    <s v="Stationery"/>
    <x v="15"/>
    <n v="4"/>
    <n v="450"/>
    <x v="3"/>
    <n v="1530"/>
    <n v="1040"/>
    <n v="490"/>
  </r>
  <r>
    <s v="ORD12287"/>
    <x v="852"/>
    <s v="CUST1454"/>
    <s v="Customer 454"/>
    <x v="0"/>
    <s v="Odisha"/>
    <x v="1"/>
    <s v="Kitchen"/>
    <x v="4"/>
    <n v="1"/>
    <n v="6800"/>
    <x v="5"/>
    <n v="5440"/>
    <n v="4700"/>
    <n v="740"/>
  </r>
  <r>
    <s v="ORD12774"/>
    <x v="853"/>
    <s v="CUST1353"/>
    <s v="Customer 353"/>
    <x v="2"/>
    <s v="Goa"/>
    <x v="0"/>
    <s v="Paper"/>
    <x v="3"/>
    <n v="4"/>
    <n v="520"/>
    <x v="5"/>
    <n v="1664"/>
    <n v="1320"/>
    <n v="344"/>
  </r>
  <r>
    <s v="ORD13937"/>
    <x v="854"/>
    <s v="CUST1262"/>
    <s v="Customer 262"/>
    <x v="1"/>
    <s v="Andhra Pradesh"/>
    <x v="1"/>
    <s v="Kitchen"/>
    <x v="1"/>
    <n v="2"/>
    <n v="1900"/>
    <x v="2"/>
    <n v="3800"/>
    <n v="2500"/>
    <n v="1300"/>
  </r>
  <r>
    <s v="ORD12942"/>
    <x v="855"/>
    <s v="CUST1469"/>
    <s v="Customer 469"/>
    <x v="1"/>
    <s v="Tamil Nadu"/>
    <x v="1"/>
    <s v="Kitchen"/>
    <x v="4"/>
    <n v="5"/>
    <n v="6800"/>
    <x v="0"/>
    <n v="30600"/>
    <n v="23500"/>
    <n v="7100"/>
  </r>
  <r>
    <s v="ORD11832"/>
    <x v="856"/>
    <s v="CUST1477"/>
    <s v="Customer 477"/>
    <x v="2"/>
    <s v="Rajasthan"/>
    <x v="2"/>
    <s v="Accessories"/>
    <x v="8"/>
    <n v="3"/>
    <n v="1800"/>
    <x v="5"/>
    <n v="4320"/>
    <n v="3300"/>
    <n v="1020"/>
  </r>
  <r>
    <s v="ORD12610"/>
    <x v="857"/>
    <s v="CUST1414"/>
    <s v="Customer 414"/>
    <x v="0"/>
    <s v="Bihar"/>
    <x v="0"/>
    <s v="Accessories"/>
    <x v="0"/>
    <n v="5"/>
    <n v="650"/>
    <x v="1"/>
    <n v="2437.5"/>
    <n v="1950"/>
    <n v="487.5"/>
  </r>
  <r>
    <s v="ORD10420"/>
    <x v="858"/>
    <s v="CUST1254"/>
    <s v="Customer 254"/>
    <x v="0"/>
    <s v="Jharkhand"/>
    <x v="2"/>
    <s v="Accessories"/>
    <x v="9"/>
    <n v="1"/>
    <n v="850"/>
    <x v="2"/>
    <n v="850"/>
    <n v="560"/>
    <n v="290"/>
  </r>
  <r>
    <s v="ORD12360"/>
    <x v="859"/>
    <s v="CUST1105"/>
    <s v="Customer 105"/>
    <x v="3"/>
    <s v="Punjab"/>
    <x v="0"/>
    <s v="Stationery"/>
    <x v="18"/>
    <n v="1"/>
    <n v="300"/>
    <x v="3"/>
    <n v="255"/>
    <n v="170"/>
    <n v="85"/>
  </r>
  <r>
    <s v="ORD10809"/>
    <x v="860"/>
    <s v="CUST1196"/>
    <s v="Customer 196"/>
    <x v="1"/>
    <s v="Tamil Nadu"/>
    <x v="1"/>
    <s v="Kitchen"/>
    <x v="4"/>
    <n v="1"/>
    <n v="6800"/>
    <x v="5"/>
    <n v="5440"/>
    <n v="4700"/>
    <n v="740"/>
  </r>
  <r>
    <s v="ORD11152"/>
    <x v="861"/>
    <s v="CUST1253"/>
    <s v="Customer 253"/>
    <x v="2"/>
    <s v="Goa"/>
    <x v="3"/>
    <s v="Tables"/>
    <x v="16"/>
    <n v="2"/>
    <n v="6200"/>
    <x v="3"/>
    <n v="10540"/>
    <n v="8600"/>
    <n v="1940"/>
  </r>
  <r>
    <s v="ORD12057"/>
    <x v="862"/>
    <s v="CUST1368"/>
    <s v="Customer 368"/>
    <x v="1"/>
    <s v="Telangana"/>
    <x v="2"/>
    <s v="Accessories"/>
    <x v="13"/>
    <n v="1"/>
    <n v="1400"/>
    <x v="5"/>
    <n v="1120"/>
    <n v="900"/>
    <n v="220"/>
  </r>
  <r>
    <s v="ORD12935"/>
    <x v="863"/>
    <s v="CUST1404"/>
    <s v="Customer 404"/>
    <x v="2"/>
    <s v="Maharashtra"/>
    <x v="3"/>
    <s v="Chairs"/>
    <x v="12"/>
    <n v="4"/>
    <n v="7500"/>
    <x v="0"/>
    <n v="27000"/>
    <n v="20800"/>
    <n v="6200"/>
  </r>
  <r>
    <s v="ORD12927"/>
    <x v="864"/>
    <s v="CUST1309"/>
    <s v="Customer 309"/>
    <x v="1"/>
    <s v="Kerala"/>
    <x v="3"/>
    <s v="Storage"/>
    <x v="14"/>
    <n v="3"/>
    <n v="4800"/>
    <x v="0"/>
    <n v="12960"/>
    <n v="9900"/>
    <n v="3060"/>
  </r>
  <r>
    <s v="ORD13314"/>
    <x v="865"/>
    <s v="CUST1113"/>
    <s v="Customer 113"/>
    <x v="2"/>
    <s v="Rajasthan"/>
    <x v="2"/>
    <s v="Accessories"/>
    <x v="8"/>
    <n v="3"/>
    <n v="1800"/>
    <x v="2"/>
    <n v="5400"/>
    <n v="3300"/>
    <n v="2100"/>
  </r>
  <r>
    <s v="ORD12465"/>
    <x v="866"/>
    <s v="CUST1232"/>
    <s v="Customer 232"/>
    <x v="1"/>
    <s v="Telangana"/>
    <x v="2"/>
    <s v="Monitors"/>
    <x v="11"/>
    <n v="2"/>
    <n v="10500"/>
    <x v="2"/>
    <n v="21000"/>
    <n v="15200"/>
    <n v="5800"/>
  </r>
  <r>
    <s v="ORD11444"/>
    <x v="867"/>
    <s v="CUST1217"/>
    <s v="Customer 217"/>
    <x v="1"/>
    <s v="Karnataka"/>
    <x v="2"/>
    <s v="Accessories"/>
    <x v="9"/>
    <n v="4"/>
    <n v="850"/>
    <x v="0"/>
    <n v="3060"/>
    <n v="2240"/>
    <n v="820"/>
  </r>
  <r>
    <s v="ORD13908"/>
    <x v="868"/>
    <s v="CUST1486"/>
    <s v="Customer 486"/>
    <x v="2"/>
    <s v="Maharashtra"/>
    <x v="0"/>
    <s v="Stationery"/>
    <x v="18"/>
    <n v="3"/>
    <n v="300"/>
    <x v="0"/>
    <n v="810"/>
    <n v="510"/>
    <n v="300"/>
  </r>
  <r>
    <s v="ORD13273"/>
    <x v="869"/>
    <s v="CUST1327"/>
    <s v="Customer 327"/>
    <x v="3"/>
    <s v="Haryana"/>
    <x v="1"/>
    <s v="Kitchen"/>
    <x v="1"/>
    <n v="4"/>
    <n v="1900"/>
    <x v="5"/>
    <n v="6080"/>
    <n v="5000"/>
    <n v="1080"/>
  </r>
  <r>
    <s v="ORD11528"/>
    <x v="870"/>
    <s v="CUST1070"/>
    <s v="Customer 070"/>
    <x v="1"/>
    <s v="Telangana"/>
    <x v="2"/>
    <s v="Monitors"/>
    <x v="11"/>
    <n v="1"/>
    <n v="10500"/>
    <x v="3"/>
    <n v="8925"/>
    <n v="7600"/>
    <n v="1325"/>
  </r>
  <r>
    <s v="ORD11374"/>
    <x v="871"/>
    <s v="CUST1211"/>
    <s v="Customer 211"/>
    <x v="1"/>
    <s v="Andhra Pradesh"/>
    <x v="1"/>
    <s v="Kitchen"/>
    <x v="4"/>
    <n v="5"/>
    <n v="6800"/>
    <x v="3"/>
    <n v="28900"/>
    <n v="23500"/>
    <n v="5400"/>
  </r>
  <r>
    <s v="ORD13086"/>
    <x v="872"/>
    <s v="CUST1181"/>
    <s v="Customer 181"/>
    <x v="1"/>
    <s v="Telangana"/>
    <x v="1"/>
    <s v="Kitchen"/>
    <x v="1"/>
    <n v="2"/>
    <n v="1900"/>
    <x v="4"/>
    <n v="3610"/>
    <n v="2500"/>
    <n v="1110"/>
  </r>
  <r>
    <s v="ORD10350"/>
    <x v="873"/>
    <s v="CUST1083"/>
    <s v="Customer 083"/>
    <x v="1"/>
    <s v="Kerala"/>
    <x v="2"/>
    <s v="Accessories"/>
    <x v="8"/>
    <n v="5"/>
    <n v="1800"/>
    <x v="4"/>
    <n v="8550"/>
    <n v="5500"/>
    <n v="3050"/>
  </r>
  <r>
    <s v="ORD10897"/>
    <x v="874"/>
    <s v="CUST1255"/>
    <s v="Customer 255"/>
    <x v="0"/>
    <s v="West Bengal"/>
    <x v="2"/>
    <s v="Audio"/>
    <x v="17"/>
    <n v="1"/>
    <n v="2800"/>
    <x v="3"/>
    <n v="2380"/>
    <n v="1800"/>
    <n v="580"/>
  </r>
  <r>
    <s v="ORD10341"/>
    <x v="875"/>
    <s v="CUST1318"/>
    <s v="Customer 318"/>
    <x v="1"/>
    <s v="Telangana"/>
    <x v="2"/>
    <s v="Accessories"/>
    <x v="13"/>
    <n v="5"/>
    <n v="1400"/>
    <x v="0"/>
    <n v="6300"/>
    <n v="4500"/>
    <n v="1800"/>
  </r>
  <r>
    <s v="ORD13038"/>
    <x v="876"/>
    <s v="CUST1078"/>
    <s v="Customer 078"/>
    <x v="1"/>
    <s v="Karnataka"/>
    <x v="3"/>
    <s v="Tables"/>
    <x v="16"/>
    <n v="2"/>
    <n v="6200"/>
    <x v="3"/>
    <n v="10540"/>
    <n v="8600"/>
    <n v="1940"/>
  </r>
  <r>
    <s v="ORD11148"/>
    <x v="877"/>
    <s v="CUST1385"/>
    <s v="Customer 385"/>
    <x v="3"/>
    <s v="Haryana"/>
    <x v="3"/>
    <s v="Chairs"/>
    <x v="12"/>
    <n v="1"/>
    <n v="7500"/>
    <x v="5"/>
    <n v="6000"/>
    <n v="5200"/>
    <n v="800"/>
  </r>
  <r>
    <s v="ORD11214"/>
    <x v="878"/>
    <s v="CUST1434"/>
    <s v="Customer 434"/>
    <x v="2"/>
    <s v="Rajasthan"/>
    <x v="2"/>
    <s v="Audio"/>
    <x v="17"/>
    <n v="5"/>
    <n v="2800"/>
    <x v="0"/>
    <n v="12600"/>
    <n v="9000"/>
    <n v="3600"/>
  </r>
  <r>
    <s v="ORD12757"/>
    <x v="879"/>
    <s v="CUST1443"/>
    <s v="Customer 443"/>
    <x v="1"/>
    <s v="Kerala"/>
    <x v="1"/>
    <s v="Kitchen"/>
    <x v="1"/>
    <n v="4"/>
    <n v="1900"/>
    <x v="5"/>
    <n v="6080"/>
    <n v="5000"/>
    <n v="1080"/>
  </r>
  <r>
    <s v="ORD12670"/>
    <x v="880"/>
    <s v="CUST1482"/>
    <s v="Customer 482"/>
    <x v="1"/>
    <s v="Karnataka"/>
    <x v="2"/>
    <s v="Audio"/>
    <x v="5"/>
    <n v="1"/>
    <n v="2200"/>
    <x v="0"/>
    <n v="1980"/>
    <n v="1450"/>
    <n v="530"/>
  </r>
  <r>
    <s v="ORD13742"/>
    <x v="881"/>
    <s v="CUST1152"/>
    <s v="Customer 152"/>
    <x v="2"/>
    <s v="Maharashtra"/>
    <x v="3"/>
    <s v="Tables"/>
    <x v="16"/>
    <n v="5"/>
    <n v="6200"/>
    <x v="3"/>
    <n v="26350"/>
    <n v="21500"/>
    <n v="4850"/>
  </r>
  <r>
    <s v="ORD11668"/>
    <x v="882"/>
    <s v="CUST1339"/>
    <s v="Customer 339"/>
    <x v="1"/>
    <s v="Andhra Pradesh"/>
    <x v="1"/>
    <s v="Kitchen"/>
    <x v="1"/>
    <n v="5"/>
    <n v="1900"/>
    <x v="4"/>
    <n v="9025"/>
    <n v="6250"/>
    <n v="2775"/>
  </r>
  <r>
    <s v="ORD13407"/>
    <x v="883"/>
    <s v="CUST1178"/>
    <s v="Customer 178"/>
    <x v="1"/>
    <s v="Andhra Pradesh"/>
    <x v="0"/>
    <s v="Accessories"/>
    <x v="0"/>
    <n v="4"/>
    <n v="650"/>
    <x v="0"/>
    <n v="2340"/>
    <n v="1560"/>
    <n v="780"/>
  </r>
  <r>
    <s v="ORD12001"/>
    <x v="884"/>
    <s v="CUST1440"/>
    <s v="Customer 440"/>
    <x v="3"/>
    <s v="Punjab"/>
    <x v="0"/>
    <s v="Paper"/>
    <x v="3"/>
    <n v="1"/>
    <n v="520"/>
    <x v="3"/>
    <n v="442"/>
    <n v="330"/>
    <n v="112"/>
  </r>
  <r>
    <s v="ORD10009"/>
    <x v="885"/>
    <s v="CUST1101"/>
    <s v="Customer 101"/>
    <x v="1"/>
    <s v="Kerala"/>
    <x v="1"/>
    <s v="Kitchen"/>
    <x v="2"/>
    <n v="4"/>
    <n v="4200"/>
    <x v="2"/>
    <n v="16800"/>
    <n v="11600"/>
    <n v="5200"/>
  </r>
  <r>
    <s v="ORD12271"/>
    <x v="886"/>
    <s v="CUST1161"/>
    <s v="Customer 161"/>
    <x v="0"/>
    <s v="Odisha"/>
    <x v="0"/>
    <s v="Stationery"/>
    <x v="10"/>
    <n v="1"/>
    <n v="280"/>
    <x v="3"/>
    <n v="238"/>
    <n v="160"/>
    <n v="78"/>
  </r>
  <r>
    <s v="ORD10969"/>
    <x v="887"/>
    <s v="CUST1461"/>
    <s v="Customer 461"/>
    <x v="2"/>
    <s v="Maharashtra"/>
    <x v="1"/>
    <s v="Kitchen"/>
    <x v="4"/>
    <n v="2"/>
    <n v="6800"/>
    <x v="0"/>
    <n v="12240"/>
    <n v="9400"/>
    <n v="2840"/>
  </r>
  <r>
    <s v="ORD10265"/>
    <x v="888"/>
    <s v="CUST1495"/>
    <s v="Customer 495"/>
    <x v="2"/>
    <s v="Gujarat"/>
    <x v="0"/>
    <s v="Stationery"/>
    <x v="10"/>
    <n v="5"/>
    <n v="280"/>
    <x v="0"/>
    <n v="1260"/>
    <n v="800"/>
    <n v="460"/>
  </r>
  <r>
    <s v="ORD10941"/>
    <x v="889"/>
    <s v="CUST1346"/>
    <s v="Customer 346"/>
    <x v="0"/>
    <s v="Jharkhand"/>
    <x v="2"/>
    <s v="Accessories"/>
    <x v="9"/>
    <n v="5"/>
    <n v="850"/>
    <x v="0"/>
    <n v="3825"/>
    <n v="2800"/>
    <n v="1025"/>
  </r>
  <r>
    <s v="ORD13452"/>
    <x v="890"/>
    <s v="CUST1028"/>
    <s v="Customer 028"/>
    <x v="2"/>
    <s v="Gujarat"/>
    <x v="1"/>
    <s v="Appliances"/>
    <x v="7"/>
    <n v="4"/>
    <n v="2400"/>
    <x v="2"/>
    <n v="9600"/>
    <n v="6600"/>
    <n v="3000"/>
  </r>
  <r>
    <s v="ORD10662"/>
    <x v="891"/>
    <s v="CUST1368"/>
    <s v="Customer 368"/>
    <x v="1"/>
    <s v="Kerala"/>
    <x v="2"/>
    <s v="Accessories"/>
    <x v="13"/>
    <n v="2"/>
    <n v="1400"/>
    <x v="2"/>
    <n v="2800"/>
    <n v="1800"/>
    <n v="1000"/>
  </r>
  <r>
    <s v="ORD10447"/>
    <x v="892"/>
    <s v="CUST1157"/>
    <s v="Customer 157"/>
    <x v="1"/>
    <s v="Tamil Nadu"/>
    <x v="3"/>
    <s v="Chairs"/>
    <x v="12"/>
    <n v="1"/>
    <n v="7500"/>
    <x v="0"/>
    <n v="6750"/>
    <n v="5200"/>
    <n v="1550"/>
  </r>
  <r>
    <s v="ORD10819"/>
    <x v="893"/>
    <s v="CUST1333"/>
    <s v="Customer 333"/>
    <x v="2"/>
    <s v="Maharashtra"/>
    <x v="0"/>
    <s v="Accessories"/>
    <x v="0"/>
    <n v="1"/>
    <n v="650"/>
    <x v="3"/>
    <n v="552.5"/>
    <n v="390"/>
    <n v="162.5"/>
  </r>
  <r>
    <s v="ORD12423"/>
    <x v="894"/>
    <s v="CUST1052"/>
    <s v="Customer 052"/>
    <x v="2"/>
    <s v="Rajasthan"/>
    <x v="3"/>
    <s v="Storage"/>
    <x v="6"/>
    <n v="4"/>
    <n v="5600"/>
    <x v="3"/>
    <n v="19040"/>
    <n v="15600"/>
    <n v="3440"/>
  </r>
  <r>
    <s v="ORD11805"/>
    <x v="895"/>
    <s v="CUST1064"/>
    <s v="Customer 064"/>
    <x v="1"/>
    <s v="Telangana"/>
    <x v="2"/>
    <s v="Audio"/>
    <x v="5"/>
    <n v="1"/>
    <n v="2200"/>
    <x v="2"/>
    <n v="2200"/>
    <n v="1450"/>
    <n v="750"/>
  </r>
  <r>
    <s v="ORD13555"/>
    <x v="896"/>
    <s v="CUST1208"/>
    <s v="Customer 208"/>
    <x v="2"/>
    <s v="Gujarat"/>
    <x v="0"/>
    <s v="Stationery"/>
    <x v="10"/>
    <n v="2"/>
    <n v="280"/>
    <x v="4"/>
    <n v="532"/>
    <n v="320"/>
    <n v="212"/>
  </r>
  <r>
    <s v="ORD13890"/>
    <x v="897"/>
    <s v="CUST1413"/>
    <s v="Customer 413"/>
    <x v="1"/>
    <s v="Kerala"/>
    <x v="2"/>
    <s v="Accessories"/>
    <x v="9"/>
    <n v="4"/>
    <n v="850"/>
    <x v="5"/>
    <n v="2720"/>
    <n v="2240"/>
    <n v="480"/>
  </r>
  <r>
    <s v="ORD10395"/>
    <x v="898"/>
    <s v="CUST1360"/>
    <s v="Customer 360"/>
    <x v="2"/>
    <s v="Goa"/>
    <x v="2"/>
    <s v="Monitors"/>
    <x v="11"/>
    <n v="1"/>
    <n v="10500"/>
    <x v="0"/>
    <n v="9450"/>
    <n v="7600"/>
    <n v="1850"/>
  </r>
  <r>
    <s v="ORD13831"/>
    <x v="899"/>
    <s v="CUST1449"/>
    <s v="Customer 449"/>
    <x v="3"/>
    <s v="Uttar Pradesh"/>
    <x v="2"/>
    <s v="Audio"/>
    <x v="5"/>
    <n v="1"/>
    <n v="2200"/>
    <x v="2"/>
    <n v="2200"/>
    <n v="1450"/>
    <n v="750"/>
  </r>
  <r>
    <s v="ORD10137"/>
    <x v="900"/>
    <s v="CUST1302"/>
    <s v="Customer 302"/>
    <x v="1"/>
    <s v="Tamil Nadu"/>
    <x v="3"/>
    <s v="Chairs"/>
    <x v="12"/>
    <n v="2"/>
    <n v="7500"/>
    <x v="4"/>
    <n v="14250"/>
    <n v="10400"/>
    <n v="3850"/>
  </r>
  <r>
    <s v="ORD10223"/>
    <x v="901"/>
    <s v="CUST1353"/>
    <s v="Customer 353"/>
    <x v="1"/>
    <s v="Kerala"/>
    <x v="2"/>
    <s v="Accessories"/>
    <x v="13"/>
    <n v="1"/>
    <n v="1400"/>
    <x v="2"/>
    <n v="1400"/>
    <n v="900"/>
    <n v="500"/>
  </r>
  <r>
    <s v="ORD11922"/>
    <x v="902"/>
    <s v="CUST1269"/>
    <s v="Customer 269"/>
    <x v="3"/>
    <s v="Punjab"/>
    <x v="3"/>
    <s v="Chairs"/>
    <x v="12"/>
    <n v="5"/>
    <n v="7500"/>
    <x v="5"/>
    <n v="30000"/>
    <n v="26000"/>
    <n v="4000"/>
  </r>
  <r>
    <s v="ORD13936"/>
    <x v="903"/>
    <s v="CUST1425"/>
    <s v="Customer 425"/>
    <x v="2"/>
    <s v="Rajasthan"/>
    <x v="0"/>
    <s v="Accessories"/>
    <x v="0"/>
    <n v="3"/>
    <n v="650"/>
    <x v="3"/>
    <n v="1657.5"/>
    <n v="1170"/>
    <n v="487.5"/>
  </r>
  <r>
    <s v="ORD12765"/>
    <x v="904"/>
    <s v="CUST1103"/>
    <s v="Customer 103"/>
    <x v="2"/>
    <s v="Goa"/>
    <x v="0"/>
    <s v="Accessories"/>
    <x v="0"/>
    <n v="5"/>
    <n v="650"/>
    <x v="2"/>
    <n v="3250"/>
    <n v="1950"/>
    <n v="1300"/>
  </r>
  <r>
    <s v="ORD10504"/>
    <x v="905"/>
    <s v="CUST1434"/>
    <s v="Customer 434"/>
    <x v="3"/>
    <s v="Delhi"/>
    <x v="0"/>
    <s v="Stationery"/>
    <x v="15"/>
    <n v="4"/>
    <n v="450"/>
    <x v="2"/>
    <n v="1800"/>
    <n v="1040"/>
    <n v="760"/>
  </r>
  <r>
    <s v="ORD10421"/>
    <x v="906"/>
    <s v="CUST1464"/>
    <s v="Customer 464"/>
    <x v="1"/>
    <s v="Kerala"/>
    <x v="2"/>
    <s v="Monitors"/>
    <x v="11"/>
    <n v="4"/>
    <n v="10500"/>
    <x v="5"/>
    <n v="33600"/>
    <n v="30400"/>
    <n v="3200"/>
  </r>
  <r>
    <s v="ORD10535"/>
    <x v="907"/>
    <s v="CUST1289"/>
    <s v="Customer 289"/>
    <x v="0"/>
    <s v="West Bengal"/>
    <x v="0"/>
    <s v="Accessories"/>
    <x v="0"/>
    <n v="5"/>
    <n v="650"/>
    <x v="4"/>
    <n v="3087.5"/>
    <n v="1950"/>
    <n v="1137.5"/>
  </r>
  <r>
    <s v="ORD12333"/>
    <x v="908"/>
    <s v="CUST1135"/>
    <s v="Customer 135"/>
    <x v="1"/>
    <s v="Karnataka"/>
    <x v="3"/>
    <s v="Storage"/>
    <x v="14"/>
    <n v="3"/>
    <n v="4800"/>
    <x v="0"/>
    <n v="12960"/>
    <n v="9900"/>
    <n v="3060"/>
  </r>
  <r>
    <s v="ORD12501"/>
    <x v="909"/>
    <s v="CUST1350"/>
    <s v="Customer 350"/>
    <x v="1"/>
    <s v="Telangana"/>
    <x v="3"/>
    <s v="Chairs"/>
    <x v="12"/>
    <n v="4"/>
    <n v="7500"/>
    <x v="1"/>
    <n v="22500"/>
    <n v="20800"/>
    <n v="1700"/>
  </r>
  <r>
    <s v="ORD12216"/>
    <x v="910"/>
    <s v="CUST1196"/>
    <s v="Customer 196"/>
    <x v="1"/>
    <s v="Kerala"/>
    <x v="0"/>
    <s v="Paper"/>
    <x v="3"/>
    <n v="1"/>
    <n v="520"/>
    <x v="0"/>
    <n v="468"/>
    <n v="330"/>
    <n v="138"/>
  </r>
  <r>
    <s v="ORD10488"/>
    <x v="911"/>
    <s v="CUST1266"/>
    <s v="Customer 266"/>
    <x v="3"/>
    <s v="Uttar Pradesh"/>
    <x v="2"/>
    <s v="Monitors"/>
    <x v="11"/>
    <n v="1"/>
    <n v="10500"/>
    <x v="4"/>
    <n v="9975"/>
    <n v="7600"/>
    <n v="2375"/>
  </r>
  <r>
    <s v="ORD12609"/>
    <x v="912"/>
    <s v="CUST1264"/>
    <s v="Customer 264"/>
    <x v="1"/>
    <s v="Karnataka"/>
    <x v="1"/>
    <s v="Kitchen"/>
    <x v="1"/>
    <n v="1"/>
    <n v="1900"/>
    <x v="2"/>
    <n v="1900"/>
    <n v="1250"/>
    <n v="650"/>
  </r>
  <r>
    <s v="ORD11722"/>
    <x v="913"/>
    <s v="CUST1371"/>
    <s v="Customer 371"/>
    <x v="2"/>
    <s v="Maharashtra"/>
    <x v="1"/>
    <s v="Kitchen"/>
    <x v="4"/>
    <n v="5"/>
    <n v="6800"/>
    <x v="3"/>
    <n v="28900"/>
    <n v="23500"/>
    <n v="5400"/>
  </r>
  <r>
    <s v="ORD12979"/>
    <x v="914"/>
    <s v="CUST1142"/>
    <s v="Customer 142"/>
    <x v="3"/>
    <s v="Delhi"/>
    <x v="3"/>
    <s v="Chairs"/>
    <x v="12"/>
    <n v="4"/>
    <n v="7500"/>
    <x v="0"/>
    <n v="27000"/>
    <n v="20800"/>
    <n v="6200"/>
  </r>
  <r>
    <s v="ORD13975"/>
    <x v="915"/>
    <s v="CUST1048"/>
    <s v="Customer 048"/>
    <x v="0"/>
    <s v="Bihar"/>
    <x v="2"/>
    <s v="Accessories"/>
    <x v="9"/>
    <n v="5"/>
    <n v="850"/>
    <x v="3"/>
    <n v="3612.5"/>
    <n v="2800"/>
    <n v="812.5"/>
  </r>
  <r>
    <s v="ORD13419"/>
    <x v="916"/>
    <s v="CUST1049"/>
    <s v="Customer 049"/>
    <x v="1"/>
    <s v="Karnataka"/>
    <x v="0"/>
    <s v="Stationery"/>
    <x v="10"/>
    <n v="3"/>
    <n v="280"/>
    <x v="0"/>
    <n v="756"/>
    <n v="480"/>
    <n v="276"/>
  </r>
  <r>
    <s v="ORD12424"/>
    <x v="917"/>
    <s v="CUST1414"/>
    <s v="Customer 414"/>
    <x v="1"/>
    <s v="Telangana"/>
    <x v="2"/>
    <s v="Audio"/>
    <x v="5"/>
    <n v="4"/>
    <n v="2200"/>
    <x v="4"/>
    <n v="8360"/>
    <n v="5800"/>
    <n v="2560"/>
  </r>
  <r>
    <s v="ORD13214"/>
    <x v="918"/>
    <s v="CUST1483"/>
    <s v="Customer 483"/>
    <x v="0"/>
    <s v="Jharkhand"/>
    <x v="2"/>
    <s v="Accessories"/>
    <x v="9"/>
    <n v="5"/>
    <n v="850"/>
    <x v="2"/>
    <n v="4250"/>
    <n v="2800"/>
    <n v="1450"/>
  </r>
  <r>
    <s v="ORD13379"/>
    <x v="919"/>
    <s v="CUST1429"/>
    <s v="Customer 429"/>
    <x v="1"/>
    <s v="Kerala"/>
    <x v="0"/>
    <s v="Stationery"/>
    <x v="15"/>
    <n v="4"/>
    <n v="450"/>
    <x v="0"/>
    <n v="1620"/>
    <n v="1040"/>
    <n v="580"/>
  </r>
  <r>
    <s v="ORD11848"/>
    <x v="920"/>
    <s v="CUST1272"/>
    <s v="Customer 272"/>
    <x v="3"/>
    <s v="Haryana"/>
    <x v="3"/>
    <s v="Chairs"/>
    <x v="12"/>
    <n v="4"/>
    <n v="7500"/>
    <x v="3"/>
    <n v="25500"/>
    <n v="20800"/>
    <n v="4700"/>
  </r>
  <r>
    <s v="ORD10066"/>
    <x v="921"/>
    <s v="CUST1163"/>
    <s v="Customer 163"/>
    <x v="0"/>
    <s v="West Bengal"/>
    <x v="2"/>
    <s v="Monitors"/>
    <x v="11"/>
    <n v="1"/>
    <n v="10500"/>
    <x v="3"/>
    <n v="8925"/>
    <n v="7600"/>
    <n v="1325"/>
  </r>
  <r>
    <s v="ORD13349"/>
    <x v="922"/>
    <s v="CUST1061"/>
    <s v="Customer 061"/>
    <x v="2"/>
    <s v="Gujarat"/>
    <x v="3"/>
    <s v="Tables"/>
    <x v="16"/>
    <n v="5"/>
    <n v="6200"/>
    <x v="0"/>
    <n v="27900"/>
    <n v="21500"/>
    <n v="6400"/>
  </r>
  <r>
    <s v="ORD10065"/>
    <x v="923"/>
    <s v="CUST1206"/>
    <s v="Customer 206"/>
    <x v="2"/>
    <s v="Gujarat"/>
    <x v="1"/>
    <s v="Kitchen"/>
    <x v="2"/>
    <n v="5"/>
    <n v="4200"/>
    <x v="3"/>
    <n v="17850"/>
    <n v="14500"/>
    <n v="3350"/>
  </r>
  <r>
    <s v="ORD13563"/>
    <x v="924"/>
    <s v="CUST1211"/>
    <s v="Customer 211"/>
    <x v="1"/>
    <s v="Karnataka"/>
    <x v="3"/>
    <s v="Tables"/>
    <x v="16"/>
    <n v="2"/>
    <n v="6200"/>
    <x v="2"/>
    <n v="12400"/>
    <n v="8600"/>
    <n v="3800"/>
  </r>
  <r>
    <s v="ORD13321"/>
    <x v="925"/>
    <s v="CUST1043"/>
    <s v="Customer 043"/>
    <x v="1"/>
    <s v="Telangana"/>
    <x v="3"/>
    <s v="Storage"/>
    <x v="6"/>
    <n v="4"/>
    <n v="5600"/>
    <x v="3"/>
    <n v="19040"/>
    <n v="15600"/>
    <n v="3440"/>
  </r>
  <r>
    <s v="ORD11445"/>
    <x v="926"/>
    <s v="CUST1070"/>
    <s v="Customer 070"/>
    <x v="0"/>
    <s v="Odisha"/>
    <x v="0"/>
    <s v="Accessories"/>
    <x v="0"/>
    <n v="4"/>
    <n v="650"/>
    <x v="2"/>
    <n v="2600"/>
    <n v="1560"/>
    <n v="1040"/>
  </r>
  <r>
    <s v="ORD12861"/>
    <x v="927"/>
    <s v="CUST1097"/>
    <s v="Customer 097"/>
    <x v="2"/>
    <s v="Rajasthan"/>
    <x v="3"/>
    <s v="Tables"/>
    <x v="16"/>
    <n v="3"/>
    <n v="6200"/>
    <x v="4"/>
    <n v="17670"/>
    <n v="12900"/>
    <n v="4770"/>
  </r>
  <r>
    <s v="ORD11146"/>
    <x v="928"/>
    <s v="CUST1242"/>
    <s v="Customer 242"/>
    <x v="2"/>
    <s v="Goa"/>
    <x v="0"/>
    <s v="Accessories"/>
    <x v="0"/>
    <n v="4"/>
    <n v="650"/>
    <x v="5"/>
    <n v="2080"/>
    <n v="1560"/>
    <n v="520"/>
  </r>
  <r>
    <s v="ORD11739"/>
    <x v="929"/>
    <s v="CUST1002"/>
    <s v="Customer 002"/>
    <x v="3"/>
    <s v="Haryana"/>
    <x v="0"/>
    <s v="Stationery"/>
    <x v="10"/>
    <n v="4"/>
    <n v="280"/>
    <x v="4"/>
    <n v="1064"/>
    <n v="640"/>
    <n v="424"/>
  </r>
  <r>
    <s v="ORD13761"/>
    <x v="930"/>
    <s v="CUST1088"/>
    <s v="Customer 088"/>
    <x v="1"/>
    <s v="Tamil Nadu"/>
    <x v="3"/>
    <s v="Chairs"/>
    <x v="12"/>
    <n v="3"/>
    <n v="7500"/>
    <x v="4"/>
    <n v="21375"/>
    <n v="15600"/>
    <n v="5775"/>
  </r>
  <r>
    <s v="ORD10993"/>
    <x v="931"/>
    <s v="CUST1099"/>
    <s v="Customer 099"/>
    <x v="1"/>
    <s v="Telangana"/>
    <x v="2"/>
    <s v="Accessories"/>
    <x v="9"/>
    <n v="2"/>
    <n v="850"/>
    <x v="3"/>
    <n v="1445"/>
    <n v="1120"/>
    <n v="325"/>
  </r>
  <r>
    <s v="ORD13965"/>
    <x v="932"/>
    <s v="CUST1100"/>
    <s v="Customer 100"/>
    <x v="3"/>
    <s v="Punjab"/>
    <x v="2"/>
    <s v="Accessories"/>
    <x v="9"/>
    <n v="5"/>
    <n v="850"/>
    <x v="0"/>
    <n v="3825"/>
    <n v="2800"/>
    <n v="1025"/>
  </r>
  <r>
    <s v="ORD11649"/>
    <x v="933"/>
    <s v="CUST1489"/>
    <s v="Customer 489"/>
    <x v="1"/>
    <s v="Telangana"/>
    <x v="2"/>
    <s v="Audio"/>
    <x v="17"/>
    <n v="5"/>
    <n v="2800"/>
    <x v="0"/>
    <n v="12600"/>
    <n v="9000"/>
    <n v="3600"/>
  </r>
  <r>
    <s v="ORD10117"/>
    <x v="934"/>
    <s v="CUST1019"/>
    <s v="Customer 019"/>
    <x v="1"/>
    <s v="Karnataka"/>
    <x v="0"/>
    <s v="Stationery"/>
    <x v="18"/>
    <n v="3"/>
    <n v="300"/>
    <x v="4"/>
    <n v="855"/>
    <n v="510"/>
    <n v="345"/>
  </r>
  <r>
    <s v="ORD10987"/>
    <x v="935"/>
    <s v="CUST1309"/>
    <s v="Customer 309"/>
    <x v="1"/>
    <s v="Kerala"/>
    <x v="2"/>
    <s v="Accessories"/>
    <x v="8"/>
    <n v="4"/>
    <n v="1800"/>
    <x v="2"/>
    <n v="7200"/>
    <n v="4400"/>
    <n v="2800"/>
  </r>
  <r>
    <s v="ORD10204"/>
    <x v="936"/>
    <s v="CUST1350"/>
    <s v="Customer 350"/>
    <x v="1"/>
    <s v="Tamil Nadu"/>
    <x v="0"/>
    <s v="Stationery"/>
    <x v="10"/>
    <n v="3"/>
    <n v="280"/>
    <x v="2"/>
    <n v="840"/>
    <n v="480"/>
    <n v="360"/>
  </r>
  <r>
    <s v="ORD12814"/>
    <x v="937"/>
    <s v="CUST1483"/>
    <s v="Customer 483"/>
    <x v="0"/>
    <s v="Jharkhand"/>
    <x v="0"/>
    <s v="Stationery"/>
    <x v="15"/>
    <n v="2"/>
    <n v="450"/>
    <x v="4"/>
    <n v="855"/>
    <n v="520"/>
    <n v="335"/>
  </r>
  <r>
    <s v="ORD11393"/>
    <x v="938"/>
    <s v="CUST1492"/>
    <s v="Customer 492"/>
    <x v="0"/>
    <s v="Bihar"/>
    <x v="3"/>
    <s v="Chairs"/>
    <x v="12"/>
    <n v="3"/>
    <n v="7500"/>
    <x v="0"/>
    <n v="20250"/>
    <n v="15600"/>
    <n v="4650"/>
  </r>
  <r>
    <s v="ORD11001"/>
    <x v="939"/>
    <s v="CUST1405"/>
    <s v="Customer 405"/>
    <x v="3"/>
    <s v="Haryana"/>
    <x v="1"/>
    <s v="Appliances"/>
    <x v="7"/>
    <n v="2"/>
    <n v="2400"/>
    <x v="2"/>
    <n v="4800"/>
    <n v="3300"/>
    <n v="1500"/>
  </r>
  <r>
    <s v="ORD12508"/>
    <x v="940"/>
    <s v="CUST1310"/>
    <s v="Customer 310"/>
    <x v="1"/>
    <s v="Telangana"/>
    <x v="2"/>
    <s v="Accessories"/>
    <x v="13"/>
    <n v="2"/>
    <n v="1400"/>
    <x v="0"/>
    <n v="2520"/>
    <n v="1800"/>
    <n v="720"/>
  </r>
  <r>
    <s v="ORD12381"/>
    <x v="941"/>
    <s v="CUST1090"/>
    <s v="Customer 090"/>
    <x v="2"/>
    <s v="Gujarat"/>
    <x v="0"/>
    <s v="Accessories"/>
    <x v="0"/>
    <n v="2"/>
    <n v="650"/>
    <x v="3"/>
    <n v="1105"/>
    <n v="780"/>
    <n v="325"/>
  </r>
  <r>
    <s v="ORD10625"/>
    <x v="942"/>
    <s v="CUST1303"/>
    <s v="Customer 303"/>
    <x v="2"/>
    <s v="Maharashtra"/>
    <x v="3"/>
    <s v="Tables"/>
    <x v="16"/>
    <n v="3"/>
    <n v="6200"/>
    <x v="0"/>
    <n v="16740"/>
    <n v="12900"/>
    <n v="3840"/>
  </r>
  <r>
    <s v="ORD10008"/>
    <x v="943"/>
    <s v="CUST1349"/>
    <s v="Customer 349"/>
    <x v="1"/>
    <s v="Tamil Nadu"/>
    <x v="0"/>
    <s v="Stationery"/>
    <x v="18"/>
    <n v="1"/>
    <n v="300"/>
    <x v="0"/>
    <n v="270"/>
    <n v="170"/>
    <n v="100"/>
  </r>
  <r>
    <s v="ORD12203"/>
    <x v="944"/>
    <s v="CUST1020"/>
    <s v="Customer 020"/>
    <x v="1"/>
    <s v="Andhra Pradesh"/>
    <x v="3"/>
    <s v="Storage"/>
    <x v="6"/>
    <n v="2"/>
    <n v="5600"/>
    <x v="5"/>
    <n v="8960"/>
    <n v="7800"/>
    <n v="1160"/>
  </r>
  <r>
    <s v="ORD12830"/>
    <x v="945"/>
    <s v="CUST1064"/>
    <s v="Customer 064"/>
    <x v="0"/>
    <s v="Bihar"/>
    <x v="3"/>
    <s v="Chairs"/>
    <x v="12"/>
    <n v="4"/>
    <n v="7500"/>
    <x v="5"/>
    <n v="24000"/>
    <n v="20800"/>
    <n v="3200"/>
  </r>
  <r>
    <s v="ORD13338"/>
    <x v="946"/>
    <s v="CUST1026"/>
    <s v="Customer 026"/>
    <x v="2"/>
    <s v="Goa"/>
    <x v="3"/>
    <s v="Storage"/>
    <x v="14"/>
    <n v="3"/>
    <n v="4800"/>
    <x v="0"/>
    <n v="12960"/>
    <n v="9900"/>
    <n v="3060"/>
  </r>
  <r>
    <s v="ORD11187"/>
    <x v="947"/>
    <s v="CUST1072"/>
    <s v="Customer 072"/>
    <x v="3"/>
    <s v="Punjab"/>
    <x v="0"/>
    <s v="Stationery"/>
    <x v="18"/>
    <n v="5"/>
    <n v="300"/>
    <x v="1"/>
    <n v="1125"/>
    <n v="850"/>
    <n v="275"/>
  </r>
  <r>
    <s v="ORD10337"/>
    <x v="948"/>
    <s v="CUST1482"/>
    <s v="Customer 482"/>
    <x v="3"/>
    <s v="Uttar Pradesh"/>
    <x v="1"/>
    <s v="Kitchen"/>
    <x v="4"/>
    <n v="3"/>
    <n v="6800"/>
    <x v="4"/>
    <n v="19380"/>
    <n v="14100"/>
    <n v="5280"/>
  </r>
  <r>
    <s v="ORD11718"/>
    <x v="949"/>
    <s v="CUST1190"/>
    <s v="Customer 190"/>
    <x v="3"/>
    <s v="Delhi"/>
    <x v="2"/>
    <s v="Monitors"/>
    <x v="11"/>
    <n v="1"/>
    <n v="10500"/>
    <x v="5"/>
    <n v="8400"/>
    <n v="7600"/>
    <n v="800"/>
  </r>
  <r>
    <s v="ORD10996"/>
    <x v="950"/>
    <s v="CUST1314"/>
    <s v="Customer 314"/>
    <x v="2"/>
    <s v="Gujarat"/>
    <x v="1"/>
    <s v="Kitchen"/>
    <x v="2"/>
    <n v="4"/>
    <n v="4200"/>
    <x v="5"/>
    <n v="13440"/>
    <n v="11600"/>
    <n v="1840"/>
  </r>
  <r>
    <s v="ORD13869"/>
    <x v="951"/>
    <s v="CUST1111"/>
    <s v="Customer 111"/>
    <x v="1"/>
    <s v="Karnataka"/>
    <x v="2"/>
    <s v="Audio"/>
    <x v="17"/>
    <n v="3"/>
    <n v="2800"/>
    <x v="4"/>
    <n v="7980"/>
    <n v="5400"/>
    <n v="2580"/>
  </r>
  <r>
    <s v="ORD13327"/>
    <x v="952"/>
    <s v="CUST1081"/>
    <s v="Customer 081"/>
    <x v="2"/>
    <s v="Goa"/>
    <x v="0"/>
    <s v="Stationery"/>
    <x v="15"/>
    <n v="4"/>
    <n v="450"/>
    <x v="3"/>
    <n v="1530"/>
    <n v="1040"/>
    <n v="490"/>
  </r>
  <r>
    <s v="ORD12471"/>
    <x v="953"/>
    <s v="CUST1447"/>
    <s v="Customer 447"/>
    <x v="0"/>
    <s v="Bihar"/>
    <x v="2"/>
    <s v="Accessories"/>
    <x v="8"/>
    <n v="4"/>
    <n v="1800"/>
    <x v="3"/>
    <n v="6120"/>
    <n v="4400"/>
    <n v="1720"/>
  </r>
  <r>
    <s v="ORD13276"/>
    <x v="954"/>
    <s v="CUST1462"/>
    <s v="Customer 462"/>
    <x v="3"/>
    <s v="Uttar Pradesh"/>
    <x v="3"/>
    <s v="Tables"/>
    <x v="16"/>
    <n v="1"/>
    <n v="6200"/>
    <x v="5"/>
    <n v="4960"/>
    <n v="4300"/>
    <n v="660"/>
  </r>
  <r>
    <s v="ORD10811"/>
    <x v="955"/>
    <s v="CUST1023"/>
    <s v="Customer 023"/>
    <x v="1"/>
    <s v="Tamil Nadu"/>
    <x v="1"/>
    <s v="Appliances"/>
    <x v="7"/>
    <n v="1"/>
    <n v="2400"/>
    <x v="3"/>
    <n v="2040"/>
    <n v="1650"/>
    <n v="390"/>
  </r>
  <r>
    <s v="ORD13898"/>
    <x v="956"/>
    <s v="CUST1009"/>
    <s v="Customer 009"/>
    <x v="3"/>
    <s v="Punjab"/>
    <x v="2"/>
    <s v="Accessories"/>
    <x v="8"/>
    <n v="2"/>
    <n v="1800"/>
    <x v="5"/>
    <n v="2880"/>
    <n v="2200"/>
    <n v="680"/>
  </r>
  <r>
    <s v="ORD12608"/>
    <x v="957"/>
    <s v="CUST1129"/>
    <s v="Customer 129"/>
    <x v="1"/>
    <s v="Kerala"/>
    <x v="1"/>
    <s v="Appliances"/>
    <x v="7"/>
    <n v="3"/>
    <n v="2400"/>
    <x v="4"/>
    <n v="6840"/>
    <n v="4950"/>
    <n v="1890"/>
  </r>
  <r>
    <s v="ORD11698"/>
    <x v="958"/>
    <s v="CUST1075"/>
    <s v="Customer 075"/>
    <x v="1"/>
    <s v="Karnataka"/>
    <x v="3"/>
    <s v="Chairs"/>
    <x v="12"/>
    <n v="1"/>
    <n v="7500"/>
    <x v="2"/>
    <n v="7500"/>
    <n v="5200"/>
    <n v="2300"/>
  </r>
  <r>
    <s v="ORD12317"/>
    <x v="959"/>
    <s v="CUST1044"/>
    <s v="Customer 044"/>
    <x v="0"/>
    <s v="Odisha"/>
    <x v="3"/>
    <s v="Tables"/>
    <x v="16"/>
    <n v="3"/>
    <n v="6200"/>
    <x v="5"/>
    <n v="14880"/>
    <n v="12900"/>
    <n v="1980"/>
  </r>
  <r>
    <s v="ORD11836"/>
    <x v="960"/>
    <s v="CUST1069"/>
    <s v="Customer 069"/>
    <x v="2"/>
    <s v="Goa"/>
    <x v="2"/>
    <s v="Accessories"/>
    <x v="8"/>
    <n v="1"/>
    <n v="1800"/>
    <x v="3"/>
    <n v="1530"/>
    <n v="1100"/>
    <n v="430"/>
  </r>
  <r>
    <s v="ORD11556"/>
    <x v="961"/>
    <s v="CUST1082"/>
    <s v="Customer 082"/>
    <x v="3"/>
    <s v="Haryana"/>
    <x v="2"/>
    <s v="Accessories"/>
    <x v="9"/>
    <n v="3"/>
    <n v="850"/>
    <x v="4"/>
    <n v="2422.5"/>
    <n v="1680"/>
    <n v="742.5"/>
  </r>
  <r>
    <s v="ORD12985"/>
    <x v="962"/>
    <s v="CUST1360"/>
    <s v="Customer 360"/>
    <x v="1"/>
    <s v="Karnataka"/>
    <x v="0"/>
    <s v="Stationery"/>
    <x v="10"/>
    <n v="2"/>
    <n v="280"/>
    <x v="0"/>
    <n v="504"/>
    <n v="320"/>
    <n v="184"/>
  </r>
  <r>
    <s v="ORD13116"/>
    <x v="963"/>
    <s v="CUST1249"/>
    <s v="Customer 249"/>
    <x v="0"/>
    <s v="Odisha"/>
    <x v="3"/>
    <s v="Storage"/>
    <x v="6"/>
    <n v="5"/>
    <n v="5600"/>
    <x v="4"/>
    <n v="26600"/>
    <n v="19500"/>
    <n v="7100"/>
  </r>
  <r>
    <s v="ORD12673"/>
    <x v="964"/>
    <s v="CUST1426"/>
    <s v="Customer 426"/>
    <x v="1"/>
    <s v="Tamil Nadu"/>
    <x v="2"/>
    <s v="Accessories"/>
    <x v="8"/>
    <n v="1"/>
    <n v="1800"/>
    <x v="1"/>
    <n v="1350"/>
    <n v="1100"/>
    <n v="250"/>
  </r>
  <r>
    <s v="ORD10847"/>
    <x v="965"/>
    <s v="CUST1079"/>
    <s v="Customer 079"/>
    <x v="1"/>
    <s v="Kerala"/>
    <x v="0"/>
    <s v="Stationery"/>
    <x v="15"/>
    <n v="4"/>
    <n v="450"/>
    <x v="5"/>
    <n v="1440"/>
    <n v="1040"/>
    <n v="400"/>
  </r>
  <r>
    <s v="ORD12324"/>
    <x v="966"/>
    <s v="CUST1327"/>
    <s v="Customer 327"/>
    <x v="1"/>
    <s v="Kerala"/>
    <x v="0"/>
    <s v="Paper"/>
    <x v="3"/>
    <n v="4"/>
    <n v="520"/>
    <x v="0"/>
    <n v="1872"/>
    <n v="1320"/>
    <n v="552"/>
  </r>
  <r>
    <s v="ORD11553"/>
    <x v="967"/>
    <s v="CUST1267"/>
    <s v="Customer 267"/>
    <x v="1"/>
    <s v="Andhra Pradesh"/>
    <x v="0"/>
    <s v="Stationery"/>
    <x v="18"/>
    <n v="2"/>
    <n v="300"/>
    <x v="0"/>
    <n v="540"/>
    <n v="340"/>
    <n v="200"/>
  </r>
  <r>
    <s v="ORD10391"/>
    <x v="968"/>
    <s v="CUST1374"/>
    <s v="Customer 374"/>
    <x v="2"/>
    <s v="Maharashtra"/>
    <x v="0"/>
    <s v="Paper"/>
    <x v="3"/>
    <n v="4"/>
    <n v="520"/>
    <x v="2"/>
    <n v="2080"/>
    <n v="1320"/>
    <n v="760"/>
  </r>
  <r>
    <s v="ORD11893"/>
    <x v="969"/>
    <s v="CUST1440"/>
    <s v="Customer 440"/>
    <x v="2"/>
    <s v="Rajasthan"/>
    <x v="2"/>
    <s v="Audio"/>
    <x v="5"/>
    <n v="4"/>
    <n v="2200"/>
    <x v="5"/>
    <n v="7040"/>
    <n v="5800"/>
    <n v="1240"/>
  </r>
  <r>
    <s v="ORD12731"/>
    <x v="970"/>
    <s v="CUST1481"/>
    <s v="Customer 481"/>
    <x v="1"/>
    <s v="Tamil Nadu"/>
    <x v="3"/>
    <s v="Storage"/>
    <x v="6"/>
    <n v="1"/>
    <n v="5600"/>
    <x v="3"/>
    <n v="4760"/>
    <n v="3900"/>
    <n v="860"/>
  </r>
  <r>
    <s v="ORD13142"/>
    <x v="971"/>
    <s v="CUST1204"/>
    <s v="Customer 204"/>
    <x v="2"/>
    <s v="Goa"/>
    <x v="2"/>
    <s v="Accessories"/>
    <x v="13"/>
    <n v="3"/>
    <n v="1400"/>
    <x v="1"/>
    <n v="3150"/>
    <n v="2700"/>
    <n v="450"/>
  </r>
  <r>
    <s v="ORD10044"/>
    <x v="972"/>
    <s v="CUST1178"/>
    <s v="Customer 178"/>
    <x v="0"/>
    <s v="Jharkhand"/>
    <x v="3"/>
    <s v="Tables"/>
    <x v="16"/>
    <n v="4"/>
    <n v="6200"/>
    <x v="4"/>
    <n v="23560"/>
    <n v="17200"/>
    <n v="6360"/>
  </r>
  <r>
    <s v="ORD13891"/>
    <x v="973"/>
    <s v="CUST1284"/>
    <s v="Customer 284"/>
    <x v="0"/>
    <s v="West Bengal"/>
    <x v="3"/>
    <s v="Tables"/>
    <x v="16"/>
    <n v="2"/>
    <n v="6200"/>
    <x v="2"/>
    <n v="12400"/>
    <n v="8600"/>
    <n v="3800"/>
  </r>
  <r>
    <s v="ORD12475"/>
    <x v="974"/>
    <s v="CUST1053"/>
    <s v="Customer 053"/>
    <x v="2"/>
    <s v="Goa"/>
    <x v="3"/>
    <s v="Tables"/>
    <x v="16"/>
    <n v="1"/>
    <n v="6200"/>
    <x v="5"/>
    <n v="4960"/>
    <n v="4300"/>
    <n v="660"/>
  </r>
  <r>
    <s v="ORD12276"/>
    <x v="975"/>
    <s v="CUST1213"/>
    <s v="Customer 213"/>
    <x v="1"/>
    <s v="Karnataka"/>
    <x v="2"/>
    <s v="Accessories"/>
    <x v="13"/>
    <n v="1"/>
    <n v="1400"/>
    <x v="2"/>
    <n v="1400"/>
    <n v="900"/>
    <n v="500"/>
  </r>
  <r>
    <s v="ORD13033"/>
    <x v="976"/>
    <s v="CUST1282"/>
    <s v="Customer 282"/>
    <x v="1"/>
    <s v="Tamil Nadu"/>
    <x v="1"/>
    <s v="Kitchen"/>
    <x v="2"/>
    <n v="4"/>
    <n v="4200"/>
    <x v="2"/>
    <n v="16800"/>
    <n v="11600"/>
    <n v="5200"/>
  </r>
  <r>
    <s v="ORD10373"/>
    <x v="977"/>
    <s v="CUST1206"/>
    <s v="Customer 206"/>
    <x v="1"/>
    <s v="Tamil Nadu"/>
    <x v="2"/>
    <s v="Accessories"/>
    <x v="9"/>
    <n v="3"/>
    <n v="850"/>
    <x v="1"/>
    <n v="1912.5"/>
    <n v="1680"/>
    <n v="232.5"/>
  </r>
  <r>
    <s v="ORD10928"/>
    <x v="978"/>
    <s v="CUST1151"/>
    <s v="Customer 151"/>
    <x v="2"/>
    <s v="Gujarat"/>
    <x v="1"/>
    <s v="Kitchen"/>
    <x v="1"/>
    <n v="1"/>
    <n v="1900"/>
    <x v="3"/>
    <n v="1615"/>
    <n v="1250"/>
    <n v="365"/>
  </r>
  <r>
    <s v="ORD11889"/>
    <x v="979"/>
    <s v="CUST1031"/>
    <s v="Customer 031"/>
    <x v="0"/>
    <s v="Jharkhand"/>
    <x v="2"/>
    <s v="Accessories"/>
    <x v="13"/>
    <n v="3"/>
    <n v="1400"/>
    <x v="4"/>
    <n v="3990"/>
    <n v="2700"/>
    <n v="1290"/>
  </r>
  <r>
    <s v="ORD11320"/>
    <x v="980"/>
    <s v="CUST1199"/>
    <s v="Customer 199"/>
    <x v="1"/>
    <s v="Kerala"/>
    <x v="2"/>
    <s v="Accessories"/>
    <x v="13"/>
    <n v="3"/>
    <n v="1400"/>
    <x v="4"/>
    <n v="3990"/>
    <n v="2700"/>
    <n v="1290"/>
  </r>
  <r>
    <s v="ORD13886"/>
    <x v="981"/>
    <s v="CUST1207"/>
    <s v="Customer 207"/>
    <x v="1"/>
    <s v="Telangana"/>
    <x v="3"/>
    <s v="Storage"/>
    <x v="14"/>
    <n v="1"/>
    <n v="4800"/>
    <x v="4"/>
    <n v="4560"/>
    <n v="3300"/>
    <n v="1260"/>
  </r>
  <r>
    <s v="ORD10278"/>
    <x v="982"/>
    <s v="CUST1392"/>
    <s v="Customer 392"/>
    <x v="1"/>
    <s v="Tamil Nadu"/>
    <x v="0"/>
    <s v="Stationery"/>
    <x v="18"/>
    <n v="1"/>
    <n v="300"/>
    <x v="3"/>
    <n v="255"/>
    <n v="170"/>
    <n v="85"/>
  </r>
  <r>
    <s v="ORD13463"/>
    <x v="983"/>
    <s v="CUST1434"/>
    <s v="Customer 434"/>
    <x v="1"/>
    <s v="Andhra Pradesh"/>
    <x v="0"/>
    <s v="Paper"/>
    <x v="3"/>
    <n v="2"/>
    <n v="520"/>
    <x v="0"/>
    <n v="936"/>
    <n v="660"/>
    <n v="276"/>
  </r>
  <r>
    <s v="ORD12907"/>
    <x v="984"/>
    <s v="CUST1313"/>
    <s v="Customer 313"/>
    <x v="0"/>
    <s v="West Bengal"/>
    <x v="0"/>
    <s v="Paper"/>
    <x v="3"/>
    <n v="4"/>
    <n v="520"/>
    <x v="3"/>
    <n v="1768"/>
    <n v="1320"/>
    <n v="448"/>
  </r>
  <r>
    <s v="ORD10881"/>
    <x v="985"/>
    <s v="CUST1044"/>
    <s v="Customer 044"/>
    <x v="1"/>
    <s v="Telangana"/>
    <x v="0"/>
    <s v="Accessories"/>
    <x v="0"/>
    <n v="4"/>
    <n v="650"/>
    <x v="4"/>
    <n v="2470"/>
    <n v="1560"/>
    <n v="910"/>
  </r>
  <r>
    <s v="ORD10445"/>
    <x v="986"/>
    <s v="CUST1255"/>
    <s v="Customer 255"/>
    <x v="2"/>
    <s v="Gujarat"/>
    <x v="1"/>
    <s v="Kitchen"/>
    <x v="1"/>
    <n v="4"/>
    <n v="1900"/>
    <x v="5"/>
    <n v="6080"/>
    <n v="5000"/>
    <n v="1080"/>
  </r>
  <r>
    <s v="ORD12054"/>
    <x v="987"/>
    <s v="CUST1474"/>
    <s v="Customer 474"/>
    <x v="2"/>
    <s v="Goa"/>
    <x v="3"/>
    <s v="Tables"/>
    <x v="16"/>
    <n v="5"/>
    <n v="6200"/>
    <x v="2"/>
    <n v="31000"/>
    <n v="21500"/>
    <n v="9500"/>
  </r>
  <r>
    <s v="ORD13605"/>
    <x v="988"/>
    <s v="CUST1463"/>
    <s v="Customer 463"/>
    <x v="2"/>
    <s v="Rajasthan"/>
    <x v="2"/>
    <s v="Audio"/>
    <x v="5"/>
    <n v="4"/>
    <n v="2200"/>
    <x v="0"/>
    <n v="7920"/>
    <n v="5800"/>
    <n v="2120"/>
  </r>
  <r>
    <s v="ORD13115"/>
    <x v="989"/>
    <s v="CUST1183"/>
    <s v="Customer 183"/>
    <x v="1"/>
    <s v="Kerala"/>
    <x v="0"/>
    <s v="Stationery"/>
    <x v="15"/>
    <n v="2"/>
    <n v="450"/>
    <x v="0"/>
    <n v="810"/>
    <n v="520"/>
    <n v="290"/>
  </r>
  <r>
    <s v="ORD12784"/>
    <x v="990"/>
    <s v="CUST1419"/>
    <s v="Customer 419"/>
    <x v="2"/>
    <s v="Maharashtra"/>
    <x v="2"/>
    <s v="Accessories"/>
    <x v="8"/>
    <n v="2"/>
    <n v="1800"/>
    <x v="0"/>
    <n v="3240"/>
    <n v="2200"/>
    <n v="1040"/>
  </r>
  <r>
    <s v="ORD11083"/>
    <x v="991"/>
    <s v="CUST1480"/>
    <s v="Customer 480"/>
    <x v="2"/>
    <s v="Maharashtra"/>
    <x v="2"/>
    <s v="Accessories"/>
    <x v="13"/>
    <n v="3"/>
    <n v="1400"/>
    <x v="3"/>
    <n v="3570"/>
    <n v="2700"/>
    <n v="870"/>
  </r>
  <r>
    <s v="ORD13378"/>
    <x v="992"/>
    <s v="CUST1292"/>
    <s v="Customer 292"/>
    <x v="3"/>
    <s v="Punjab"/>
    <x v="2"/>
    <s v="Audio"/>
    <x v="5"/>
    <n v="5"/>
    <n v="2200"/>
    <x v="4"/>
    <n v="10450"/>
    <n v="7250"/>
    <n v="3200"/>
  </r>
  <r>
    <s v="ORD13295"/>
    <x v="993"/>
    <s v="CUST1097"/>
    <s v="Customer 097"/>
    <x v="3"/>
    <s v="Punjab"/>
    <x v="3"/>
    <s v="Storage"/>
    <x v="6"/>
    <n v="5"/>
    <n v="5600"/>
    <x v="3"/>
    <n v="23800"/>
    <n v="19500"/>
    <n v="4300"/>
  </r>
  <r>
    <s v="ORD13521"/>
    <x v="994"/>
    <s v="CUST1414"/>
    <s v="Customer 414"/>
    <x v="2"/>
    <s v="Rajasthan"/>
    <x v="3"/>
    <s v="Storage"/>
    <x v="14"/>
    <n v="3"/>
    <n v="4800"/>
    <x v="5"/>
    <n v="11520"/>
    <n v="9900"/>
    <n v="1620"/>
  </r>
  <r>
    <s v="ORD10163"/>
    <x v="995"/>
    <s v="CUST1205"/>
    <s v="Customer 205"/>
    <x v="1"/>
    <s v="Tamil Nadu"/>
    <x v="2"/>
    <s v="Accessories"/>
    <x v="13"/>
    <n v="1"/>
    <n v="1400"/>
    <x v="1"/>
    <n v="1050"/>
    <n v="900"/>
    <n v="150"/>
  </r>
  <r>
    <s v="ORD11333"/>
    <x v="996"/>
    <s v="CUST1213"/>
    <s v="Customer 213"/>
    <x v="1"/>
    <s v="Telangana"/>
    <x v="3"/>
    <s v="Chairs"/>
    <x v="12"/>
    <n v="3"/>
    <n v="7500"/>
    <x v="3"/>
    <n v="19125"/>
    <n v="15600"/>
    <n v="3525"/>
  </r>
  <r>
    <s v="ORD11189"/>
    <x v="997"/>
    <s v="CUST1284"/>
    <s v="Customer 284"/>
    <x v="1"/>
    <s v="Andhra Pradesh"/>
    <x v="0"/>
    <s v="Stationery"/>
    <x v="18"/>
    <n v="3"/>
    <n v="300"/>
    <x v="3"/>
    <n v="765"/>
    <n v="510"/>
    <n v="255"/>
  </r>
  <r>
    <s v="ORD13704"/>
    <x v="998"/>
    <s v="CUST1453"/>
    <s v="Customer 453"/>
    <x v="3"/>
    <s v="Uttar Pradesh"/>
    <x v="3"/>
    <s v="Tables"/>
    <x v="16"/>
    <n v="4"/>
    <n v="6200"/>
    <x v="0"/>
    <n v="22320"/>
    <n v="17200"/>
    <n v="5120"/>
  </r>
  <r>
    <s v="ORD10039"/>
    <x v="999"/>
    <s v="CUST1139"/>
    <s v="Customer 139"/>
    <x v="2"/>
    <s v="Goa"/>
    <x v="2"/>
    <s v="Accessories"/>
    <x v="8"/>
    <n v="2"/>
    <n v="1800"/>
    <x v="5"/>
    <n v="2880"/>
    <n v="2200"/>
    <n v="680"/>
  </r>
  <r>
    <s v="ORD10730"/>
    <x v="1000"/>
    <s v="CUST1329"/>
    <s v="Customer 329"/>
    <x v="0"/>
    <s v="Jharkhand"/>
    <x v="3"/>
    <s v="Storage"/>
    <x v="6"/>
    <n v="2"/>
    <n v="5600"/>
    <x v="3"/>
    <n v="9520"/>
    <n v="7800"/>
    <n v="1720"/>
  </r>
  <r>
    <s v="ORD11822"/>
    <x v="1001"/>
    <s v="CUST1383"/>
    <s v="Customer 383"/>
    <x v="2"/>
    <s v="Goa"/>
    <x v="1"/>
    <s v="Kitchen"/>
    <x v="4"/>
    <n v="3"/>
    <n v="6800"/>
    <x v="4"/>
    <n v="19380"/>
    <n v="14100"/>
    <n v="5280"/>
  </r>
  <r>
    <s v="ORD13219"/>
    <x v="1002"/>
    <s v="CUST1494"/>
    <s v="Customer 494"/>
    <x v="1"/>
    <s v="Telangana"/>
    <x v="3"/>
    <s v="Storage"/>
    <x v="14"/>
    <n v="4"/>
    <n v="4800"/>
    <x v="3"/>
    <n v="16320"/>
    <n v="13200"/>
    <n v="3120"/>
  </r>
  <r>
    <s v="ORD13231"/>
    <x v="1003"/>
    <s v="CUST1421"/>
    <s v="Customer 421"/>
    <x v="3"/>
    <s v="Uttar Pradesh"/>
    <x v="2"/>
    <s v="Accessories"/>
    <x v="13"/>
    <n v="2"/>
    <n v="1400"/>
    <x v="2"/>
    <n v="2800"/>
    <n v="1800"/>
    <n v="1000"/>
  </r>
  <r>
    <s v="ORD12466"/>
    <x v="1004"/>
    <s v="CUST1098"/>
    <s v="Customer 098"/>
    <x v="1"/>
    <s v="Tamil Nadu"/>
    <x v="1"/>
    <s v="Kitchen"/>
    <x v="4"/>
    <n v="5"/>
    <n v="6800"/>
    <x v="3"/>
    <n v="28900"/>
    <n v="23500"/>
    <n v="5400"/>
  </r>
  <r>
    <s v="ORD13687"/>
    <x v="1005"/>
    <s v="CUST1053"/>
    <s v="Customer 053"/>
    <x v="1"/>
    <s v="Kerala"/>
    <x v="2"/>
    <s v="Accessories"/>
    <x v="9"/>
    <n v="3"/>
    <n v="850"/>
    <x v="3"/>
    <n v="2167.5"/>
    <n v="1680"/>
    <n v="487.5"/>
  </r>
  <r>
    <s v="ORD12097"/>
    <x v="1006"/>
    <s v="CUST1470"/>
    <s v="Customer 470"/>
    <x v="2"/>
    <s v="Gujarat"/>
    <x v="2"/>
    <s v="Monitors"/>
    <x v="11"/>
    <n v="1"/>
    <n v="10500"/>
    <x v="5"/>
    <n v="8400"/>
    <n v="7600"/>
    <n v="800"/>
  </r>
  <r>
    <s v="ORD12528"/>
    <x v="1007"/>
    <s v="CUST1475"/>
    <s v="Customer 475"/>
    <x v="3"/>
    <s v="Delhi"/>
    <x v="0"/>
    <s v="Paper"/>
    <x v="3"/>
    <n v="3"/>
    <n v="520"/>
    <x v="2"/>
    <n v="1560"/>
    <n v="990"/>
    <n v="570"/>
  </r>
  <r>
    <s v="ORD10196"/>
    <x v="1008"/>
    <s v="CUST1044"/>
    <s v="Customer 044"/>
    <x v="3"/>
    <s v="Haryana"/>
    <x v="3"/>
    <s v="Chairs"/>
    <x v="12"/>
    <n v="1"/>
    <n v="7500"/>
    <x v="0"/>
    <n v="6750"/>
    <n v="5200"/>
    <n v="1550"/>
  </r>
  <r>
    <s v="ORD11615"/>
    <x v="1009"/>
    <s v="CUST1031"/>
    <s v="Customer 031"/>
    <x v="2"/>
    <s v="Maharashtra"/>
    <x v="2"/>
    <s v="Accessories"/>
    <x v="13"/>
    <n v="3"/>
    <n v="1400"/>
    <x v="4"/>
    <n v="3990"/>
    <n v="2700"/>
    <n v="1290"/>
  </r>
  <r>
    <s v="ORD13970"/>
    <x v="1010"/>
    <s v="CUST1310"/>
    <s v="Customer 310"/>
    <x v="3"/>
    <s v="Uttar Pradesh"/>
    <x v="2"/>
    <s v="Accessories"/>
    <x v="8"/>
    <n v="4"/>
    <n v="1800"/>
    <x v="4"/>
    <n v="6840"/>
    <n v="4400"/>
    <n v="2440"/>
  </r>
  <r>
    <s v="ORD12831"/>
    <x v="1011"/>
    <s v="CUST1462"/>
    <s v="Customer 462"/>
    <x v="2"/>
    <s v="Gujarat"/>
    <x v="0"/>
    <s v="Stationery"/>
    <x v="18"/>
    <n v="1"/>
    <n v="300"/>
    <x v="0"/>
    <n v="270"/>
    <n v="170"/>
    <n v="100"/>
  </r>
  <r>
    <s v="ORD11637"/>
    <x v="1012"/>
    <s v="CUST1083"/>
    <s v="Customer 083"/>
    <x v="3"/>
    <s v="Delhi"/>
    <x v="0"/>
    <s v="Accessories"/>
    <x v="0"/>
    <n v="5"/>
    <n v="650"/>
    <x v="3"/>
    <n v="2762.5"/>
    <n v="1950"/>
    <n v="812.5"/>
  </r>
  <r>
    <s v="ORD10835"/>
    <x v="1013"/>
    <s v="CUST1428"/>
    <s v="Customer 428"/>
    <x v="3"/>
    <s v="Punjab"/>
    <x v="3"/>
    <s v="Storage"/>
    <x v="6"/>
    <n v="2"/>
    <n v="5600"/>
    <x v="4"/>
    <n v="10640"/>
    <n v="7800"/>
    <n v="2840"/>
  </r>
  <r>
    <s v="ORD10859"/>
    <x v="1014"/>
    <s v="CUST1335"/>
    <s v="Customer 335"/>
    <x v="3"/>
    <s v="Uttar Pradesh"/>
    <x v="2"/>
    <s v="Audio"/>
    <x v="17"/>
    <n v="1"/>
    <n v="2800"/>
    <x v="4"/>
    <n v="2660"/>
    <n v="1800"/>
    <n v="860"/>
  </r>
  <r>
    <s v="ORD10914"/>
    <x v="1015"/>
    <s v="CUST1491"/>
    <s v="Customer 491"/>
    <x v="3"/>
    <s v="Punjab"/>
    <x v="3"/>
    <s v="Chairs"/>
    <x v="12"/>
    <n v="4"/>
    <n v="7500"/>
    <x v="3"/>
    <n v="25500"/>
    <n v="20800"/>
    <n v="4700"/>
  </r>
  <r>
    <s v="ORD10801"/>
    <x v="1016"/>
    <s v="CUST1007"/>
    <s v="Customer 007"/>
    <x v="0"/>
    <s v="Jharkhand"/>
    <x v="2"/>
    <s v="Audio"/>
    <x v="17"/>
    <n v="4"/>
    <n v="2800"/>
    <x v="4"/>
    <n v="10640"/>
    <n v="7200"/>
    <n v="3440"/>
  </r>
  <r>
    <s v="ORD13723"/>
    <x v="1017"/>
    <s v="CUST1376"/>
    <s v="Customer 376"/>
    <x v="1"/>
    <s v="Andhra Pradesh"/>
    <x v="0"/>
    <s v="Stationery"/>
    <x v="15"/>
    <n v="4"/>
    <n v="450"/>
    <x v="4"/>
    <n v="1710"/>
    <n v="1040"/>
    <n v="670"/>
  </r>
  <r>
    <s v="ORD12409"/>
    <x v="1018"/>
    <s v="CUST1233"/>
    <s v="Customer 233"/>
    <x v="0"/>
    <s v="Jharkhand"/>
    <x v="0"/>
    <s v="Stationery"/>
    <x v="18"/>
    <n v="2"/>
    <n v="300"/>
    <x v="3"/>
    <n v="510"/>
    <n v="340"/>
    <n v="170"/>
  </r>
  <r>
    <s v="ORD13249"/>
    <x v="1019"/>
    <s v="CUST1071"/>
    <s v="Customer 071"/>
    <x v="1"/>
    <s v="Andhra Pradesh"/>
    <x v="2"/>
    <s v="Accessories"/>
    <x v="8"/>
    <n v="1"/>
    <n v="1800"/>
    <x v="4"/>
    <n v="1710"/>
    <n v="1100"/>
    <n v="610"/>
  </r>
  <r>
    <s v="ORD10245"/>
    <x v="1020"/>
    <s v="CUST1315"/>
    <s v="Customer 315"/>
    <x v="1"/>
    <s v="Tamil Nadu"/>
    <x v="1"/>
    <s v="Kitchen"/>
    <x v="2"/>
    <n v="3"/>
    <n v="4200"/>
    <x v="4"/>
    <n v="11970"/>
    <n v="8700"/>
    <n v="3270"/>
  </r>
  <r>
    <s v="ORD10344"/>
    <x v="1021"/>
    <s v="CUST1258"/>
    <s v="Customer 258"/>
    <x v="1"/>
    <s v="Kerala"/>
    <x v="3"/>
    <s v="Storage"/>
    <x v="6"/>
    <n v="1"/>
    <n v="5600"/>
    <x v="0"/>
    <n v="5040"/>
    <n v="3900"/>
    <n v="1140"/>
  </r>
  <r>
    <s v="ORD11215"/>
    <x v="1022"/>
    <s v="CUST1038"/>
    <s v="Customer 038"/>
    <x v="1"/>
    <s v="Tamil Nadu"/>
    <x v="2"/>
    <s v="Audio"/>
    <x v="5"/>
    <n v="3"/>
    <n v="2200"/>
    <x v="0"/>
    <n v="5940"/>
    <n v="4350"/>
    <n v="1590"/>
  </r>
  <r>
    <s v="ORD11317"/>
    <x v="1023"/>
    <s v="CUST1355"/>
    <s v="Customer 355"/>
    <x v="3"/>
    <s v="Haryana"/>
    <x v="1"/>
    <s v="Kitchen"/>
    <x v="2"/>
    <n v="5"/>
    <n v="4200"/>
    <x v="0"/>
    <n v="18900"/>
    <n v="14500"/>
    <n v="4400"/>
  </r>
  <r>
    <s v="ORD12796"/>
    <x v="1024"/>
    <s v="CUST1458"/>
    <s v="Customer 458"/>
    <x v="1"/>
    <s v="Karnataka"/>
    <x v="3"/>
    <s v="Tables"/>
    <x v="16"/>
    <n v="5"/>
    <n v="6200"/>
    <x v="0"/>
    <n v="27900"/>
    <n v="21500"/>
    <n v="6400"/>
  </r>
  <r>
    <s v="ORD12783"/>
    <x v="1025"/>
    <s v="CUST1381"/>
    <s v="Customer 381"/>
    <x v="0"/>
    <s v="West Bengal"/>
    <x v="2"/>
    <s v="Accessories"/>
    <x v="13"/>
    <n v="3"/>
    <n v="1400"/>
    <x v="1"/>
    <n v="3150"/>
    <n v="2700"/>
    <n v="450"/>
  </r>
  <r>
    <s v="ORD13512"/>
    <x v="1026"/>
    <s v="CUST1290"/>
    <s v="Customer 290"/>
    <x v="2"/>
    <s v="Rajasthan"/>
    <x v="1"/>
    <s v="Appliances"/>
    <x v="7"/>
    <n v="4"/>
    <n v="2400"/>
    <x v="0"/>
    <n v="8640"/>
    <n v="6600"/>
    <n v="2040"/>
  </r>
  <r>
    <s v="ORD12931"/>
    <x v="1027"/>
    <s v="CUST1088"/>
    <s v="Customer 088"/>
    <x v="3"/>
    <s v="Punjab"/>
    <x v="2"/>
    <s v="Accessories"/>
    <x v="13"/>
    <n v="5"/>
    <n v="1400"/>
    <x v="3"/>
    <n v="5950"/>
    <n v="4500"/>
    <n v="1450"/>
  </r>
  <r>
    <s v="ORD12888"/>
    <x v="1028"/>
    <s v="CUST1032"/>
    <s v="Customer 032"/>
    <x v="3"/>
    <s v="Delhi"/>
    <x v="1"/>
    <s v="Appliances"/>
    <x v="7"/>
    <n v="4"/>
    <n v="2400"/>
    <x v="4"/>
    <n v="9120"/>
    <n v="6600"/>
    <n v="2520"/>
  </r>
  <r>
    <s v="ORD12660"/>
    <x v="1029"/>
    <s v="CUST1081"/>
    <s v="Customer 081"/>
    <x v="1"/>
    <s v="Kerala"/>
    <x v="3"/>
    <s v="Storage"/>
    <x v="14"/>
    <n v="1"/>
    <n v="4800"/>
    <x v="3"/>
    <n v="4080"/>
    <n v="3300"/>
    <n v="780"/>
  </r>
  <r>
    <s v="ORD11624"/>
    <x v="1030"/>
    <s v="CUST1009"/>
    <s v="Customer 009"/>
    <x v="3"/>
    <s v="Punjab"/>
    <x v="0"/>
    <s v="Accessories"/>
    <x v="0"/>
    <n v="5"/>
    <n v="650"/>
    <x v="2"/>
    <n v="3250"/>
    <n v="1950"/>
    <n v="1300"/>
  </r>
  <r>
    <s v="ORD12697"/>
    <x v="1031"/>
    <s v="CUST1064"/>
    <s v="Customer 064"/>
    <x v="1"/>
    <s v="Kerala"/>
    <x v="3"/>
    <s v="Chairs"/>
    <x v="12"/>
    <n v="3"/>
    <n v="7500"/>
    <x v="0"/>
    <n v="20250"/>
    <n v="15600"/>
    <n v="4650"/>
  </r>
  <r>
    <s v="ORD12900"/>
    <x v="1032"/>
    <s v="CUST1101"/>
    <s v="Customer 101"/>
    <x v="3"/>
    <s v="Punjab"/>
    <x v="2"/>
    <s v="Accessories"/>
    <x v="9"/>
    <n v="2"/>
    <n v="850"/>
    <x v="2"/>
    <n v="1700"/>
    <n v="1120"/>
    <n v="580"/>
  </r>
  <r>
    <s v="ORD10916"/>
    <x v="1033"/>
    <s v="CUST1230"/>
    <s v="Customer 230"/>
    <x v="1"/>
    <s v="Telangana"/>
    <x v="2"/>
    <s v="Audio"/>
    <x v="5"/>
    <n v="5"/>
    <n v="2200"/>
    <x v="2"/>
    <n v="11000"/>
    <n v="7250"/>
    <n v="3750"/>
  </r>
  <r>
    <s v="ORD11761"/>
    <x v="1034"/>
    <s v="CUST1193"/>
    <s v="Customer 193"/>
    <x v="0"/>
    <s v="Jharkhand"/>
    <x v="1"/>
    <s v="Kitchen"/>
    <x v="2"/>
    <n v="1"/>
    <n v="4200"/>
    <x v="3"/>
    <n v="3570"/>
    <n v="2900"/>
    <n v="670"/>
  </r>
  <r>
    <s v="ORD10614"/>
    <x v="1035"/>
    <s v="CUST1193"/>
    <s v="Customer 193"/>
    <x v="3"/>
    <s v="Haryana"/>
    <x v="2"/>
    <s v="Accessories"/>
    <x v="13"/>
    <n v="3"/>
    <n v="1400"/>
    <x v="5"/>
    <n v="3360"/>
    <n v="2700"/>
    <n v="660"/>
  </r>
  <r>
    <s v="ORD10428"/>
    <x v="1036"/>
    <s v="CUST1403"/>
    <s v="Customer 403"/>
    <x v="3"/>
    <s v="Haryana"/>
    <x v="2"/>
    <s v="Accessories"/>
    <x v="8"/>
    <n v="1"/>
    <n v="1800"/>
    <x v="5"/>
    <n v="1440"/>
    <n v="1100"/>
    <n v="340"/>
  </r>
  <r>
    <s v="ORD12800"/>
    <x v="1037"/>
    <s v="CUST1199"/>
    <s v="Customer 199"/>
    <x v="3"/>
    <s v="Uttar Pradesh"/>
    <x v="1"/>
    <s v="Kitchen"/>
    <x v="1"/>
    <n v="1"/>
    <n v="1900"/>
    <x v="4"/>
    <n v="1805"/>
    <n v="1250"/>
    <n v="555"/>
  </r>
  <r>
    <s v="ORD13032"/>
    <x v="1038"/>
    <s v="CUST1137"/>
    <s v="Customer 137"/>
    <x v="3"/>
    <s v="Haryana"/>
    <x v="2"/>
    <s v="Accessories"/>
    <x v="8"/>
    <n v="2"/>
    <n v="1800"/>
    <x v="3"/>
    <n v="3060"/>
    <n v="2200"/>
    <n v="860"/>
  </r>
  <r>
    <s v="ORD11138"/>
    <x v="1039"/>
    <s v="CUST1184"/>
    <s v="Customer 184"/>
    <x v="1"/>
    <s v="Telangana"/>
    <x v="0"/>
    <s v="Stationery"/>
    <x v="18"/>
    <n v="5"/>
    <n v="300"/>
    <x v="5"/>
    <n v="1200"/>
    <n v="850"/>
    <n v="350"/>
  </r>
  <r>
    <s v="ORD13517"/>
    <x v="1040"/>
    <s v="CUST1085"/>
    <s v="Customer 085"/>
    <x v="1"/>
    <s v="Karnataka"/>
    <x v="1"/>
    <s v="Appliances"/>
    <x v="7"/>
    <n v="5"/>
    <n v="2400"/>
    <x v="3"/>
    <n v="10200"/>
    <n v="8250"/>
    <n v="1950"/>
  </r>
  <r>
    <s v="ORD13826"/>
    <x v="1041"/>
    <s v="CUST1452"/>
    <s v="Customer 452"/>
    <x v="1"/>
    <s v="Kerala"/>
    <x v="2"/>
    <s v="Accessories"/>
    <x v="8"/>
    <n v="2"/>
    <n v="1800"/>
    <x v="4"/>
    <n v="3420"/>
    <n v="2200"/>
    <n v="1220"/>
  </r>
  <r>
    <s v="ORD13913"/>
    <x v="1042"/>
    <s v="CUST1096"/>
    <s v="Customer 096"/>
    <x v="2"/>
    <s v="Gujarat"/>
    <x v="1"/>
    <s v="Appliances"/>
    <x v="7"/>
    <n v="2"/>
    <n v="2400"/>
    <x v="0"/>
    <n v="4320"/>
    <n v="3300"/>
    <n v="1020"/>
  </r>
  <r>
    <s v="ORD12354"/>
    <x v="1043"/>
    <s v="CUST1233"/>
    <s v="Customer 233"/>
    <x v="1"/>
    <s v="Tamil Nadu"/>
    <x v="0"/>
    <s v="Stationery"/>
    <x v="10"/>
    <n v="4"/>
    <n v="280"/>
    <x v="2"/>
    <n v="1120"/>
    <n v="640"/>
    <n v="480"/>
  </r>
  <r>
    <s v="ORD10701"/>
    <x v="1044"/>
    <s v="CUST1261"/>
    <s v="Customer 261"/>
    <x v="3"/>
    <s v="Uttar Pradesh"/>
    <x v="2"/>
    <s v="Monitors"/>
    <x v="11"/>
    <n v="1"/>
    <n v="10500"/>
    <x v="0"/>
    <n v="9450"/>
    <n v="7600"/>
    <n v="1850"/>
  </r>
  <r>
    <s v="ORD13551"/>
    <x v="1045"/>
    <s v="CUST1220"/>
    <s v="Customer 220"/>
    <x v="1"/>
    <s v="Andhra Pradesh"/>
    <x v="2"/>
    <s v="Monitors"/>
    <x v="11"/>
    <n v="1"/>
    <n v="10500"/>
    <x v="2"/>
    <n v="10500"/>
    <n v="7600"/>
    <n v="2900"/>
  </r>
  <r>
    <s v="ORD12213"/>
    <x v="1046"/>
    <s v="CUST1303"/>
    <s v="Customer 303"/>
    <x v="2"/>
    <s v="Rajasthan"/>
    <x v="2"/>
    <s v="Audio"/>
    <x v="5"/>
    <n v="4"/>
    <n v="2200"/>
    <x v="2"/>
    <n v="8800"/>
    <n v="5800"/>
    <n v="3000"/>
  </r>
  <r>
    <s v="ORD11471"/>
    <x v="1047"/>
    <s v="CUST1449"/>
    <s v="Customer 449"/>
    <x v="2"/>
    <s v="Goa"/>
    <x v="0"/>
    <s v="Stationery"/>
    <x v="18"/>
    <n v="4"/>
    <n v="300"/>
    <x v="0"/>
    <n v="1080"/>
    <n v="680"/>
    <n v="400"/>
  </r>
  <r>
    <s v="ORD11675"/>
    <x v="1048"/>
    <s v="CUST1359"/>
    <s v="Customer 359"/>
    <x v="3"/>
    <s v="Delhi"/>
    <x v="3"/>
    <s v="Storage"/>
    <x v="14"/>
    <n v="1"/>
    <n v="4800"/>
    <x v="3"/>
    <n v="4080"/>
    <n v="3300"/>
    <n v="780"/>
  </r>
  <r>
    <s v="ORD11063"/>
    <x v="1049"/>
    <s v="CUST1073"/>
    <s v="Customer 073"/>
    <x v="1"/>
    <s v="Kerala"/>
    <x v="3"/>
    <s v="Storage"/>
    <x v="14"/>
    <n v="4"/>
    <n v="4800"/>
    <x v="0"/>
    <n v="17280"/>
    <n v="13200"/>
    <n v="4080"/>
  </r>
  <r>
    <s v="ORD10001"/>
    <x v="1050"/>
    <s v="CUST1045"/>
    <s v="Customer 045"/>
    <x v="3"/>
    <s v="Haryana"/>
    <x v="3"/>
    <s v="Storage"/>
    <x v="6"/>
    <n v="4"/>
    <n v="5600"/>
    <x v="2"/>
    <n v="22400"/>
    <n v="15600"/>
    <n v="6800"/>
  </r>
  <r>
    <s v="ORD10154"/>
    <x v="1051"/>
    <s v="CUST1147"/>
    <s v="Customer 147"/>
    <x v="3"/>
    <s v="Haryana"/>
    <x v="1"/>
    <s v="Kitchen"/>
    <x v="2"/>
    <n v="1"/>
    <n v="4200"/>
    <x v="4"/>
    <n v="3990"/>
    <n v="2900"/>
    <n v="1090"/>
  </r>
  <r>
    <s v="ORD13159"/>
    <x v="1052"/>
    <s v="CUST1334"/>
    <s v="Customer 334"/>
    <x v="2"/>
    <s v="Rajasthan"/>
    <x v="2"/>
    <s v="Audio"/>
    <x v="5"/>
    <n v="2"/>
    <n v="2200"/>
    <x v="1"/>
    <n v="3300"/>
    <n v="2900"/>
    <n v="400"/>
  </r>
  <r>
    <s v="ORD12809"/>
    <x v="1053"/>
    <s v="CUST1396"/>
    <s v="Customer 396"/>
    <x v="2"/>
    <s v="Maharashtra"/>
    <x v="2"/>
    <s v="Audio"/>
    <x v="5"/>
    <n v="1"/>
    <n v="2200"/>
    <x v="2"/>
    <n v="2200"/>
    <n v="1450"/>
    <n v="750"/>
  </r>
  <r>
    <s v="ORD10295"/>
    <x v="1054"/>
    <s v="CUST1273"/>
    <s v="Customer 273"/>
    <x v="1"/>
    <s v="Telangana"/>
    <x v="0"/>
    <s v="Accessories"/>
    <x v="0"/>
    <n v="1"/>
    <n v="650"/>
    <x v="1"/>
    <n v="487.5"/>
    <n v="390"/>
    <n v="97.5"/>
  </r>
  <r>
    <s v="ORD12303"/>
    <x v="1055"/>
    <s v="CUST1285"/>
    <s v="Customer 285"/>
    <x v="0"/>
    <s v="West Bengal"/>
    <x v="0"/>
    <s v="Paper"/>
    <x v="3"/>
    <n v="4"/>
    <n v="520"/>
    <x v="0"/>
    <n v="1872"/>
    <n v="1320"/>
    <n v="552"/>
  </r>
  <r>
    <s v="ORD11775"/>
    <x v="1056"/>
    <s v="CUST1385"/>
    <s v="Customer 385"/>
    <x v="3"/>
    <s v="Haryana"/>
    <x v="0"/>
    <s v="Stationery"/>
    <x v="10"/>
    <n v="1"/>
    <n v="280"/>
    <x v="2"/>
    <n v="280"/>
    <n v="160"/>
    <n v="120"/>
  </r>
  <r>
    <s v="ORD13879"/>
    <x v="1057"/>
    <s v="CUST1090"/>
    <s v="Customer 090"/>
    <x v="3"/>
    <s v="Delhi"/>
    <x v="2"/>
    <s v="Accessories"/>
    <x v="8"/>
    <n v="4"/>
    <n v="1800"/>
    <x v="3"/>
    <n v="6120"/>
    <n v="4400"/>
    <n v="1720"/>
  </r>
  <r>
    <s v="ORD13520"/>
    <x v="1058"/>
    <s v="CUST1461"/>
    <s v="Customer 461"/>
    <x v="2"/>
    <s v="Goa"/>
    <x v="0"/>
    <s v="Stationery"/>
    <x v="10"/>
    <n v="1"/>
    <n v="280"/>
    <x v="5"/>
    <n v="224"/>
    <n v="160"/>
    <n v="64"/>
  </r>
  <r>
    <s v="ORD11504"/>
    <x v="1059"/>
    <s v="CUST1162"/>
    <s v="Customer 162"/>
    <x v="2"/>
    <s v="Gujarat"/>
    <x v="2"/>
    <s v="Accessories"/>
    <x v="9"/>
    <n v="3"/>
    <n v="850"/>
    <x v="1"/>
    <n v="1912.5"/>
    <n v="1680"/>
    <n v="232.5"/>
  </r>
  <r>
    <s v="ORD10302"/>
    <x v="1060"/>
    <s v="CUST1414"/>
    <s v="Customer 414"/>
    <x v="3"/>
    <s v="Uttar Pradesh"/>
    <x v="3"/>
    <s v="Chairs"/>
    <x v="12"/>
    <n v="2"/>
    <n v="7500"/>
    <x v="2"/>
    <n v="15000"/>
    <n v="10400"/>
    <n v="4600"/>
  </r>
  <r>
    <s v="ORD12762"/>
    <x v="1061"/>
    <s v="CUST1216"/>
    <s v="Customer 216"/>
    <x v="2"/>
    <s v="Gujarat"/>
    <x v="0"/>
    <s v="Paper"/>
    <x v="3"/>
    <n v="5"/>
    <n v="520"/>
    <x v="5"/>
    <n v="2080"/>
    <n v="1650"/>
    <n v="430"/>
  </r>
  <r>
    <s v="ORD10968"/>
    <x v="1062"/>
    <s v="CUST1159"/>
    <s v="Customer 159"/>
    <x v="1"/>
    <s v="Telangana"/>
    <x v="2"/>
    <s v="Monitors"/>
    <x v="11"/>
    <n v="2"/>
    <n v="10500"/>
    <x v="0"/>
    <n v="18900"/>
    <n v="15200"/>
    <n v="3700"/>
  </r>
  <r>
    <s v="ORD11472"/>
    <x v="1063"/>
    <s v="CUST1350"/>
    <s v="Customer 350"/>
    <x v="2"/>
    <s v="Rajasthan"/>
    <x v="2"/>
    <s v="Accessories"/>
    <x v="8"/>
    <n v="5"/>
    <n v="1800"/>
    <x v="3"/>
    <n v="7650"/>
    <n v="5500"/>
    <n v="2150"/>
  </r>
  <r>
    <s v="ORD10240"/>
    <x v="1064"/>
    <s v="CUST1314"/>
    <s v="Customer 314"/>
    <x v="2"/>
    <s v="Maharashtra"/>
    <x v="3"/>
    <s v="Tables"/>
    <x v="16"/>
    <n v="5"/>
    <n v="6200"/>
    <x v="2"/>
    <n v="31000"/>
    <n v="21500"/>
    <n v="9500"/>
  </r>
  <r>
    <s v="ORD10213"/>
    <x v="1065"/>
    <s v="CUST1395"/>
    <s v="Customer 395"/>
    <x v="0"/>
    <s v="West Bengal"/>
    <x v="0"/>
    <s v="Stationery"/>
    <x v="15"/>
    <n v="4"/>
    <n v="450"/>
    <x v="4"/>
    <n v="1710"/>
    <n v="1040"/>
    <n v="670"/>
  </r>
  <r>
    <s v="ORD12242"/>
    <x v="1066"/>
    <s v="CUST1332"/>
    <s v="Customer 332"/>
    <x v="3"/>
    <s v="Punjab"/>
    <x v="2"/>
    <s v="Accessories"/>
    <x v="13"/>
    <n v="2"/>
    <n v="1400"/>
    <x v="4"/>
    <n v="2660"/>
    <n v="1800"/>
    <n v="860"/>
  </r>
  <r>
    <s v="ORD12643"/>
    <x v="1067"/>
    <s v="CUST1102"/>
    <s v="Customer 102"/>
    <x v="2"/>
    <s v="Goa"/>
    <x v="0"/>
    <s v="Stationery"/>
    <x v="18"/>
    <n v="2"/>
    <n v="300"/>
    <x v="3"/>
    <n v="510"/>
    <n v="340"/>
    <n v="170"/>
  </r>
  <r>
    <s v="ORD11753"/>
    <x v="1068"/>
    <s v="CUST1315"/>
    <s v="Customer 315"/>
    <x v="2"/>
    <s v="Rajasthan"/>
    <x v="2"/>
    <s v="Accessories"/>
    <x v="8"/>
    <n v="5"/>
    <n v="1800"/>
    <x v="4"/>
    <n v="8550"/>
    <n v="5500"/>
    <n v="3050"/>
  </r>
  <r>
    <s v="ORD12430"/>
    <x v="1069"/>
    <s v="CUST1136"/>
    <s v="Customer 136"/>
    <x v="1"/>
    <s v="Andhra Pradesh"/>
    <x v="0"/>
    <s v="Stationery"/>
    <x v="18"/>
    <n v="2"/>
    <n v="300"/>
    <x v="2"/>
    <n v="600"/>
    <n v="340"/>
    <n v="260"/>
  </r>
  <r>
    <s v="ORD13514"/>
    <x v="1070"/>
    <s v="CUST1071"/>
    <s v="Customer 071"/>
    <x v="1"/>
    <s v="Tamil Nadu"/>
    <x v="2"/>
    <s v="Accessories"/>
    <x v="8"/>
    <n v="2"/>
    <n v="1800"/>
    <x v="4"/>
    <n v="3420"/>
    <n v="2200"/>
    <n v="1220"/>
  </r>
  <r>
    <s v="ORD12247"/>
    <x v="1071"/>
    <s v="CUST1288"/>
    <s v="Customer 288"/>
    <x v="3"/>
    <s v="Haryana"/>
    <x v="2"/>
    <s v="Monitors"/>
    <x v="11"/>
    <n v="4"/>
    <n v="10500"/>
    <x v="4"/>
    <n v="39900"/>
    <n v="30400"/>
    <n v="9500"/>
  </r>
  <r>
    <s v="ORD10587"/>
    <x v="1072"/>
    <s v="CUST1345"/>
    <s v="Customer 345"/>
    <x v="1"/>
    <s v="Andhra Pradesh"/>
    <x v="2"/>
    <s v="Accessories"/>
    <x v="8"/>
    <n v="5"/>
    <n v="1800"/>
    <x v="2"/>
    <n v="9000"/>
    <n v="5500"/>
    <n v="3500"/>
  </r>
  <r>
    <s v="ORD12047"/>
    <x v="1073"/>
    <s v="CUST1227"/>
    <s v="Customer 227"/>
    <x v="1"/>
    <s v="Andhra Pradesh"/>
    <x v="0"/>
    <s v="Stationery"/>
    <x v="10"/>
    <n v="2"/>
    <n v="280"/>
    <x v="5"/>
    <n v="448"/>
    <n v="320"/>
    <n v="128"/>
  </r>
  <r>
    <s v="ORD12015"/>
    <x v="1074"/>
    <s v="CUST1324"/>
    <s v="Customer 324"/>
    <x v="2"/>
    <s v="Maharashtra"/>
    <x v="1"/>
    <s v="Kitchen"/>
    <x v="1"/>
    <n v="4"/>
    <n v="1900"/>
    <x v="2"/>
    <n v="7600"/>
    <n v="5000"/>
    <n v="2600"/>
  </r>
  <r>
    <s v="ORD12764"/>
    <x v="1075"/>
    <s v="CUST1018"/>
    <s v="Customer 018"/>
    <x v="2"/>
    <s v="Gujarat"/>
    <x v="1"/>
    <s v="Kitchen"/>
    <x v="2"/>
    <n v="3"/>
    <n v="4200"/>
    <x v="5"/>
    <n v="10080"/>
    <n v="8700"/>
    <n v="1380"/>
  </r>
  <r>
    <s v="ORD13146"/>
    <x v="1076"/>
    <s v="CUST1277"/>
    <s v="Customer 277"/>
    <x v="3"/>
    <s v="Delhi"/>
    <x v="0"/>
    <s v="Stationery"/>
    <x v="18"/>
    <n v="3"/>
    <n v="300"/>
    <x v="2"/>
    <n v="900"/>
    <n v="510"/>
    <n v="390"/>
  </r>
  <r>
    <s v="ORD12401"/>
    <x v="1077"/>
    <s v="CUST1004"/>
    <s v="Customer 004"/>
    <x v="3"/>
    <s v="Delhi"/>
    <x v="1"/>
    <s v="Appliances"/>
    <x v="7"/>
    <n v="1"/>
    <n v="2400"/>
    <x v="4"/>
    <n v="2280"/>
    <n v="1650"/>
    <n v="630"/>
  </r>
  <r>
    <s v="ORD11514"/>
    <x v="1078"/>
    <s v="CUST1166"/>
    <s v="Customer 166"/>
    <x v="0"/>
    <s v="Jharkhand"/>
    <x v="0"/>
    <s v="Paper"/>
    <x v="3"/>
    <n v="2"/>
    <n v="520"/>
    <x v="5"/>
    <n v="832"/>
    <n v="660"/>
    <n v="172"/>
  </r>
  <r>
    <s v="ORD12553"/>
    <x v="1079"/>
    <s v="CUST1109"/>
    <s v="Customer 109"/>
    <x v="1"/>
    <s v="Tamil Nadu"/>
    <x v="1"/>
    <s v="Kitchen"/>
    <x v="4"/>
    <n v="3"/>
    <n v="6800"/>
    <x v="0"/>
    <n v="18360"/>
    <n v="14100"/>
    <n v="4260"/>
  </r>
  <r>
    <s v="ORD13451"/>
    <x v="1080"/>
    <s v="CUST1238"/>
    <s v="Customer 238"/>
    <x v="1"/>
    <s v="Andhra Pradesh"/>
    <x v="1"/>
    <s v="Kitchen"/>
    <x v="1"/>
    <n v="3"/>
    <n v="1900"/>
    <x v="2"/>
    <n v="5700"/>
    <n v="3750"/>
    <n v="1950"/>
  </r>
  <r>
    <s v="ORD12654"/>
    <x v="1081"/>
    <s v="CUST1187"/>
    <s v="Customer 187"/>
    <x v="1"/>
    <s v="Andhra Pradesh"/>
    <x v="2"/>
    <s v="Accessories"/>
    <x v="8"/>
    <n v="5"/>
    <n v="1800"/>
    <x v="3"/>
    <n v="7650"/>
    <n v="5500"/>
    <n v="2150"/>
  </r>
  <r>
    <s v="ORD10092"/>
    <x v="1082"/>
    <s v="CUST1403"/>
    <s v="Customer 403"/>
    <x v="3"/>
    <s v="Punjab"/>
    <x v="2"/>
    <s v="Monitors"/>
    <x v="11"/>
    <n v="4"/>
    <n v="10500"/>
    <x v="3"/>
    <n v="35700"/>
    <n v="30400"/>
    <n v="5300"/>
  </r>
  <r>
    <s v="ORD11708"/>
    <x v="1083"/>
    <s v="CUST1457"/>
    <s v="Customer 457"/>
    <x v="3"/>
    <s v="Punjab"/>
    <x v="1"/>
    <s v="Kitchen"/>
    <x v="1"/>
    <n v="4"/>
    <n v="1900"/>
    <x v="3"/>
    <n v="6460"/>
    <n v="5000"/>
    <n v="1460"/>
  </r>
  <r>
    <s v="ORD11687"/>
    <x v="1084"/>
    <s v="CUST1215"/>
    <s v="Customer 215"/>
    <x v="1"/>
    <s v="Tamil Nadu"/>
    <x v="1"/>
    <s v="Kitchen"/>
    <x v="4"/>
    <n v="3"/>
    <n v="6800"/>
    <x v="0"/>
    <n v="18360"/>
    <n v="14100"/>
    <n v="4260"/>
  </r>
  <r>
    <s v="ORD11160"/>
    <x v="1085"/>
    <s v="CUST1171"/>
    <s v="Customer 171"/>
    <x v="1"/>
    <s v="Andhra Pradesh"/>
    <x v="3"/>
    <s v="Tables"/>
    <x v="16"/>
    <n v="1"/>
    <n v="6200"/>
    <x v="0"/>
    <n v="5580"/>
    <n v="4300"/>
    <n v="1280"/>
  </r>
  <r>
    <s v="ORD12517"/>
    <x v="1086"/>
    <s v="CUST1346"/>
    <s v="Customer 346"/>
    <x v="2"/>
    <s v="Rajasthan"/>
    <x v="2"/>
    <s v="Accessories"/>
    <x v="13"/>
    <n v="5"/>
    <n v="1400"/>
    <x v="4"/>
    <n v="6650"/>
    <n v="4500"/>
    <n v="2150"/>
  </r>
  <r>
    <s v="ORD13461"/>
    <x v="1087"/>
    <s v="CUST1209"/>
    <s v="Customer 209"/>
    <x v="3"/>
    <s v="Uttar Pradesh"/>
    <x v="3"/>
    <s v="Storage"/>
    <x v="6"/>
    <n v="3"/>
    <n v="5600"/>
    <x v="2"/>
    <n v="16800"/>
    <n v="11700"/>
    <n v="5100"/>
  </r>
  <r>
    <s v="ORD11196"/>
    <x v="1088"/>
    <s v="CUST1317"/>
    <s v="Customer 317"/>
    <x v="1"/>
    <s v="Karnataka"/>
    <x v="2"/>
    <s v="Audio"/>
    <x v="5"/>
    <n v="1"/>
    <n v="2200"/>
    <x v="0"/>
    <n v="1980"/>
    <n v="1450"/>
    <n v="530"/>
  </r>
  <r>
    <s v="ORD13202"/>
    <x v="1089"/>
    <s v="CUST1457"/>
    <s v="Customer 457"/>
    <x v="1"/>
    <s v="Andhra Pradesh"/>
    <x v="2"/>
    <s v="Audio"/>
    <x v="17"/>
    <n v="3"/>
    <n v="2800"/>
    <x v="2"/>
    <n v="8400"/>
    <n v="5400"/>
    <n v="3000"/>
  </r>
  <r>
    <s v="ORD10608"/>
    <x v="1090"/>
    <s v="CUST1258"/>
    <s v="Customer 258"/>
    <x v="1"/>
    <s v="Tamil Nadu"/>
    <x v="0"/>
    <s v="Stationery"/>
    <x v="10"/>
    <n v="3"/>
    <n v="280"/>
    <x v="3"/>
    <n v="714"/>
    <n v="480"/>
    <n v="234"/>
  </r>
  <r>
    <s v="ORD10053"/>
    <x v="1091"/>
    <s v="CUST1182"/>
    <s v="Customer 182"/>
    <x v="2"/>
    <s v="Rajasthan"/>
    <x v="1"/>
    <s v="Kitchen"/>
    <x v="4"/>
    <n v="2"/>
    <n v="6800"/>
    <x v="1"/>
    <n v="10200"/>
    <n v="9400"/>
    <n v="800"/>
  </r>
  <r>
    <s v="ORD11542"/>
    <x v="1092"/>
    <s v="CUST1121"/>
    <s v="Customer 121"/>
    <x v="2"/>
    <s v="Gujarat"/>
    <x v="1"/>
    <s v="Kitchen"/>
    <x v="4"/>
    <n v="5"/>
    <n v="6800"/>
    <x v="3"/>
    <n v="28900"/>
    <n v="23500"/>
    <n v="5400"/>
  </r>
  <r>
    <s v="ORD13333"/>
    <x v="1093"/>
    <s v="CUST1125"/>
    <s v="Customer 125"/>
    <x v="1"/>
    <s v="Telangana"/>
    <x v="3"/>
    <s v="Storage"/>
    <x v="6"/>
    <n v="1"/>
    <n v="5600"/>
    <x v="1"/>
    <n v="4200"/>
    <n v="3900"/>
    <n v="300"/>
  </r>
  <r>
    <s v="ORD12700"/>
    <x v="1094"/>
    <s v="CUST1060"/>
    <s v="Customer 060"/>
    <x v="3"/>
    <s v="Delhi"/>
    <x v="1"/>
    <s v="Kitchen"/>
    <x v="4"/>
    <n v="1"/>
    <n v="6800"/>
    <x v="3"/>
    <n v="5780"/>
    <n v="4700"/>
    <n v="1080"/>
  </r>
  <r>
    <s v="ORD13347"/>
    <x v="1095"/>
    <s v="CUST1302"/>
    <s v="Customer 302"/>
    <x v="3"/>
    <s v="Haryana"/>
    <x v="0"/>
    <s v="Stationery"/>
    <x v="15"/>
    <n v="5"/>
    <n v="450"/>
    <x v="3"/>
    <n v="1912.5"/>
    <n v="1300"/>
    <n v="612.5"/>
  </r>
  <r>
    <s v="ORD10523"/>
    <x v="1096"/>
    <s v="CUST1097"/>
    <s v="Customer 097"/>
    <x v="1"/>
    <s v="Kerala"/>
    <x v="1"/>
    <s v="Kitchen"/>
    <x v="4"/>
    <n v="4"/>
    <n v="6800"/>
    <x v="5"/>
    <n v="21760"/>
    <n v="18800"/>
    <n v="2960"/>
  </r>
  <r>
    <s v="ORD10990"/>
    <x v="1097"/>
    <s v="CUST1394"/>
    <s v="Customer 394"/>
    <x v="2"/>
    <s v="Rajasthan"/>
    <x v="3"/>
    <s v="Storage"/>
    <x v="14"/>
    <n v="1"/>
    <n v="4800"/>
    <x v="2"/>
    <n v="4800"/>
    <n v="3300"/>
    <n v="1500"/>
  </r>
  <r>
    <s v="ORD13711"/>
    <x v="1098"/>
    <s v="CUST1180"/>
    <s v="Customer 180"/>
    <x v="3"/>
    <s v="Uttar Pradesh"/>
    <x v="0"/>
    <s v="Stationery"/>
    <x v="15"/>
    <n v="1"/>
    <n v="450"/>
    <x v="3"/>
    <n v="382.5"/>
    <n v="260"/>
    <n v="122.5"/>
  </r>
  <r>
    <s v="ORD10804"/>
    <x v="1099"/>
    <s v="CUST1460"/>
    <s v="Customer 460"/>
    <x v="2"/>
    <s v="Maharashtra"/>
    <x v="2"/>
    <s v="Monitors"/>
    <x v="11"/>
    <n v="2"/>
    <n v="10500"/>
    <x v="0"/>
    <n v="18900"/>
    <n v="15200"/>
    <n v="3700"/>
  </r>
  <r>
    <s v="ORD13523"/>
    <x v="1100"/>
    <s v="CUST1414"/>
    <s v="Customer 414"/>
    <x v="2"/>
    <s v="Goa"/>
    <x v="1"/>
    <s v="Kitchen"/>
    <x v="1"/>
    <n v="1"/>
    <n v="1900"/>
    <x v="0"/>
    <n v="1710"/>
    <n v="1250"/>
    <n v="460"/>
  </r>
  <r>
    <s v="ORD12521"/>
    <x v="1101"/>
    <s v="CUST1222"/>
    <s v="Customer 222"/>
    <x v="1"/>
    <s v="Telangana"/>
    <x v="1"/>
    <s v="Kitchen"/>
    <x v="1"/>
    <n v="4"/>
    <n v="1900"/>
    <x v="5"/>
    <n v="6080"/>
    <n v="5000"/>
    <n v="1080"/>
  </r>
  <r>
    <s v="ORD13896"/>
    <x v="1102"/>
    <s v="CUST1465"/>
    <s v="Customer 465"/>
    <x v="3"/>
    <s v="Punjab"/>
    <x v="2"/>
    <s v="Accessories"/>
    <x v="9"/>
    <n v="3"/>
    <n v="850"/>
    <x v="3"/>
    <n v="2167.5"/>
    <n v="1680"/>
    <n v="487.5"/>
  </r>
  <r>
    <s v="ORD13918"/>
    <x v="1103"/>
    <s v="CUST1425"/>
    <s v="Customer 425"/>
    <x v="3"/>
    <s v="Delhi"/>
    <x v="0"/>
    <s v="Accessories"/>
    <x v="0"/>
    <n v="4"/>
    <n v="650"/>
    <x v="0"/>
    <n v="2340"/>
    <n v="1560"/>
    <n v="780"/>
  </r>
  <r>
    <s v="ORD13497"/>
    <x v="1104"/>
    <s v="CUST1052"/>
    <s v="Customer 052"/>
    <x v="0"/>
    <s v="West Bengal"/>
    <x v="2"/>
    <s v="Monitors"/>
    <x v="11"/>
    <n v="3"/>
    <n v="10500"/>
    <x v="3"/>
    <n v="26775"/>
    <n v="22800"/>
    <n v="3975"/>
  </r>
  <r>
    <s v="ORD13372"/>
    <x v="1105"/>
    <s v="CUST1120"/>
    <s v="Customer 120"/>
    <x v="0"/>
    <s v="Jharkhand"/>
    <x v="3"/>
    <s v="Chairs"/>
    <x v="12"/>
    <n v="3"/>
    <n v="7500"/>
    <x v="0"/>
    <n v="20250"/>
    <n v="15600"/>
    <n v="4650"/>
  </r>
  <r>
    <s v="ORD10244"/>
    <x v="1106"/>
    <s v="CUST1325"/>
    <s v="Customer 325"/>
    <x v="1"/>
    <s v="Karnataka"/>
    <x v="3"/>
    <s v="Storage"/>
    <x v="14"/>
    <n v="5"/>
    <n v="4800"/>
    <x v="0"/>
    <n v="21600"/>
    <n v="16500"/>
    <n v="5100"/>
  </r>
  <r>
    <s v="ORD13847"/>
    <x v="1107"/>
    <s v="CUST1386"/>
    <s v="Customer 386"/>
    <x v="0"/>
    <s v="Jharkhand"/>
    <x v="0"/>
    <s v="Accessories"/>
    <x v="0"/>
    <n v="4"/>
    <n v="650"/>
    <x v="2"/>
    <n v="2600"/>
    <n v="1560"/>
    <n v="1040"/>
  </r>
  <r>
    <s v="ORD11557"/>
    <x v="1108"/>
    <s v="CUST1449"/>
    <s v="Customer 449"/>
    <x v="2"/>
    <s v="Maharashtra"/>
    <x v="3"/>
    <s v="Tables"/>
    <x v="16"/>
    <n v="4"/>
    <n v="6200"/>
    <x v="2"/>
    <n v="24800"/>
    <n v="17200"/>
    <n v="7600"/>
  </r>
  <r>
    <s v="ORD11068"/>
    <x v="1109"/>
    <s v="CUST1321"/>
    <s v="Customer 321"/>
    <x v="1"/>
    <s v="Tamil Nadu"/>
    <x v="0"/>
    <s v="Stationery"/>
    <x v="10"/>
    <n v="5"/>
    <n v="280"/>
    <x v="3"/>
    <n v="1190"/>
    <n v="800"/>
    <n v="390"/>
  </r>
  <r>
    <s v="ORD12667"/>
    <x v="1110"/>
    <s v="CUST1121"/>
    <s v="Customer 121"/>
    <x v="3"/>
    <s v="Punjab"/>
    <x v="2"/>
    <s v="Accessories"/>
    <x v="13"/>
    <n v="2"/>
    <n v="1400"/>
    <x v="1"/>
    <n v="2100"/>
    <n v="1800"/>
    <n v="300"/>
  </r>
  <r>
    <s v="ORD11920"/>
    <x v="1111"/>
    <s v="CUST1265"/>
    <s v="Customer 265"/>
    <x v="2"/>
    <s v="Rajasthan"/>
    <x v="1"/>
    <s v="Appliances"/>
    <x v="7"/>
    <n v="1"/>
    <n v="2400"/>
    <x v="5"/>
    <n v="1920"/>
    <n v="1650"/>
    <n v="270"/>
  </r>
  <r>
    <s v="ORD11606"/>
    <x v="1112"/>
    <s v="CUST1446"/>
    <s v="Customer 446"/>
    <x v="1"/>
    <s v="Kerala"/>
    <x v="1"/>
    <s v="Kitchen"/>
    <x v="1"/>
    <n v="2"/>
    <n v="1900"/>
    <x v="0"/>
    <n v="3420"/>
    <n v="2500"/>
    <n v="920"/>
  </r>
  <r>
    <s v="ORD10754"/>
    <x v="1113"/>
    <s v="CUST1469"/>
    <s v="Customer 469"/>
    <x v="1"/>
    <s v="Karnataka"/>
    <x v="1"/>
    <s v="Kitchen"/>
    <x v="1"/>
    <n v="1"/>
    <n v="1900"/>
    <x v="2"/>
    <n v="1900"/>
    <n v="1250"/>
    <n v="650"/>
  </r>
  <r>
    <s v="ORD13829"/>
    <x v="1114"/>
    <s v="CUST1341"/>
    <s v="Customer 341"/>
    <x v="2"/>
    <s v="Rajasthan"/>
    <x v="2"/>
    <s v="Accessories"/>
    <x v="8"/>
    <n v="1"/>
    <n v="1800"/>
    <x v="3"/>
    <n v="1530"/>
    <n v="1100"/>
    <n v="430"/>
  </r>
  <r>
    <s v="ORD12480"/>
    <x v="1115"/>
    <s v="CUST1068"/>
    <s v="Customer 068"/>
    <x v="0"/>
    <s v="Jharkhand"/>
    <x v="1"/>
    <s v="Kitchen"/>
    <x v="1"/>
    <n v="1"/>
    <n v="1900"/>
    <x v="3"/>
    <n v="1615"/>
    <n v="1250"/>
    <n v="365"/>
  </r>
  <r>
    <s v="ORD12751"/>
    <x v="1116"/>
    <s v="CUST1123"/>
    <s v="Customer 123"/>
    <x v="1"/>
    <s v="Telangana"/>
    <x v="2"/>
    <s v="Audio"/>
    <x v="17"/>
    <n v="4"/>
    <n v="2800"/>
    <x v="0"/>
    <n v="10080"/>
    <n v="7200"/>
    <n v="2880"/>
  </r>
  <r>
    <s v="ORD13931"/>
    <x v="1117"/>
    <s v="CUST1355"/>
    <s v="Customer 355"/>
    <x v="0"/>
    <s v="West Bengal"/>
    <x v="0"/>
    <s v="Stationery"/>
    <x v="10"/>
    <n v="5"/>
    <n v="280"/>
    <x v="0"/>
    <n v="1260"/>
    <n v="800"/>
    <n v="460"/>
  </r>
  <r>
    <s v="ORD10469"/>
    <x v="1118"/>
    <s v="CUST1091"/>
    <s v="Customer 091"/>
    <x v="2"/>
    <s v="Gujarat"/>
    <x v="3"/>
    <s v="Tables"/>
    <x v="16"/>
    <n v="1"/>
    <n v="6200"/>
    <x v="5"/>
    <n v="4960"/>
    <n v="4300"/>
    <n v="660"/>
  </r>
  <r>
    <s v="ORD12341"/>
    <x v="1119"/>
    <s v="CUST1212"/>
    <s v="Customer 212"/>
    <x v="1"/>
    <s v="Tamil Nadu"/>
    <x v="0"/>
    <s v="Accessories"/>
    <x v="0"/>
    <n v="3"/>
    <n v="650"/>
    <x v="0"/>
    <n v="1755"/>
    <n v="1170"/>
    <n v="585"/>
  </r>
  <r>
    <s v="ORD10497"/>
    <x v="1120"/>
    <s v="CUST1060"/>
    <s v="Customer 060"/>
    <x v="2"/>
    <s v="Gujarat"/>
    <x v="2"/>
    <s v="Audio"/>
    <x v="5"/>
    <n v="3"/>
    <n v="2200"/>
    <x v="2"/>
    <n v="6600"/>
    <n v="4350"/>
    <n v="2250"/>
  </r>
  <r>
    <s v="ORD10633"/>
    <x v="1121"/>
    <s v="CUST1217"/>
    <s v="Customer 217"/>
    <x v="0"/>
    <s v="West Bengal"/>
    <x v="2"/>
    <s v="Accessories"/>
    <x v="13"/>
    <n v="4"/>
    <n v="1400"/>
    <x v="3"/>
    <n v="4760"/>
    <n v="3600"/>
    <n v="1160"/>
  </r>
  <r>
    <s v="ORD13176"/>
    <x v="1122"/>
    <s v="CUST1279"/>
    <s v="Customer 279"/>
    <x v="1"/>
    <s v="Andhra Pradesh"/>
    <x v="3"/>
    <s v="Storage"/>
    <x v="6"/>
    <n v="1"/>
    <n v="5600"/>
    <x v="5"/>
    <n v="4480"/>
    <n v="3900"/>
    <n v="580"/>
  </r>
  <r>
    <s v="ORD11057"/>
    <x v="1123"/>
    <s v="CUST1225"/>
    <s v="Customer 225"/>
    <x v="2"/>
    <s v="Maharashtra"/>
    <x v="0"/>
    <s v="Accessories"/>
    <x v="0"/>
    <n v="4"/>
    <n v="650"/>
    <x v="0"/>
    <n v="2340"/>
    <n v="1560"/>
    <n v="780"/>
  </r>
  <r>
    <s v="ORD13060"/>
    <x v="1124"/>
    <s v="CUST1137"/>
    <s v="Customer 137"/>
    <x v="1"/>
    <s v="Tamil Nadu"/>
    <x v="2"/>
    <s v="Audio"/>
    <x v="17"/>
    <n v="2"/>
    <n v="2800"/>
    <x v="2"/>
    <n v="5600"/>
    <n v="3600"/>
    <n v="2000"/>
  </r>
  <r>
    <s v="ORD11176"/>
    <x v="1125"/>
    <s v="CUST1170"/>
    <s v="Customer 170"/>
    <x v="1"/>
    <s v="Andhra Pradesh"/>
    <x v="1"/>
    <s v="Kitchen"/>
    <x v="2"/>
    <n v="5"/>
    <n v="4200"/>
    <x v="4"/>
    <n v="19950"/>
    <n v="14500"/>
    <n v="5450"/>
  </r>
  <r>
    <s v="ORD13997"/>
    <x v="1126"/>
    <s v="CUST1013"/>
    <s v="Customer 013"/>
    <x v="2"/>
    <s v="Maharashtra"/>
    <x v="2"/>
    <s v="Accessories"/>
    <x v="9"/>
    <n v="2"/>
    <n v="850"/>
    <x v="4"/>
    <n v="1615"/>
    <n v="1120"/>
    <n v="495"/>
  </r>
  <r>
    <s v="ORD13799"/>
    <x v="1127"/>
    <s v="CUST1006"/>
    <s v="Customer 006"/>
    <x v="2"/>
    <s v="Rajasthan"/>
    <x v="2"/>
    <s v="Audio"/>
    <x v="5"/>
    <n v="1"/>
    <n v="2200"/>
    <x v="2"/>
    <n v="2200"/>
    <n v="1450"/>
    <n v="750"/>
  </r>
  <r>
    <s v="ORD11294"/>
    <x v="1128"/>
    <s v="CUST1003"/>
    <s v="Customer 003"/>
    <x v="2"/>
    <s v="Maharashtra"/>
    <x v="2"/>
    <s v="Accessories"/>
    <x v="9"/>
    <n v="4"/>
    <n v="850"/>
    <x v="2"/>
    <n v="3400"/>
    <n v="2240"/>
    <n v="1160"/>
  </r>
  <r>
    <s v="ORD12963"/>
    <x v="1129"/>
    <s v="CUST1487"/>
    <s v="Customer 487"/>
    <x v="2"/>
    <s v="Gujarat"/>
    <x v="1"/>
    <s v="Kitchen"/>
    <x v="4"/>
    <n v="5"/>
    <n v="6800"/>
    <x v="0"/>
    <n v="30600"/>
    <n v="23500"/>
    <n v="7100"/>
  </r>
  <r>
    <s v="ORD11228"/>
    <x v="1130"/>
    <s v="CUST1493"/>
    <s v="Customer 493"/>
    <x v="1"/>
    <s v="Tamil Nadu"/>
    <x v="0"/>
    <s v="Accessories"/>
    <x v="0"/>
    <n v="4"/>
    <n v="650"/>
    <x v="0"/>
    <n v="2340"/>
    <n v="1560"/>
    <n v="780"/>
  </r>
  <r>
    <s v="ORD12383"/>
    <x v="1131"/>
    <s v="CUST1459"/>
    <s v="Customer 459"/>
    <x v="1"/>
    <s v="Kerala"/>
    <x v="2"/>
    <s v="Accessories"/>
    <x v="13"/>
    <n v="2"/>
    <n v="1400"/>
    <x v="2"/>
    <n v="2800"/>
    <n v="1800"/>
    <n v="1000"/>
  </r>
  <r>
    <s v="ORD13766"/>
    <x v="1132"/>
    <s v="CUST1205"/>
    <s v="Customer 205"/>
    <x v="1"/>
    <s v="Karnataka"/>
    <x v="2"/>
    <s v="Audio"/>
    <x v="5"/>
    <n v="3"/>
    <n v="2200"/>
    <x v="0"/>
    <n v="5940"/>
    <n v="4350"/>
    <n v="1590"/>
  </r>
  <r>
    <s v="ORD11961"/>
    <x v="1133"/>
    <s v="CUST1420"/>
    <s v="Customer 420"/>
    <x v="1"/>
    <s v="Telangana"/>
    <x v="3"/>
    <s v="Storage"/>
    <x v="14"/>
    <n v="5"/>
    <n v="4800"/>
    <x v="3"/>
    <n v="20400"/>
    <n v="16500"/>
    <n v="3900"/>
  </r>
  <r>
    <s v="ORD10131"/>
    <x v="1134"/>
    <s v="CUST1283"/>
    <s v="Customer 283"/>
    <x v="1"/>
    <s v="Andhra Pradesh"/>
    <x v="0"/>
    <s v="Paper"/>
    <x v="3"/>
    <n v="1"/>
    <n v="520"/>
    <x v="0"/>
    <n v="468"/>
    <n v="330"/>
    <n v="138"/>
  </r>
  <r>
    <s v="ORD12635"/>
    <x v="1135"/>
    <s v="CUST1042"/>
    <s v="Customer 042"/>
    <x v="2"/>
    <s v="Maharashtra"/>
    <x v="0"/>
    <s v="Stationery"/>
    <x v="18"/>
    <n v="1"/>
    <n v="300"/>
    <x v="4"/>
    <n v="285"/>
    <n v="170"/>
    <n v="115"/>
  </r>
  <r>
    <s v="ORD12620"/>
    <x v="1136"/>
    <s v="CUST1473"/>
    <s v="Customer 473"/>
    <x v="2"/>
    <s v="Gujarat"/>
    <x v="0"/>
    <s v="Paper"/>
    <x v="3"/>
    <n v="5"/>
    <n v="520"/>
    <x v="0"/>
    <n v="2340"/>
    <n v="1650"/>
    <n v="690"/>
  </r>
  <r>
    <s v="ORD10260"/>
    <x v="1137"/>
    <s v="CUST1294"/>
    <s v="Customer 294"/>
    <x v="2"/>
    <s v="Maharashtra"/>
    <x v="0"/>
    <s v="Stationery"/>
    <x v="18"/>
    <n v="3"/>
    <n v="300"/>
    <x v="3"/>
    <n v="765"/>
    <n v="510"/>
    <n v="255"/>
  </r>
  <r>
    <s v="ORD10193"/>
    <x v="1138"/>
    <s v="CUST1304"/>
    <s v="Customer 304"/>
    <x v="3"/>
    <s v="Punjab"/>
    <x v="2"/>
    <s v="Audio"/>
    <x v="17"/>
    <n v="1"/>
    <n v="2800"/>
    <x v="4"/>
    <n v="2660"/>
    <n v="1800"/>
    <n v="860"/>
  </r>
  <r>
    <s v="ORD13532"/>
    <x v="1139"/>
    <s v="CUST1036"/>
    <s v="Customer 036"/>
    <x v="3"/>
    <s v="Delhi"/>
    <x v="2"/>
    <s v="Audio"/>
    <x v="17"/>
    <n v="2"/>
    <n v="2800"/>
    <x v="4"/>
    <n v="5320"/>
    <n v="3600"/>
    <n v="1720"/>
  </r>
  <r>
    <s v="ORD12720"/>
    <x v="1140"/>
    <s v="CUST1082"/>
    <s v="Customer 082"/>
    <x v="1"/>
    <s v="Telangana"/>
    <x v="0"/>
    <s v="Stationery"/>
    <x v="15"/>
    <n v="5"/>
    <n v="450"/>
    <x v="2"/>
    <n v="2250"/>
    <n v="1300"/>
    <n v="950"/>
  </r>
  <r>
    <s v="ORD11033"/>
    <x v="1141"/>
    <s v="CUST1366"/>
    <s v="Customer 366"/>
    <x v="1"/>
    <s v="Telangana"/>
    <x v="3"/>
    <s v="Storage"/>
    <x v="6"/>
    <n v="3"/>
    <n v="5600"/>
    <x v="3"/>
    <n v="14280"/>
    <n v="11700"/>
    <n v="2580"/>
  </r>
  <r>
    <s v="ORD11097"/>
    <x v="1142"/>
    <s v="CUST1418"/>
    <s v="Customer 418"/>
    <x v="1"/>
    <s v="Tamil Nadu"/>
    <x v="3"/>
    <s v="Tables"/>
    <x v="16"/>
    <n v="5"/>
    <n v="6200"/>
    <x v="0"/>
    <n v="27900"/>
    <n v="21500"/>
    <n v="6400"/>
  </r>
  <r>
    <s v="ORD12122"/>
    <x v="1143"/>
    <s v="CUST1477"/>
    <s v="Customer 477"/>
    <x v="3"/>
    <s v="Delhi"/>
    <x v="2"/>
    <s v="Accessories"/>
    <x v="13"/>
    <n v="5"/>
    <n v="1400"/>
    <x v="4"/>
    <n v="6650"/>
    <n v="4500"/>
    <n v="2150"/>
  </r>
  <r>
    <s v="ORD12802"/>
    <x v="1144"/>
    <s v="CUST1223"/>
    <s v="Customer 223"/>
    <x v="1"/>
    <s v="Kerala"/>
    <x v="2"/>
    <s v="Accessories"/>
    <x v="13"/>
    <n v="5"/>
    <n v="1400"/>
    <x v="1"/>
    <n v="5250"/>
    <n v="4500"/>
    <n v="750"/>
  </r>
  <r>
    <s v="ORD12413"/>
    <x v="1145"/>
    <s v="CUST1466"/>
    <s v="Customer 466"/>
    <x v="3"/>
    <s v="Haryana"/>
    <x v="2"/>
    <s v="Accessories"/>
    <x v="8"/>
    <n v="2"/>
    <n v="1800"/>
    <x v="0"/>
    <n v="3240"/>
    <n v="2200"/>
    <n v="1040"/>
  </r>
  <r>
    <s v="ORD10036"/>
    <x v="1146"/>
    <s v="CUST1032"/>
    <s v="Customer 032"/>
    <x v="3"/>
    <s v="Uttar Pradesh"/>
    <x v="1"/>
    <s v="Appliances"/>
    <x v="7"/>
    <n v="4"/>
    <n v="2400"/>
    <x v="2"/>
    <n v="9600"/>
    <n v="6600"/>
    <n v="3000"/>
  </r>
  <r>
    <s v="ORD10179"/>
    <x v="1147"/>
    <s v="CUST1451"/>
    <s v="Customer 451"/>
    <x v="1"/>
    <s v="Tamil Nadu"/>
    <x v="3"/>
    <s v="Storage"/>
    <x v="14"/>
    <n v="1"/>
    <n v="4800"/>
    <x v="5"/>
    <n v="3840"/>
    <n v="3300"/>
    <n v="540"/>
  </r>
  <r>
    <s v="ORD12567"/>
    <x v="1148"/>
    <s v="CUST1401"/>
    <s v="Customer 401"/>
    <x v="3"/>
    <s v="Uttar Pradesh"/>
    <x v="2"/>
    <s v="Accessories"/>
    <x v="13"/>
    <n v="5"/>
    <n v="1400"/>
    <x v="0"/>
    <n v="6300"/>
    <n v="4500"/>
    <n v="1800"/>
  </r>
  <r>
    <s v="ORD12496"/>
    <x v="1149"/>
    <s v="CUST1103"/>
    <s v="Customer 103"/>
    <x v="1"/>
    <s v="Tamil Nadu"/>
    <x v="1"/>
    <s v="Kitchen"/>
    <x v="1"/>
    <n v="1"/>
    <n v="1900"/>
    <x v="5"/>
    <n v="1520"/>
    <n v="1250"/>
    <n v="270"/>
  </r>
  <r>
    <s v="ORD10431"/>
    <x v="1150"/>
    <s v="CUST1043"/>
    <s v="Customer 043"/>
    <x v="3"/>
    <s v="Punjab"/>
    <x v="2"/>
    <s v="Accessories"/>
    <x v="9"/>
    <n v="4"/>
    <n v="850"/>
    <x v="3"/>
    <n v="2890"/>
    <n v="2240"/>
    <n v="650"/>
  </r>
  <r>
    <s v="ORD11102"/>
    <x v="1151"/>
    <s v="CUST1235"/>
    <s v="Customer 235"/>
    <x v="1"/>
    <s v="Andhra Pradesh"/>
    <x v="3"/>
    <s v="Storage"/>
    <x v="14"/>
    <n v="2"/>
    <n v="4800"/>
    <x v="0"/>
    <n v="8640"/>
    <n v="6600"/>
    <n v="2040"/>
  </r>
  <r>
    <s v="ORD10305"/>
    <x v="1152"/>
    <s v="CUST1272"/>
    <s v="Customer 272"/>
    <x v="2"/>
    <s v="Maharashtra"/>
    <x v="0"/>
    <s v="Stationery"/>
    <x v="15"/>
    <n v="5"/>
    <n v="450"/>
    <x v="3"/>
    <n v="1912.5"/>
    <n v="1300"/>
    <n v="612.5"/>
  </r>
  <r>
    <s v="ORD12435"/>
    <x v="1153"/>
    <s v="CUST1226"/>
    <s v="Customer 226"/>
    <x v="2"/>
    <s v="Rajasthan"/>
    <x v="2"/>
    <s v="Audio"/>
    <x v="17"/>
    <n v="1"/>
    <n v="2800"/>
    <x v="0"/>
    <n v="2520"/>
    <n v="1800"/>
    <n v="720"/>
  </r>
  <r>
    <s v="ORD13245"/>
    <x v="1154"/>
    <s v="CUST1365"/>
    <s v="Customer 365"/>
    <x v="2"/>
    <s v="Gujarat"/>
    <x v="1"/>
    <s v="Appliances"/>
    <x v="7"/>
    <n v="2"/>
    <n v="2400"/>
    <x v="0"/>
    <n v="4320"/>
    <n v="3300"/>
    <n v="1020"/>
  </r>
  <r>
    <s v="ORD13942"/>
    <x v="1155"/>
    <s v="CUST1157"/>
    <s v="Customer 157"/>
    <x v="2"/>
    <s v="Goa"/>
    <x v="3"/>
    <s v="Storage"/>
    <x v="6"/>
    <n v="5"/>
    <n v="5600"/>
    <x v="0"/>
    <n v="25200"/>
    <n v="19500"/>
    <n v="5700"/>
  </r>
  <r>
    <s v="ORD11391"/>
    <x v="1156"/>
    <s v="CUST1154"/>
    <s v="Customer 154"/>
    <x v="1"/>
    <s v="Tamil Nadu"/>
    <x v="0"/>
    <s v="Stationery"/>
    <x v="15"/>
    <n v="5"/>
    <n v="450"/>
    <x v="4"/>
    <n v="2137.5"/>
    <n v="1300"/>
    <n v="837.5"/>
  </r>
  <r>
    <s v="ORD10183"/>
    <x v="1157"/>
    <s v="CUST1249"/>
    <s v="Customer 249"/>
    <x v="3"/>
    <s v="Delhi"/>
    <x v="3"/>
    <s v="Storage"/>
    <x v="6"/>
    <n v="5"/>
    <n v="5600"/>
    <x v="0"/>
    <n v="25200"/>
    <n v="19500"/>
    <n v="5700"/>
  </r>
  <r>
    <s v="ORD12361"/>
    <x v="1158"/>
    <s v="CUST1325"/>
    <s v="Customer 325"/>
    <x v="1"/>
    <s v="Kerala"/>
    <x v="1"/>
    <s v="Kitchen"/>
    <x v="4"/>
    <n v="4"/>
    <n v="6800"/>
    <x v="2"/>
    <n v="27200"/>
    <n v="18800"/>
    <n v="8400"/>
  </r>
  <r>
    <s v="ORD12990"/>
    <x v="1159"/>
    <s v="CUST1215"/>
    <s v="Customer 215"/>
    <x v="1"/>
    <s v="Andhra Pradesh"/>
    <x v="1"/>
    <s v="Kitchen"/>
    <x v="4"/>
    <n v="3"/>
    <n v="6800"/>
    <x v="2"/>
    <n v="20400"/>
    <n v="14100"/>
    <n v="6300"/>
  </r>
  <r>
    <s v="ORD11740"/>
    <x v="1160"/>
    <s v="CUST1103"/>
    <s v="Customer 103"/>
    <x v="2"/>
    <s v="Goa"/>
    <x v="0"/>
    <s v="Stationery"/>
    <x v="15"/>
    <n v="4"/>
    <n v="450"/>
    <x v="4"/>
    <n v="1710"/>
    <n v="1040"/>
    <n v="670"/>
  </r>
  <r>
    <s v="ORD12738"/>
    <x v="1161"/>
    <s v="CUST1095"/>
    <s v="Customer 095"/>
    <x v="1"/>
    <s v="Andhra Pradesh"/>
    <x v="3"/>
    <s v="Storage"/>
    <x v="14"/>
    <n v="4"/>
    <n v="4800"/>
    <x v="0"/>
    <n v="17280"/>
    <n v="13200"/>
    <n v="4080"/>
  </r>
  <r>
    <s v="ORD12740"/>
    <x v="1162"/>
    <s v="CUST1173"/>
    <s v="Customer 173"/>
    <x v="2"/>
    <s v="Rajasthan"/>
    <x v="3"/>
    <s v="Storage"/>
    <x v="14"/>
    <n v="2"/>
    <n v="4800"/>
    <x v="4"/>
    <n v="9120"/>
    <n v="6600"/>
    <n v="2520"/>
  </r>
  <r>
    <s v="ORD11043"/>
    <x v="1163"/>
    <s v="CUST1208"/>
    <s v="Customer 208"/>
    <x v="3"/>
    <s v="Delhi"/>
    <x v="3"/>
    <s v="Storage"/>
    <x v="6"/>
    <n v="3"/>
    <n v="5600"/>
    <x v="3"/>
    <n v="14280"/>
    <n v="11700"/>
    <n v="2580"/>
  </r>
  <r>
    <s v="ORD13522"/>
    <x v="1164"/>
    <s v="CUST1167"/>
    <s v="Customer 167"/>
    <x v="1"/>
    <s v="Karnataka"/>
    <x v="2"/>
    <s v="Audio"/>
    <x v="5"/>
    <n v="4"/>
    <n v="2200"/>
    <x v="1"/>
    <n v="6600"/>
    <n v="5800"/>
    <n v="800"/>
  </r>
  <r>
    <s v="ORD11548"/>
    <x v="1165"/>
    <s v="CUST1425"/>
    <s v="Customer 425"/>
    <x v="0"/>
    <s v="Jharkhand"/>
    <x v="0"/>
    <s v="Stationery"/>
    <x v="15"/>
    <n v="1"/>
    <n v="450"/>
    <x v="0"/>
    <n v="405"/>
    <n v="260"/>
    <n v="145"/>
  </r>
  <r>
    <s v="ORD11862"/>
    <x v="1166"/>
    <s v="CUST1149"/>
    <s v="Customer 149"/>
    <x v="1"/>
    <s v="Karnataka"/>
    <x v="3"/>
    <s v="Storage"/>
    <x v="14"/>
    <n v="5"/>
    <n v="4800"/>
    <x v="0"/>
    <n v="21600"/>
    <n v="16500"/>
    <n v="5100"/>
  </r>
  <r>
    <s v="ORD11487"/>
    <x v="1167"/>
    <s v="CUST1082"/>
    <s v="Customer 082"/>
    <x v="3"/>
    <s v="Uttar Pradesh"/>
    <x v="0"/>
    <s v="Accessories"/>
    <x v="0"/>
    <n v="4"/>
    <n v="650"/>
    <x v="3"/>
    <n v="2210"/>
    <n v="1560"/>
    <n v="650"/>
  </r>
  <r>
    <s v="ORD10351"/>
    <x v="1168"/>
    <s v="CUST1267"/>
    <s v="Customer 267"/>
    <x v="1"/>
    <s v="Karnataka"/>
    <x v="1"/>
    <s v="Appliances"/>
    <x v="7"/>
    <n v="5"/>
    <n v="2400"/>
    <x v="0"/>
    <n v="10800"/>
    <n v="8250"/>
    <n v="2550"/>
  </r>
  <r>
    <s v="ORD11044"/>
    <x v="1169"/>
    <s v="CUST1187"/>
    <s v="Customer 187"/>
    <x v="2"/>
    <s v="Gujarat"/>
    <x v="0"/>
    <s v="Stationery"/>
    <x v="10"/>
    <n v="1"/>
    <n v="280"/>
    <x v="0"/>
    <n v="252"/>
    <n v="160"/>
    <n v="92"/>
  </r>
  <r>
    <s v="ORD13432"/>
    <x v="1170"/>
    <s v="CUST1386"/>
    <s v="Customer 386"/>
    <x v="2"/>
    <s v="Maharashtra"/>
    <x v="2"/>
    <s v="Accessories"/>
    <x v="9"/>
    <n v="4"/>
    <n v="850"/>
    <x v="5"/>
    <n v="2720"/>
    <n v="2240"/>
    <n v="480"/>
  </r>
  <r>
    <s v="ORD12497"/>
    <x v="1171"/>
    <s v="CUST1401"/>
    <s v="Customer 401"/>
    <x v="2"/>
    <s v="Rajasthan"/>
    <x v="3"/>
    <s v="Storage"/>
    <x v="14"/>
    <n v="1"/>
    <n v="4800"/>
    <x v="5"/>
    <n v="3840"/>
    <n v="3300"/>
    <n v="540"/>
  </r>
  <r>
    <s v="ORD12960"/>
    <x v="1172"/>
    <s v="CUST1239"/>
    <s v="Customer 239"/>
    <x v="3"/>
    <s v="Uttar Pradesh"/>
    <x v="1"/>
    <s v="Appliances"/>
    <x v="7"/>
    <n v="4"/>
    <n v="2400"/>
    <x v="5"/>
    <n v="7680"/>
    <n v="6600"/>
    <n v="1080"/>
  </r>
  <r>
    <s v="ORD10938"/>
    <x v="1173"/>
    <s v="CUST1075"/>
    <s v="Customer 075"/>
    <x v="1"/>
    <s v="Andhra Pradesh"/>
    <x v="2"/>
    <s v="Accessories"/>
    <x v="13"/>
    <n v="2"/>
    <n v="1400"/>
    <x v="5"/>
    <n v="2240"/>
    <n v="1800"/>
    <n v="440"/>
  </r>
  <r>
    <s v="ORD12006"/>
    <x v="1174"/>
    <s v="CUST1065"/>
    <s v="Customer 065"/>
    <x v="1"/>
    <s v="Kerala"/>
    <x v="2"/>
    <s v="Monitors"/>
    <x v="11"/>
    <n v="1"/>
    <n v="10500"/>
    <x v="0"/>
    <n v="9450"/>
    <n v="7600"/>
    <n v="1850"/>
  </r>
  <r>
    <s v="ORD13337"/>
    <x v="1175"/>
    <s v="CUST1262"/>
    <s v="Customer 262"/>
    <x v="3"/>
    <s v="Punjab"/>
    <x v="2"/>
    <s v="Audio"/>
    <x v="5"/>
    <n v="2"/>
    <n v="2200"/>
    <x v="0"/>
    <n v="3960"/>
    <n v="2900"/>
    <n v="1060"/>
  </r>
  <r>
    <s v="ORD13376"/>
    <x v="1176"/>
    <s v="CUST1253"/>
    <s v="Customer 253"/>
    <x v="3"/>
    <s v="Haryana"/>
    <x v="2"/>
    <s v="Accessories"/>
    <x v="13"/>
    <n v="2"/>
    <n v="1400"/>
    <x v="3"/>
    <n v="2380"/>
    <n v="1800"/>
    <n v="580"/>
  </r>
  <r>
    <s v="ORD12035"/>
    <x v="1177"/>
    <s v="CUST1494"/>
    <s v="Customer 494"/>
    <x v="1"/>
    <s v="Kerala"/>
    <x v="1"/>
    <s v="Kitchen"/>
    <x v="4"/>
    <n v="5"/>
    <n v="6800"/>
    <x v="3"/>
    <n v="28900"/>
    <n v="23500"/>
    <n v="5400"/>
  </r>
  <r>
    <s v="ORD10684"/>
    <x v="1178"/>
    <s v="CUST1480"/>
    <s v="Customer 480"/>
    <x v="2"/>
    <s v="Rajasthan"/>
    <x v="1"/>
    <s v="Appliances"/>
    <x v="7"/>
    <n v="4"/>
    <n v="2400"/>
    <x v="0"/>
    <n v="8640"/>
    <n v="6600"/>
    <n v="2040"/>
  </r>
  <r>
    <s v="ORD13246"/>
    <x v="1179"/>
    <s v="CUST1405"/>
    <s v="Customer 405"/>
    <x v="2"/>
    <s v="Maharashtra"/>
    <x v="3"/>
    <s v="Storage"/>
    <x v="6"/>
    <n v="5"/>
    <n v="5600"/>
    <x v="3"/>
    <n v="23800"/>
    <n v="19500"/>
    <n v="4300"/>
  </r>
  <r>
    <s v="ORD11120"/>
    <x v="1180"/>
    <s v="CUST1247"/>
    <s v="Customer 247"/>
    <x v="1"/>
    <s v="Karnataka"/>
    <x v="1"/>
    <s v="Kitchen"/>
    <x v="2"/>
    <n v="1"/>
    <n v="4200"/>
    <x v="4"/>
    <n v="3990"/>
    <n v="2900"/>
    <n v="1090"/>
  </r>
  <r>
    <s v="ORD11998"/>
    <x v="1181"/>
    <s v="CUST1497"/>
    <s v="Customer 497"/>
    <x v="2"/>
    <s v="Rajasthan"/>
    <x v="2"/>
    <s v="Accessories"/>
    <x v="8"/>
    <n v="2"/>
    <n v="1800"/>
    <x v="5"/>
    <n v="2880"/>
    <n v="2200"/>
    <n v="680"/>
  </r>
  <r>
    <s v="ORD12621"/>
    <x v="1182"/>
    <s v="CUST1424"/>
    <s v="Customer 424"/>
    <x v="1"/>
    <s v="Karnataka"/>
    <x v="3"/>
    <s v="Storage"/>
    <x v="6"/>
    <n v="1"/>
    <n v="5600"/>
    <x v="4"/>
    <n v="5320"/>
    <n v="3900"/>
    <n v="1420"/>
  </r>
  <r>
    <s v="ORD12996"/>
    <x v="1183"/>
    <s v="CUST1316"/>
    <s v="Customer 316"/>
    <x v="1"/>
    <s v="Kerala"/>
    <x v="1"/>
    <s v="Kitchen"/>
    <x v="2"/>
    <n v="4"/>
    <n v="4200"/>
    <x v="3"/>
    <n v="14280"/>
    <n v="11600"/>
    <n v="2680"/>
  </r>
  <r>
    <s v="ORD11387"/>
    <x v="1184"/>
    <s v="CUST1281"/>
    <s v="Customer 281"/>
    <x v="2"/>
    <s v="Rajasthan"/>
    <x v="1"/>
    <s v="Kitchen"/>
    <x v="1"/>
    <n v="1"/>
    <n v="1900"/>
    <x v="3"/>
    <n v="1615"/>
    <n v="1250"/>
    <n v="365"/>
  </r>
  <r>
    <s v="ORD12388"/>
    <x v="1185"/>
    <s v="CUST1488"/>
    <s v="Customer 488"/>
    <x v="1"/>
    <s v="Kerala"/>
    <x v="0"/>
    <s v="Paper"/>
    <x v="3"/>
    <n v="2"/>
    <n v="520"/>
    <x v="2"/>
    <n v="1040"/>
    <n v="660"/>
    <n v="380"/>
  </r>
  <r>
    <s v="ORD10102"/>
    <x v="1186"/>
    <s v="CUST1100"/>
    <s v="Customer 100"/>
    <x v="1"/>
    <s v="Kerala"/>
    <x v="2"/>
    <s v="Audio"/>
    <x v="17"/>
    <n v="4"/>
    <n v="2800"/>
    <x v="3"/>
    <n v="9520"/>
    <n v="7200"/>
    <n v="2320"/>
  </r>
  <r>
    <s v="ORD13406"/>
    <x v="1187"/>
    <s v="CUST1177"/>
    <s v="Customer 177"/>
    <x v="3"/>
    <s v="Haryana"/>
    <x v="3"/>
    <s v="Chairs"/>
    <x v="12"/>
    <n v="2"/>
    <n v="7500"/>
    <x v="2"/>
    <n v="15000"/>
    <n v="10400"/>
    <n v="4600"/>
  </r>
  <r>
    <s v="ORD10239"/>
    <x v="1188"/>
    <s v="CUST1155"/>
    <s v="Customer 155"/>
    <x v="1"/>
    <s v="Kerala"/>
    <x v="0"/>
    <s v="Stationery"/>
    <x v="10"/>
    <n v="1"/>
    <n v="280"/>
    <x v="4"/>
    <n v="266"/>
    <n v="160"/>
    <n v="106"/>
  </r>
  <r>
    <s v="ORD13240"/>
    <x v="1189"/>
    <s v="CUST1020"/>
    <s v="Customer 020"/>
    <x v="2"/>
    <s v="Rajasthan"/>
    <x v="2"/>
    <s v="Monitors"/>
    <x v="11"/>
    <n v="2"/>
    <n v="10500"/>
    <x v="1"/>
    <n v="15750"/>
    <n v="15200"/>
    <n v="550"/>
  </r>
  <r>
    <s v="ORD10076"/>
    <x v="1190"/>
    <s v="CUST1238"/>
    <s v="Customer 238"/>
    <x v="2"/>
    <s v="Gujarat"/>
    <x v="3"/>
    <s v="Storage"/>
    <x v="14"/>
    <n v="2"/>
    <n v="4800"/>
    <x v="3"/>
    <n v="8160"/>
    <n v="6600"/>
    <n v="1560"/>
  </r>
  <r>
    <s v="ORD12429"/>
    <x v="1191"/>
    <s v="CUST1378"/>
    <s v="Customer 378"/>
    <x v="1"/>
    <s v="Kerala"/>
    <x v="3"/>
    <s v="Chairs"/>
    <x v="12"/>
    <n v="3"/>
    <n v="7500"/>
    <x v="3"/>
    <n v="19125"/>
    <n v="15600"/>
    <n v="3525"/>
  </r>
  <r>
    <s v="ORD13003"/>
    <x v="1192"/>
    <s v="CUST1465"/>
    <s v="Customer 465"/>
    <x v="3"/>
    <s v="Haryana"/>
    <x v="1"/>
    <s v="Kitchen"/>
    <x v="4"/>
    <n v="4"/>
    <n v="6800"/>
    <x v="3"/>
    <n v="23120"/>
    <n v="18800"/>
    <n v="4320"/>
  </r>
  <r>
    <s v="ORD12024"/>
    <x v="1193"/>
    <s v="CUST1300"/>
    <s v="Customer 300"/>
    <x v="0"/>
    <s v="Jharkhand"/>
    <x v="1"/>
    <s v="Kitchen"/>
    <x v="4"/>
    <n v="1"/>
    <n v="6800"/>
    <x v="2"/>
    <n v="6800"/>
    <n v="4700"/>
    <n v="2100"/>
  </r>
  <r>
    <s v="ORD11363"/>
    <x v="1194"/>
    <s v="CUST1176"/>
    <s v="Customer 176"/>
    <x v="2"/>
    <s v="Maharashtra"/>
    <x v="0"/>
    <s v="Stationery"/>
    <x v="18"/>
    <n v="1"/>
    <n v="300"/>
    <x v="3"/>
    <n v="255"/>
    <n v="170"/>
    <n v="85"/>
  </r>
  <r>
    <s v="ORD12522"/>
    <x v="1195"/>
    <s v="CUST1023"/>
    <s v="Customer 023"/>
    <x v="1"/>
    <s v="Andhra Pradesh"/>
    <x v="0"/>
    <s v="Paper"/>
    <x v="3"/>
    <n v="4"/>
    <n v="520"/>
    <x v="4"/>
    <n v="1976"/>
    <n v="1320"/>
    <n v="656"/>
  </r>
  <r>
    <s v="ORD12795"/>
    <x v="1196"/>
    <s v="CUST1035"/>
    <s v="Customer 035"/>
    <x v="1"/>
    <s v="Telangana"/>
    <x v="2"/>
    <s v="Audio"/>
    <x v="5"/>
    <n v="3"/>
    <n v="2200"/>
    <x v="2"/>
    <n v="6600"/>
    <n v="4350"/>
    <n v="2250"/>
  </r>
  <r>
    <s v="ORD12791"/>
    <x v="1197"/>
    <s v="CUST1469"/>
    <s v="Customer 469"/>
    <x v="2"/>
    <s v="Rajasthan"/>
    <x v="1"/>
    <s v="Kitchen"/>
    <x v="4"/>
    <n v="3"/>
    <n v="6800"/>
    <x v="3"/>
    <n v="17340"/>
    <n v="14100"/>
    <n v="3240"/>
  </r>
  <r>
    <s v="ORD12239"/>
    <x v="1198"/>
    <s v="CUST1239"/>
    <s v="Customer 239"/>
    <x v="2"/>
    <s v="Gujarat"/>
    <x v="3"/>
    <s v="Storage"/>
    <x v="6"/>
    <n v="4"/>
    <n v="5600"/>
    <x v="5"/>
    <n v="17920"/>
    <n v="15600"/>
    <n v="2320"/>
  </r>
  <r>
    <s v="ORD13187"/>
    <x v="1199"/>
    <s v="CUST1383"/>
    <s v="Customer 383"/>
    <x v="1"/>
    <s v="Tamil Nadu"/>
    <x v="1"/>
    <s v="Appliances"/>
    <x v="7"/>
    <n v="3"/>
    <n v="2400"/>
    <x v="3"/>
    <n v="6120"/>
    <n v="4950"/>
    <n v="1170"/>
  </r>
  <r>
    <s v="ORD11815"/>
    <x v="1200"/>
    <s v="CUST1442"/>
    <s v="Customer 442"/>
    <x v="2"/>
    <s v="Rajasthan"/>
    <x v="1"/>
    <s v="Kitchen"/>
    <x v="4"/>
    <n v="5"/>
    <n v="6800"/>
    <x v="3"/>
    <n v="28900"/>
    <n v="23500"/>
    <n v="5400"/>
  </r>
  <r>
    <s v="ORD11172"/>
    <x v="1201"/>
    <s v="CUST1316"/>
    <s v="Customer 316"/>
    <x v="3"/>
    <s v="Punjab"/>
    <x v="0"/>
    <s v="Paper"/>
    <x v="3"/>
    <n v="1"/>
    <n v="520"/>
    <x v="3"/>
    <n v="442"/>
    <n v="330"/>
    <n v="112"/>
  </r>
  <r>
    <s v="ORD11726"/>
    <x v="1202"/>
    <s v="CUST1392"/>
    <s v="Customer 392"/>
    <x v="3"/>
    <s v="Delhi"/>
    <x v="0"/>
    <s v="Paper"/>
    <x v="3"/>
    <n v="1"/>
    <n v="520"/>
    <x v="0"/>
    <n v="468"/>
    <n v="330"/>
    <n v="138"/>
  </r>
  <r>
    <s v="ORD13152"/>
    <x v="1203"/>
    <s v="CUST1113"/>
    <s v="Customer 113"/>
    <x v="1"/>
    <s v="Andhra Pradesh"/>
    <x v="2"/>
    <s v="Monitors"/>
    <x v="11"/>
    <n v="3"/>
    <n v="10500"/>
    <x v="1"/>
    <n v="23625"/>
    <n v="22800"/>
    <n v="825"/>
  </r>
  <r>
    <s v="ORD13418"/>
    <x v="1204"/>
    <s v="CUST1438"/>
    <s v="Customer 438"/>
    <x v="0"/>
    <s v="Odisha"/>
    <x v="3"/>
    <s v="Storage"/>
    <x v="6"/>
    <n v="5"/>
    <n v="5600"/>
    <x v="3"/>
    <n v="23800"/>
    <n v="19500"/>
    <n v="4300"/>
  </r>
  <r>
    <s v="ORD12716"/>
    <x v="1205"/>
    <s v="CUST1232"/>
    <s v="Customer 232"/>
    <x v="1"/>
    <s v="Tamil Nadu"/>
    <x v="2"/>
    <s v="Accessories"/>
    <x v="9"/>
    <n v="3"/>
    <n v="850"/>
    <x v="2"/>
    <n v="2550"/>
    <n v="1680"/>
    <n v="870"/>
  </r>
  <r>
    <s v="ORD12973"/>
    <x v="1206"/>
    <s v="CUST1299"/>
    <s v="Customer 299"/>
    <x v="1"/>
    <s v="Karnataka"/>
    <x v="1"/>
    <s v="Kitchen"/>
    <x v="1"/>
    <n v="2"/>
    <n v="1900"/>
    <x v="0"/>
    <n v="3420"/>
    <n v="2500"/>
    <n v="920"/>
  </r>
  <r>
    <s v="ORD10381"/>
    <x v="1207"/>
    <s v="CUST1003"/>
    <s v="Customer 003"/>
    <x v="3"/>
    <s v="Delhi"/>
    <x v="3"/>
    <s v="Tables"/>
    <x v="16"/>
    <n v="1"/>
    <n v="6200"/>
    <x v="2"/>
    <n v="6200"/>
    <n v="4300"/>
    <n v="1900"/>
  </r>
  <r>
    <s v="ORD10005"/>
    <x v="1208"/>
    <s v="CUST1217"/>
    <s v="Customer 217"/>
    <x v="1"/>
    <s v="Kerala"/>
    <x v="0"/>
    <s v="Stationery"/>
    <x v="18"/>
    <n v="4"/>
    <n v="300"/>
    <x v="5"/>
    <n v="960"/>
    <n v="680"/>
    <n v="280"/>
  </r>
  <r>
    <s v="ORD10080"/>
    <x v="1209"/>
    <s v="CUST1335"/>
    <s v="Customer 335"/>
    <x v="1"/>
    <s v="Kerala"/>
    <x v="1"/>
    <s v="Kitchen"/>
    <x v="4"/>
    <n v="1"/>
    <n v="6800"/>
    <x v="1"/>
    <n v="5100"/>
    <n v="4700"/>
    <n v="400"/>
  </r>
  <r>
    <s v="ORD11425"/>
    <x v="1210"/>
    <s v="CUST1128"/>
    <s v="Customer 128"/>
    <x v="1"/>
    <s v="Andhra Pradesh"/>
    <x v="0"/>
    <s v="Stationery"/>
    <x v="18"/>
    <n v="5"/>
    <n v="300"/>
    <x v="0"/>
    <n v="1350"/>
    <n v="850"/>
    <n v="500"/>
  </r>
  <r>
    <s v="ORD11723"/>
    <x v="1211"/>
    <s v="CUST1327"/>
    <s v="Customer 327"/>
    <x v="3"/>
    <s v="Uttar Pradesh"/>
    <x v="3"/>
    <s v="Storage"/>
    <x v="6"/>
    <n v="4"/>
    <n v="5600"/>
    <x v="4"/>
    <n v="21280"/>
    <n v="15600"/>
    <n v="5680"/>
  </r>
  <r>
    <s v="ORD12657"/>
    <x v="1212"/>
    <s v="CUST1030"/>
    <s v="Customer 030"/>
    <x v="0"/>
    <s v="West Bengal"/>
    <x v="0"/>
    <s v="Stationery"/>
    <x v="18"/>
    <n v="5"/>
    <n v="300"/>
    <x v="3"/>
    <n v="1275"/>
    <n v="850"/>
    <n v="425"/>
  </r>
  <r>
    <s v="ORD11351"/>
    <x v="1213"/>
    <s v="CUST1031"/>
    <s v="Customer 031"/>
    <x v="1"/>
    <s v="Tamil Nadu"/>
    <x v="0"/>
    <s v="Stationery"/>
    <x v="15"/>
    <n v="2"/>
    <n v="450"/>
    <x v="4"/>
    <n v="855"/>
    <n v="520"/>
    <n v="335"/>
  </r>
  <r>
    <s v="ORD12014"/>
    <x v="1214"/>
    <s v="CUST1461"/>
    <s v="Customer 461"/>
    <x v="1"/>
    <s v="Andhra Pradesh"/>
    <x v="2"/>
    <s v="Audio"/>
    <x v="17"/>
    <n v="4"/>
    <n v="2800"/>
    <x v="0"/>
    <n v="10080"/>
    <n v="7200"/>
    <n v="2880"/>
  </r>
  <r>
    <s v="ORD10181"/>
    <x v="1215"/>
    <s v="CUST1470"/>
    <s v="Customer 470"/>
    <x v="3"/>
    <s v="Haryana"/>
    <x v="2"/>
    <s v="Accessories"/>
    <x v="9"/>
    <n v="4"/>
    <n v="850"/>
    <x v="0"/>
    <n v="3060"/>
    <n v="2240"/>
    <n v="820"/>
  </r>
  <r>
    <s v="ORD10978"/>
    <x v="1216"/>
    <s v="CUST1287"/>
    <s v="Customer 287"/>
    <x v="3"/>
    <s v="Delhi"/>
    <x v="1"/>
    <s v="Appliances"/>
    <x v="7"/>
    <n v="3"/>
    <n v="2400"/>
    <x v="5"/>
    <n v="5760"/>
    <n v="4950"/>
    <n v="810"/>
  </r>
  <r>
    <s v="ORD12882"/>
    <x v="1217"/>
    <s v="CUST1119"/>
    <s v="Customer 119"/>
    <x v="2"/>
    <s v="Rajasthan"/>
    <x v="1"/>
    <s v="Appliances"/>
    <x v="7"/>
    <n v="1"/>
    <n v="2400"/>
    <x v="4"/>
    <n v="2280"/>
    <n v="1650"/>
    <n v="630"/>
  </r>
  <r>
    <s v="ORD13053"/>
    <x v="1218"/>
    <s v="CUST1376"/>
    <s v="Customer 376"/>
    <x v="2"/>
    <s v="Goa"/>
    <x v="1"/>
    <s v="Kitchen"/>
    <x v="4"/>
    <n v="5"/>
    <n v="6800"/>
    <x v="3"/>
    <n v="28900"/>
    <n v="23500"/>
    <n v="5400"/>
  </r>
  <r>
    <s v="ORD12298"/>
    <x v="1219"/>
    <s v="CUST1246"/>
    <s v="Customer 246"/>
    <x v="2"/>
    <s v="Goa"/>
    <x v="3"/>
    <s v="Storage"/>
    <x v="14"/>
    <n v="2"/>
    <n v="4800"/>
    <x v="5"/>
    <n v="7680"/>
    <n v="6600"/>
    <n v="1080"/>
  </r>
  <r>
    <s v="ORD11177"/>
    <x v="1220"/>
    <s v="CUST1159"/>
    <s v="Customer 159"/>
    <x v="3"/>
    <s v="Uttar Pradesh"/>
    <x v="3"/>
    <s v="Tables"/>
    <x v="16"/>
    <n v="1"/>
    <n v="6200"/>
    <x v="3"/>
    <n v="5270"/>
    <n v="4300"/>
    <n v="970"/>
  </r>
  <r>
    <s v="ORD10814"/>
    <x v="1221"/>
    <s v="CUST1142"/>
    <s v="Customer 142"/>
    <x v="1"/>
    <s v="Andhra Pradesh"/>
    <x v="1"/>
    <s v="Kitchen"/>
    <x v="4"/>
    <n v="2"/>
    <n v="6800"/>
    <x v="2"/>
    <n v="13600"/>
    <n v="9400"/>
    <n v="4200"/>
  </r>
  <r>
    <s v="ORD12647"/>
    <x v="1222"/>
    <s v="CUST1284"/>
    <s v="Customer 284"/>
    <x v="0"/>
    <s v="Jharkhand"/>
    <x v="3"/>
    <s v="Storage"/>
    <x v="14"/>
    <n v="4"/>
    <n v="4800"/>
    <x v="3"/>
    <n v="16320"/>
    <n v="13200"/>
    <n v="3120"/>
  </r>
  <r>
    <s v="ORD13694"/>
    <x v="1223"/>
    <s v="CUST1164"/>
    <s v="Customer 164"/>
    <x v="3"/>
    <s v="Haryana"/>
    <x v="2"/>
    <s v="Monitors"/>
    <x v="11"/>
    <n v="5"/>
    <n v="10500"/>
    <x v="5"/>
    <n v="42000"/>
    <n v="38000"/>
    <n v="4000"/>
  </r>
  <r>
    <s v="ORD12652"/>
    <x v="1224"/>
    <s v="CUST1440"/>
    <s v="Customer 440"/>
    <x v="3"/>
    <s v="Punjab"/>
    <x v="3"/>
    <s v="Storage"/>
    <x v="14"/>
    <n v="3"/>
    <n v="4800"/>
    <x v="0"/>
    <n v="12960"/>
    <n v="9900"/>
    <n v="3060"/>
  </r>
  <r>
    <s v="ORD10695"/>
    <x v="1225"/>
    <s v="CUST1046"/>
    <s v="Customer 046"/>
    <x v="0"/>
    <s v="Odisha"/>
    <x v="0"/>
    <s v="Stationery"/>
    <x v="10"/>
    <n v="2"/>
    <n v="280"/>
    <x v="0"/>
    <n v="504"/>
    <n v="320"/>
    <n v="184"/>
  </r>
  <r>
    <s v="ORD10396"/>
    <x v="1226"/>
    <s v="CUST1438"/>
    <s v="Customer 438"/>
    <x v="0"/>
    <s v="West Bengal"/>
    <x v="3"/>
    <s v="Tables"/>
    <x v="16"/>
    <n v="2"/>
    <n v="6200"/>
    <x v="5"/>
    <n v="9920"/>
    <n v="8600"/>
    <n v="1320"/>
  </r>
  <r>
    <s v="ORD12418"/>
    <x v="1227"/>
    <s v="CUST1131"/>
    <s v="Customer 131"/>
    <x v="1"/>
    <s v="Tamil Nadu"/>
    <x v="2"/>
    <s v="Audio"/>
    <x v="17"/>
    <n v="5"/>
    <n v="2800"/>
    <x v="5"/>
    <n v="11200"/>
    <n v="9000"/>
    <n v="2200"/>
  </r>
  <r>
    <s v="ORD11042"/>
    <x v="1228"/>
    <s v="CUST1429"/>
    <s v="Customer 429"/>
    <x v="0"/>
    <s v="Jharkhand"/>
    <x v="2"/>
    <s v="Audio"/>
    <x v="5"/>
    <n v="5"/>
    <n v="2200"/>
    <x v="4"/>
    <n v="10450"/>
    <n v="7250"/>
    <n v="3200"/>
  </r>
  <r>
    <s v="ORD12454"/>
    <x v="1229"/>
    <s v="CUST1235"/>
    <s v="Customer 235"/>
    <x v="2"/>
    <s v="Maharashtra"/>
    <x v="2"/>
    <s v="Audio"/>
    <x v="17"/>
    <n v="3"/>
    <n v="2800"/>
    <x v="0"/>
    <n v="7560"/>
    <n v="5400"/>
    <n v="2160"/>
  </r>
  <r>
    <s v="ORD10654"/>
    <x v="1230"/>
    <s v="CUST1403"/>
    <s v="Customer 403"/>
    <x v="3"/>
    <s v="Uttar Pradesh"/>
    <x v="2"/>
    <s v="Audio"/>
    <x v="17"/>
    <n v="3"/>
    <n v="2800"/>
    <x v="4"/>
    <n v="7980"/>
    <n v="5400"/>
    <n v="2580"/>
  </r>
  <r>
    <s v="ORD13870"/>
    <x v="1231"/>
    <s v="CUST1356"/>
    <s v="Customer 356"/>
    <x v="1"/>
    <s v="Telangana"/>
    <x v="2"/>
    <s v="Monitors"/>
    <x v="11"/>
    <n v="2"/>
    <n v="10500"/>
    <x v="0"/>
    <n v="18900"/>
    <n v="15200"/>
    <n v="3700"/>
  </r>
  <r>
    <s v="ORD10491"/>
    <x v="1232"/>
    <s v="CUST1467"/>
    <s v="Customer 467"/>
    <x v="0"/>
    <s v="Bihar"/>
    <x v="2"/>
    <s v="Audio"/>
    <x v="5"/>
    <n v="4"/>
    <n v="2200"/>
    <x v="4"/>
    <n v="8360"/>
    <n v="5800"/>
    <n v="2560"/>
  </r>
  <r>
    <s v="ORD12452"/>
    <x v="1233"/>
    <s v="CUST1446"/>
    <s v="Customer 446"/>
    <x v="0"/>
    <s v="West Bengal"/>
    <x v="1"/>
    <s v="Kitchen"/>
    <x v="2"/>
    <n v="2"/>
    <n v="4200"/>
    <x v="0"/>
    <n v="7560"/>
    <n v="5800"/>
    <n v="1760"/>
  </r>
  <r>
    <s v="ORD11165"/>
    <x v="1234"/>
    <s v="CUST1259"/>
    <s v="Customer 259"/>
    <x v="2"/>
    <s v="Goa"/>
    <x v="3"/>
    <s v="Chairs"/>
    <x v="12"/>
    <n v="2"/>
    <n v="7500"/>
    <x v="3"/>
    <n v="12750"/>
    <n v="10400"/>
    <n v="2350"/>
  </r>
  <r>
    <s v="ORD11347"/>
    <x v="1235"/>
    <s v="CUST1428"/>
    <s v="Customer 428"/>
    <x v="3"/>
    <s v="Punjab"/>
    <x v="3"/>
    <s v="Tables"/>
    <x v="16"/>
    <n v="2"/>
    <n v="6200"/>
    <x v="3"/>
    <n v="10540"/>
    <n v="8600"/>
    <n v="1940"/>
  </r>
  <r>
    <s v="ORD11278"/>
    <x v="1236"/>
    <s v="CUST1387"/>
    <s v="Customer 387"/>
    <x v="2"/>
    <s v="Rajasthan"/>
    <x v="2"/>
    <s v="Audio"/>
    <x v="17"/>
    <n v="1"/>
    <n v="2800"/>
    <x v="0"/>
    <n v="2520"/>
    <n v="1800"/>
    <n v="720"/>
  </r>
  <r>
    <s v="ORD10023"/>
    <x v="1237"/>
    <s v="CUST1092"/>
    <s v="Customer 092"/>
    <x v="1"/>
    <s v="Andhra Pradesh"/>
    <x v="1"/>
    <s v="Kitchen"/>
    <x v="2"/>
    <n v="3"/>
    <n v="4200"/>
    <x v="4"/>
    <n v="11970"/>
    <n v="8700"/>
    <n v="3270"/>
  </r>
  <r>
    <s v="ORD10444"/>
    <x v="1238"/>
    <s v="CUST1245"/>
    <s v="Customer 245"/>
    <x v="2"/>
    <s v="Maharashtra"/>
    <x v="3"/>
    <s v="Storage"/>
    <x v="14"/>
    <n v="3"/>
    <n v="4800"/>
    <x v="0"/>
    <n v="12960"/>
    <n v="9900"/>
    <n v="3060"/>
  </r>
  <r>
    <s v="ORD13804"/>
    <x v="1239"/>
    <s v="CUST1011"/>
    <s v="Customer 011"/>
    <x v="2"/>
    <s v="Goa"/>
    <x v="0"/>
    <s v="Accessories"/>
    <x v="0"/>
    <n v="3"/>
    <n v="650"/>
    <x v="4"/>
    <n v="1852.5"/>
    <n v="1170"/>
    <n v="682.5"/>
  </r>
  <r>
    <s v="ORD12629"/>
    <x v="1240"/>
    <s v="CUST1309"/>
    <s v="Customer 309"/>
    <x v="1"/>
    <s v="Karnataka"/>
    <x v="1"/>
    <s v="Kitchen"/>
    <x v="2"/>
    <n v="1"/>
    <n v="4200"/>
    <x v="3"/>
    <n v="3570"/>
    <n v="2900"/>
    <n v="670"/>
  </r>
  <r>
    <s v="ORD13308"/>
    <x v="1241"/>
    <s v="CUST1068"/>
    <s v="Customer 068"/>
    <x v="1"/>
    <s v="Tamil Nadu"/>
    <x v="1"/>
    <s v="Kitchen"/>
    <x v="2"/>
    <n v="5"/>
    <n v="4200"/>
    <x v="4"/>
    <n v="19950"/>
    <n v="14500"/>
    <n v="5450"/>
  </r>
  <r>
    <s v="ORD12542"/>
    <x v="1242"/>
    <s v="CUST1486"/>
    <s v="Customer 486"/>
    <x v="1"/>
    <s v="Andhra Pradesh"/>
    <x v="3"/>
    <s v="Tables"/>
    <x v="16"/>
    <n v="1"/>
    <n v="6200"/>
    <x v="0"/>
    <n v="5580"/>
    <n v="4300"/>
    <n v="1280"/>
  </r>
  <r>
    <s v="ORD10919"/>
    <x v="1243"/>
    <s v="CUST1128"/>
    <s v="Customer 128"/>
    <x v="1"/>
    <s v="Tamil Nadu"/>
    <x v="1"/>
    <s v="Kitchen"/>
    <x v="4"/>
    <n v="4"/>
    <n v="6800"/>
    <x v="2"/>
    <n v="27200"/>
    <n v="18800"/>
    <n v="8400"/>
  </r>
  <r>
    <s v="ORD12170"/>
    <x v="1244"/>
    <s v="CUST1490"/>
    <s v="Customer 490"/>
    <x v="2"/>
    <s v="Goa"/>
    <x v="2"/>
    <s v="Audio"/>
    <x v="5"/>
    <n v="5"/>
    <n v="2200"/>
    <x v="0"/>
    <n v="9900"/>
    <n v="7250"/>
    <n v="2650"/>
  </r>
  <r>
    <s v="ORD12314"/>
    <x v="1245"/>
    <s v="CUST1027"/>
    <s v="Customer 027"/>
    <x v="3"/>
    <s v="Uttar Pradesh"/>
    <x v="1"/>
    <s v="Kitchen"/>
    <x v="2"/>
    <n v="3"/>
    <n v="4200"/>
    <x v="0"/>
    <n v="11340"/>
    <n v="8700"/>
    <n v="2640"/>
  </r>
  <r>
    <s v="ORD13771"/>
    <x v="1246"/>
    <s v="CUST1213"/>
    <s v="Customer 213"/>
    <x v="3"/>
    <s v="Haryana"/>
    <x v="3"/>
    <s v="Chairs"/>
    <x v="12"/>
    <n v="2"/>
    <n v="7500"/>
    <x v="1"/>
    <n v="11250"/>
    <n v="10400"/>
    <n v="850"/>
  </r>
  <r>
    <s v="ORD11540"/>
    <x v="1247"/>
    <s v="CUST1311"/>
    <s v="Customer 311"/>
    <x v="1"/>
    <s v="Karnataka"/>
    <x v="2"/>
    <s v="Accessories"/>
    <x v="9"/>
    <n v="1"/>
    <n v="850"/>
    <x v="0"/>
    <n v="765"/>
    <n v="560"/>
    <n v="205"/>
  </r>
  <r>
    <s v="ORD13644"/>
    <x v="1248"/>
    <s v="CUST1246"/>
    <s v="Customer 246"/>
    <x v="1"/>
    <s v="Kerala"/>
    <x v="0"/>
    <s v="Stationery"/>
    <x v="18"/>
    <n v="1"/>
    <n v="300"/>
    <x v="0"/>
    <n v="270"/>
    <n v="170"/>
    <n v="100"/>
  </r>
  <r>
    <s v="ORD12954"/>
    <x v="1249"/>
    <s v="CUST1219"/>
    <s v="Customer 219"/>
    <x v="0"/>
    <s v="Odisha"/>
    <x v="0"/>
    <s v="Stationery"/>
    <x v="10"/>
    <n v="4"/>
    <n v="280"/>
    <x v="2"/>
    <n v="1120"/>
    <n v="640"/>
    <n v="480"/>
  </r>
  <r>
    <s v="ORD10368"/>
    <x v="1250"/>
    <s v="CUST1158"/>
    <s v="Customer 158"/>
    <x v="1"/>
    <s v="Telangana"/>
    <x v="0"/>
    <s v="Accessories"/>
    <x v="0"/>
    <n v="1"/>
    <n v="650"/>
    <x v="0"/>
    <n v="585"/>
    <n v="390"/>
    <n v="195"/>
  </r>
  <r>
    <s v="ORD11763"/>
    <x v="1251"/>
    <s v="CUST1006"/>
    <s v="Customer 006"/>
    <x v="1"/>
    <s v="Andhra Pradesh"/>
    <x v="0"/>
    <s v="Stationery"/>
    <x v="10"/>
    <n v="5"/>
    <n v="280"/>
    <x v="0"/>
    <n v="1260"/>
    <n v="800"/>
    <n v="460"/>
  </r>
  <r>
    <s v="ORD13403"/>
    <x v="1252"/>
    <s v="CUST1079"/>
    <s v="Customer 079"/>
    <x v="1"/>
    <s v="Tamil Nadu"/>
    <x v="2"/>
    <s v="Accessories"/>
    <x v="13"/>
    <n v="5"/>
    <n v="1400"/>
    <x v="0"/>
    <n v="6300"/>
    <n v="4500"/>
    <n v="1800"/>
  </r>
  <r>
    <s v="ORD10212"/>
    <x v="1253"/>
    <s v="CUST1359"/>
    <s v="Customer 359"/>
    <x v="2"/>
    <s v="Rajasthan"/>
    <x v="1"/>
    <s v="Kitchen"/>
    <x v="4"/>
    <n v="2"/>
    <n v="6800"/>
    <x v="3"/>
    <n v="11560"/>
    <n v="9400"/>
    <n v="2160"/>
  </r>
  <r>
    <s v="ORD12083"/>
    <x v="1254"/>
    <s v="CUST1163"/>
    <s v="Customer 163"/>
    <x v="3"/>
    <s v="Delhi"/>
    <x v="2"/>
    <s v="Audio"/>
    <x v="17"/>
    <n v="5"/>
    <n v="2800"/>
    <x v="3"/>
    <n v="11900"/>
    <n v="9000"/>
    <n v="2900"/>
  </r>
  <r>
    <s v="ORD10432"/>
    <x v="1255"/>
    <s v="CUST1370"/>
    <s v="Customer 370"/>
    <x v="3"/>
    <s v="Delhi"/>
    <x v="2"/>
    <s v="Accessories"/>
    <x v="9"/>
    <n v="4"/>
    <n v="850"/>
    <x v="0"/>
    <n v="3060"/>
    <n v="2240"/>
    <n v="820"/>
  </r>
  <r>
    <s v="ORD12059"/>
    <x v="1256"/>
    <s v="CUST1198"/>
    <s v="Customer 198"/>
    <x v="1"/>
    <s v="Andhra Pradesh"/>
    <x v="0"/>
    <s v="Stationery"/>
    <x v="18"/>
    <n v="3"/>
    <n v="300"/>
    <x v="3"/>
    <n v="765"/>
    <n v="510"/>
    <n v="255"/>
  </r>
  <r>
    <s v="ORD12182"/>
    <x v="1257"/>
    <s v="CUST1121"/>
    <s v="Customer 121"/>
    <x v="1"/>
    <s v="Kerala"/>
    <x v="0"/>
    <s v="Paper"/>
    <x v="3"/>
    <n v="1"/>
    <n v="520"/>
    <x v="3"/>
    <n v="442"/>
    <n v="330"/>
    <n v="112"/>
  </r>
  <r>
    <s v="ORD11916"/>
    <x v="1258"/>
    <s v="CUST1259"/>
    <s v="Customer 259"/>
    <x v="1"/>
    <s v="Kerala"/>
    <x v="2"/>
    <s v="Audio"/>
    <x v="5"/>
    <n v="3"/>
    <n v="2200"/>
    <x v="3"/>
    <n v="5610"/>
    <n v="4350"/>
    <n v="1260"/>
  </r>
  <r>
    <s v="ORD13841"/>
    <x v="1259"/>
    <s v="CUST1436"/>
    <s v="Customer 436"/>
    <x v="1"/>
    <s v="Kerala"/>
    <x v="1"/>
    <s v="Kitchen"/>
    <x v="4"/>
    <n v="1"/>
    <n v="6800"/>
    <x v="3"/>
    <n v="5780"/>
    <n v="4700"/>
    <n v="1080"/>
  </r>
  <r>
    <s v="ORD12241"/>
    <x v="1260"/>
    <s v="CUST1112"/>
    <s v="Customer 112"/>
    <x v="3"/>
    <s v="Uttar Pradesh"/>
    <x v="2"/>
    <s v="Monitors"/>
    <x v="11"/>
    <n v="4"/>
    <n v="10500"/>
    <x v="3"/>
    <n v="35700"/>
    <n v="30400"/>
    <n v="5300"/>
  </r>
  <r>
    <s v="ORD11164"/>
    <x v="1261"/>
    <s v="CUST1266"/>
    <s v="Customer 266"/>
    <x v="3"/>
    <s v="Haryana"/>
    <x v="0"/>
    <s v="Stationery"/>
    <x v="15"/>
    <n v="5"/>
    <n v="450"/>
    <x v="2"/>
    <n v="2250"/>
    <n v="1300"/>
    <n v="950"/>
  </r>
  <r>
    <s v="ORD13454"/>
    <x v="1262"/>
    <s v="CUST1175"/>
    <s v="Customer 175"/>
    <x v="1"/>
    <s v="Tamil Nadu"/>
    <x v="2"/>
    <s v="Audio"/>
    <x v="5"/>
    <n v="2"/>
    <n v="2200"/>
    <x v="0"/>
    <n v="3960"/>
    <n v="2900"/>
    <n v="1060"/>
  </r>
  <r>
    <s v="ORD10430"/>
    <x v="1263"/>
    <s v="CUST1358"/>
    <s v="Customer 358"/>
    <x v="3"/>
    <s v="Delhi"/>
    <x v="0"/>
    <s v="Stationery"/>
    <x v="10"/>
    <n v="4"/>
    <n v="280"/>
    <x v="0"/>
    <n v="1008"/>
    <n v="640"/>
    <n v="368"/>
  </r>
  <r>
    <s v="ORD11908"/>
    <x v="1264"/>
    <s v="CUST1081"/>
    <s v="Customer 081"/>
    <x v="0"/>
    <s v="Bihar"/>
    <x v="0"/>
    <s v="Stationery"/>
    <x v="10"/>
    <n v="5"/>
    <n v="280"/>
    <x v="4"/>
    <n v="1330"/>
    <n v="800"/>
    <n v="530"/>
  </r>
  <r>
    <s v="ORD11144"/>
    <x v="1265"/>
    <s v="CUST1423"/>
    <s v="Customer 423"/>
    <x v="1"/>
    <s v="Kerala"/>
    <x v="0"/>
    <s v="Stationery"/>
    <x v="18"/>
    <n v="4"/>
    <n v="300"/>
    <x v="3"/>
    <n v="1020"/>
    <n v="680"/>
    <n v="340"/>
  </r>
  <r>
    <s v="ORD11073"/>
    <x v="1266"/>
    <s v="CUST1379"/>
    <s v="Customer 379"/>
    <x v="3"/>
    <s v="Punjab"/>
    <x v="0"/>
    <s v="Paper"/>
    <x v="3"/>
    <n v="5"/>
    <n v="520"/>
    <x v="5"/>
    <n v="2080"/>
    <n v="1650"/>
    <n v="430"/>
  </r>
  <r>
    <s v="ORD11247"/>
    <x v="1267"/>
    <s v="CUST1430"/>
    <s v="Customer 430"/>
    <x v="1"/>
    <s v="Tamil Nadu"/>
    <x v="3"/>
    <s v="Tables"/>
    <x v="16"/>
    <n v="3"/>
    <n v="6200"/>
    <x v="2"/>
    <n v="18600"/>
    <n v="12900"/>
    <n v="5700"/>
  </r>
  <r>
    <s v="ORD10249"/>
    <x v="1268"/>
    <s v="CUST1394"/>
    <s v="Customer 394"/>
    <x v="1"/>
    <s v="Andhra Pradesh"/>
    <x v="3"/>
    <s v="Tables"/>
    <x v="16"/>
    <n v="1"/>
    <n v="6200"/>
    <x v="5"/>
    <n v="4960"/>
    <n v="4300"/>
    <n v="660"/>
  </r>
  <r>
    <s v="ORD13833"/>
    <x v="1269"/>
    <s v="CUST1405"/>
    <s v="Customer 405"/>
    <x v="1"/>
    <s v="Telangana"/>
    <x v="0"/>
    <s v="Accessories"/>
    <x v="0"/>
    <n v="5"/>
    <n v="650"/>
    <x v="3"/>
    <n v="2762.5"/>
    <n v="1950"/>
    <n v="812.5"/>
  </r>
  <r>
    <s v="ORD10456"/>
    <x v="1270"/>
    <s v="CUST1278"/>
    <s v="Customer 278"/>
    <x v="2"/>
    <s v="Gujarat"/>
    <x v="2"/>
    <s v="Audio"/>
    <x v="17"/>
    <n v="5"/>
    <n v="2800"/>
    <x v="5"/>
    <n v="11200"/>
    <n v="9000"/>
    <n v="2200"/>
  </r>
  <r>
    <s v="ORD13626"/>
    <x v="1271"/>
    <s v="CUST1372"/>
    <s v="Customer 372"/>
    <x v="2"/>
    <s v="Goa"/>
    <x v="2"/>
    <s v="Monitors"/>
    <x v="11"/>
    <n v="3"/>
    <n v="10500"/>
    <x v="0"/>
    <n v="28350"/>
    <n v="22800"/>
    <n v="5550"/>
  </r>
  <r>
    <s v="ORD13297"/>
    <x v="1272"/>
    <s v="CUST1106"/>
    <s v="Customer 106"/>
    <x v="0"/>
    <s v="Jharkhand"/>
    <x v="0"/>
    <s v="Stationery"/>
    <x v="18"/>
    <n v="1"/>
    <n v="300"/>
    <x v="0"/>
    <n v="270"/>
    <n v="170"/>
    <n v="100"/>
  </r>
  <r>
    <s v="ORD12639"/>
    <x v="1273"/>
    <s v="CUST1076"/>
    <s v="Customer 076"/>
    <x v="1"/>
    <s v="Telangana"/>
    <x v="3"/>
    <s v="Storage"/>
    <x v="14"/>
    <n v="4"/>
    <n v="4800"/>
    <x v="4"/>
    <n v="18240"/>
    <n v="13200"/>
    <n v="5040"/>
  </r>
  <r>
    <s v="ORD12166"/>
    <x v="1274"/>
    <s v="CUST1462"/>
    <s v="Customer 462"/>
    <x v="1"/>
    <s v="Telangana"/>
    <x v="1"/>
    <s v="Kitchen"/>
    <x v="2"/>
    <n v="3"/>
    <n v="4200"/>
    <x v="3"/>
    <n v="10710"/>
    <n v="8700"/>
    <n v="2010"/>
  </r>
  <r>
    <s v="ORD11163"/>
    <x v="1275"/>
    <s v="CUST1424"/>
    <s v="Customer 424"/>
    <x v="1"/>
    <s v="Andhra Pradesh"/>
    <x v="0"/>
    <s v="Paper"/>
    <x v="3"/>
    <n v="2"/>
    <n v="520"/>
    <x v="4"/>
    <n v="988"/>
    <n v="660"/>
    <n v="328"/>
  </r>
  <r>
    <s v="ORD13260"/>
    <x v="1276"/>
    <s v="CUST1206"/>
    <s v="Customer 206"/>
    <x v="1"/>
    <s v="Andhra Pradesh"/>
    <x v="2"/>
    <s v="Audio"/>
    <x v="5"/>
    <n v="4"/>
    <n v="2200"/>
    <x v="4"/>
    <n v="8360"/>
    <n v="5800"/>
    <n v="2560"/>
  </r>
  <r>
    <s v="ORD10374"/>
    <x v="1277"/>
    <s v="CUST1187"/>
    <s v="Customer 187"/>
    <x v="1"/>
    <s v="Telangana"/>
    <x v="3"/>
    <s v="Chairs"/>
    <x v="12"/>
    <n v="3"/>
    <n v="7500"/>
    <x v="0"/>
    <n v="20250"/>
    <n v="15600"/>
    <n v="4650"/>
  </r>
  <r>
    <s v="ORD10655"/>
    <x v="1278"/>
    <s v="CUST1277"/>
    <s v="Customer 277"/>
    <x v="2"/>
    <s v="Goa"/>
    <x v="3"/>
    <s v="Storage"/>
    <x v="6"/>
    <n v="3"/>
    <n v="5600"/>
    <x v="5"/>
    <n v="13440"/>
    <n v="11700"/>
    <n v="1740"/>
  </r>
  <r>
    <s v="ORD12748"/>
    <x v="1279"/>
    <s v="CUST1405"/>
    <s v="Customer 405"/>
    <x v="2"/>
    <s v="Rajasthan"/>
    <x v="1"/>
    <s v="Kitchen"/>
    <x v="4"/>
    <n v="3"/>
    <n v="6800"/>
    <x v="4"/>
    <n v="19380"/>
    <n v="14100"/>
    <n v="5280"/>
  </r>
  <r>
    <s v="ORD11965"/>
    <x v="1280"/>
    <s v="CUST1409"/>
    <s v="Customer 409"/>
    <x v="1"/>
    <s v="Kerala"/>
    <x v="2"/>
    <s v="Accessories"/>
    <x v="13"/>
    <n v="2"/>
    <n v="1400"/>
    <x v="4"/>
    <n v="2660"/>
    <n v="1800"/>
    <n v="860"/>
  </r>
  <r>
    <s v="ORD10942"/>
    <x v="1281"/>
    <s v="CUST1203"/>
    <s v="Customer 203"/>
    <x v="1"/>
    <s v="Kerala"/>
    <x v="2"/>
    <s v="Monitors"/>
    <x v="11"/>
    <n v="2"/>
    <n v="10500"/>
    <x v="2"/>
    <n v="21000"/>
    <n v="15200"/>
    <n v="5800"/>
  </r>
  <r>
    <s v="ORD12386"/>
    <x v="1282"/>
    <s v="CUST1438"/>
    <s v="Customer 438"/>
    <x v="0"/>
    <s v="Bihar"/>
    <x v="2"/>
    <s v="Accessories"/>
    <x v="13"/>
    <n v="2"/>
    <n v="1400"/>
    <x v="5"/>
    <n v="2240"/>
    <n v="1800"/>
    <n v="440"/>
  </r>
  <r>
    <s v="ORD11173"/>
    <x v="1283"/>
    <s v="CUST1196"/>
    <s v="Customer 196"/>
    <x v="3"/>
    <s v="Haryana"/>
    <x v="2"/>
    <s v="Audio"/>
    <x v="5"/>
    <n v="2"/>
    <n v="2200"/>
    <x v="4"/>
    <n v="4180"/>
    <n v="2900"/>
    <n v="1280"/>
  </r>
  <r>
    <s v="ORD11224"/>
    <x v="1284"/>
    <s v="CUST1328"/>
    <s v="Customer 328"/>
    <x v="3"/>
    <s v="Punjab"/>
    <x v="0"/>
    <s v="Stationery"/>
    <x v="15"/>
    <n v="2"/>
    <n v="450"/>
    <x v="3"/>
    <n v="765"/>
    <n v="520"/>
    <n v="245"/>
  </r>
  <r>
    <s v="ORD12646"/>
    <x v="1285"/>
    <s v="CUST1003"/>
    <s v="Customer 003"/>
    <x v="0"/>
    <s v="Odisha"/>
    <x v="2"/>
    <s v="Monitors"/>
    <x v="11"/>
    <n v="5"/>
    <n v="10500"/>
    <x v="2"/>
    <n v="52500"/>
    <n v="38000"/>
    <n v="14500"/>
  </r>
  <r>
    <s v="ORD13020"/>
    <x v="1286"/>
    <s v="CUST1373"/>
    <s v="Customer 373"/>
    <x v="2"/>
    <s v="Goa"/>
    <x v="0"/>
    <s v="Stationery"/>
    <x v="18"/>
    <n v="1"/>
    <n v="300"/>
    <x v="4"/>
    <n v="285"/>
    <n v="170"/>
    <n v="115"/>
  </r>
  <r>
    <s v="ORD12901"/>
    <x v="1287"/>
    <s v="CUST1254"/>
    <s v="Customer 254"/>
    <x v="2"/>
    <s v="Goa"/>
    <x v="2"/>
    <s v="Accessories"/>
    <x v="9"/>
    <n v="4"/>
    <n v="850"/>
    <x v="0"/>
    <n v="3060"/>
    <n v="2240"/>
    <n v="820"/>
  </r>
  <r>
    <s v="ORD12384"/>
    <x v="1288"/>
    <s v="CUST1197"/>
    <s v="Customer 197"/>
    <x v="2"/>
    <s v="Gujarat"/>
    <x v="0"/>
    <s v="Stationery"/>
    <x v="18"/>
    <n v="3"/>
    <n v="300"/>
    <x v="5"/>
    <n v="720"/>
    <n v="510"/>
    <n v="210"/>
  </r>
  <r>
    <s v="ORD11676"/>
    <x v="1289"/>
    <s v="CUST1492"/>
    <s v="Customer 492"/>
    <x v="0"/>
    <s v="Bihar"/>
    <x v="2"/>
    <s v="Accessories"/>
    <x v="13"/>
    <n v="3"/>
    <n v="1400"/>
    <x v="4"/>
    <n v="3990"/>
    <n v="2700"/>
    <n v="1290"/>
  </r>
  <r>
    <s v="ORD13692"/>
    <x v="1290"/>
    <s v="CUST1314"/>
    <s v="Customer 314"/>
    <x v="1"/>
    <s v="Karnataka"/>
    <x v="0"/>
    <s v="Stationery"/>
    <x v="15"/>
    <n v="2"/>
    <n v="450"/>
    <x v="0"/>
    <n v="810"/>
    <n v="520"/>
    <n v="290"/>
  </r>
  <r>
    <s v="ORD10490"/>
    <x v="1291"/>
    <s v="CUST1304"/>
    <s v="Customer 304"/>
    <x v="2"/>
    <s v="Maharashtra"/>
    <x v="0"/>
    <s v="Stationery"/>
    <x v="18"/>
    <n v="2"/>
    <n v="300"/>
    <x v="4"/>
    <n v="570"/>
    <n v="340"/>
    <n v="230"/>
  </r>
  <r>
    <s v="ORD12451"/>
    <x v="1292"/>
    <s v="CUST1420"/>
    <s v="Customer 420"/>
    <x v="3"/>
    <s v="Haryana"/>
    <x v="3"/>
    <s v="Chairs"/>
    <x v="12"/>
    <n v="4"/>
    <n v="7500"/>
    <x v="3"/>
    <n v="25500"/>
    <n v="20800"/>
    <n v="4700"/>
  </r>
  <r>
    <s v="ORD12819"/>
    <x v="1293"/>
    <s v="CUST1064"/>
    <s v="Customer 064"/>
    <x v="2"/>
    <s v="Goa"/>
    <x v="2"/>
    <s v="Audio"/>
    <x v="5"/>
    <n v="5"/>
    <n v="2200"/>
    <x v="3"/>
    <n v="9350"/>
    <n v="7250"/>
    <n v="2100"/>
  </r>
  <r>
    <s v="ORD11039"/>
    <x v="1294"/>
    <s v="CUST1219"/>
    <s v="Customer 219"/>
    <x v="1"/>
    <s v="Karnataka"/>
    <x v="3"/>
    <s v="Chairs"/>
    <x v="12"/>
    <n v="1"/>
    <n v="7500"/>
    <x v="0"/>
    <n v="6750"/>
    <n v="5200"/>
    <n v="1550"/>
  </r>
  <r>
    <s v="ORD13635"/>
    <x v="1295"/>
    <s v="CUST1481"/>
    <s v="Customer 481"/>
    <x v="1"/>
    <s v="Karnataka"/>
    <x v="3"/>
    <s v="Tables"/>
    <x v="16"/>
    <n v="2"/>
    <n v="6200"/>
    <x v="4"/>
    <n v="11780"/>
    <n v="8600"/>
    <n v="3180"/>
  </r>
  <r>
    <s v="ORD12121"/>
    <x v="1296"/>
    <s v="CUST1385"/>
    <s v="Customer 385"/>
    <x v="0"/>
    <s v="Odisha"/>
    <x v="2"/>
    <s v="Accessories"/>
    <x v="13"/>
    <n v="4"/>
    <n v="1400"/>
    <x v="5"/>
    <n v="4480"/>
    <n v="3600"/>
    <n v="880"/>
  </r>
  <r>
    <s v="ORD12961"/>
    <x v="1297"/>
    <s v="CUST1461"/>
    <s v="Customer 461"/>
    <x v="1"/>
    <s v="Kerala"/>
    <x v="2"/>
    <s v="Audio"/>
    <x v="5"/>
    <n v="3"/>
    <n v="2200"/>
    <x v="0"/>
    <n v="5940"/>
    <n v="4350"/>
    <n v="1590"/>
  </r>
  <r>
    <s v="ORD12752"/>
    <x v="1298"/>
    <s v="CUST1041"/>
    <s v="Customer 041"/>
    <x v="2"/>
    <s v="Maharashtra"/>
    <x v="2"/>
    <s v="Accessories"/>
    <x v="8"/>
    <n v="4"/>
    <n v="1800"/>
    <x v="1"/>
    <n v="5400"/>
    <n v="4400"/>
    <n v="1000"/>
  </r>
  <r>
    <s v="ORD13241"/>
    <x v="1299"/>
    <s v="CUST1105"/>
    <s v="Customer 105"/>
    <x v="1"/>
    <s v="Kerala"/>
    <x v="0"/>
    <s v="Paper"/>
    <x v="3"/>
    <n v="1"/>
    <n v="520"/>
    <x v="2"/>
    <n v="520"/>
    <n v="330"/>
    <n v="190"/>
  </r>
  <r>
    <s v="ORD12339"/>
    <x v="1300"/>
    <s v="CUST1022"/>
    <s v="Customer 022"/>
    <x v="2"/>
    <s v="Gujarat"/>
    <x v="2"/>
    <s v="Monitors"/>
    <x v="11"/>
    <n v="3"/>
    <n v="10500"/>
    <x v="0"/>
    <n v="28350"/>
    <n v="22800"/>
    <n v="5550"/>
  </r>
  <r>
    <s v="ORD10049"/>
    <x v="1301"/>
    <s v="CUST1339"/>
    <s v="Customer 339"/>
    <x v="1"/>
    <s v="Tamil Nadu"/>
    <x v="3"/>
    <s v="Storage"/>
    <x v="14"/>
    <n v="4"/>
    <n v="4800"/>
    <x v="3"/>
    <n v="16320"/>
    <n v="13200"/>
    <n v="3120"/>
  </r>
  <r>
    <s v="ORD12019"/>
    <x v="1302"/>
    <s v="CUST1360"/>
    <s v="Customer 360"/>
    <x v="1"/>
    <s v="Kerala"/>
    <x v="2"/>
    <s v="Audio"/>
    <x v="17"/>
    <n v="3"/>
    <n v="2800"/>
    <x v="3"/>
    <n v="7140"/>
    <n v="5400"/>
    <n v="1740"/>
  </r>
  <r>
    <s v="ORD12838"/>
    <x v="1303"/>
    <s v="CUST1450"/>
    <s v="Customer 450"/>
    <x v="1"/>
    <s v="Kerala"/>
    <x v="0"/>
    <s v="Paper"/>
    <x v="3"/>
    <n v="1"/>
    <n v="520"/>
    <x v="0"/>
    <n v="468"/>
    <n v="330"/>
    <n v="138"/>
  </r>
  <r>
    <s v="ORD11611"/>
    <x v="1304"/>
    <s v="CUST1389"/>
    <s v="Customer 389"/>
    <x v="2"/>
    <s v="Gujarat"/>
    <x v="1"/>
    <s v="Kitchen"/>
    <x v="1"/>
    <n v="5"/>
    <n v="1900"/>
    <x v="4"/>
    <n v="9025"/>
    <n v="6250"/>
    <n v="2775"/>
  </r>
  <r>
    <s v="ORD10254"/>
    <x v="1305"/>
    <s v="CUST1165"/>
    <s v="Customer 165"/>
    <x v="2"/>
    <s v="Maharashtra"/>
    <x v="1"/>
    <s v="Kitchen"/>
    <x v="2"/>
    <n v="5"/>
    <n v="4200"/>
    <x v="4"/>
    <n v="19950"/>
    <n v="14500"/>
    <n v="5450"/>
  </r>
  <r>
    <s v="ORD11799"/>
    <x v="1306"/>
    <s v="CUST1240"/>
    <s v="Customer 240"/>
    <x v="1"/>
    <s v="Kerala"/>
    <x v="2"/>
    <s v="Audio"/>
    <x v="5"/>
    <n v="5"/>
    <n v="2200"/>
    <x v="3"/>
    <n v="9350"/>
    <n v="7250"/>
    <n v="2100"/>
  </r>
  <r>
    <s v="ORD11316"/>
    <x v="1307"/>
    <s v="CUST1150"/>
    <s v="Customer 150"/>
    <x v="1"/>
    <s v="Andhra Pradesh"/>
    <x v="1"/>
    <s v="Kitchen"/>
    <x v="4"/>
    <n v="2"/>
    <n v="6800"/>
    <x v="4"/>
    <n v="12920"/>
    <n v="9400"/>
    <n v="3520"/>
  </r>
  <r>
    <s v="ORD13049"/>
    <x v="1308"/>
    <s v="CUST1085"/>
    <s v="Customer 085"/>
    <x v="1"/>
    <s v="Karnataka"/>
    <x v="3"/>
    <s v="Storage"/>
    <x v="6"/>
    <n v="4"/>
    <n v="5600"/>
    <x v="4"/>
    <n v="21280"/>
    <n v="15600"/>
    <n v="5680"/>
  </r>
  <r>
    <s v="ORD11233"/>
    <x v="1309"/>
    <s v="CUST1486"/>
    <s v="Customer 486"/>
    <x v="2"/>
    <s v="Gujarat"/>
    <x v="0"/>
    <s v="Stationery"/>
    <x v="15"/>
    <n v="2"/>
    <n v="450"/>
    <x v="0"/>
    <n v="810"/>
    <n v="520"/>
    <n v="290"/>
  </r>
  <r>
    <s v="ORD13576"/>
    <x v="1310"/>
    <s v="CUST1344"/>
    <s v="Customer 344"/>
    <x v="1"/>
    <s v="Andhra Pradesh"/>
    <x v="2"/>
    <s v="Accessories"/>
    <x v="13"/>
    <n v="1"/>
    <n v="1400"/>
    <x v="4"/>
    <n v="1330"/>
    <n v="900"/>
    <n v="430"/>
  </r>
  <r>
    <s v="ORD11414"/>
    <x v="1311"/>
    <s v="CUST1396"/>
    <s v="Customer 396"/>
    <x v="1"/>
    <s v="Tamil Nadu"/>
    <x v="1"/>
    <s v="Kitchen"/>
    <x v="1"/>
    <n v="2"/>
    <n v="1900"/>
    <x v="0"/>
    <n v="3420"/>
    <n v="2500"/>
    <n v="920"/>
  </r>
  <r>
    <s v="ORD10172"/>
    <x v="1312"/>
    <s v="CUST1046"/>
    <s v="Customer 046"/>
    <x v="1"/>
    <s v="Andhra Pradesh"/>
    <x v="0"/>
    <s v="Accessories"/>
    <x v="0"/>
    <n v="3"/>
    <n v="650"/>
    <x v="3"/>
    <n v="1657.5"/>
    <n v="1170"/>
    <n v="487.5"/>
  </r>
  <r>
    <s v="ORD13967"/>
    <x v="1313"/>
    <s v="CUST1393"/>
    <s v="Customer 393"/>
    <x v="3"/>
    <s v="Punjab"/>
    <x v="0"/>
    <s v="Paper"/>
    <x v="3"/>
    <n v="3"/>
    <n v="520"/>
    <x v="3"/>
    <n v="1326"/>
    <n v="990"/>
    <n v="336"/>
  </r>
  <r>
    <s v="ORD12902"/>
    <x v="1314"/>
    <s v="CUST1401"/>
    <s v="Customer 401"/>
    <x v="1"/>
    <s v="Karnataka"/>
    <x v="2"/>
    <s v="Audio"/>
    <x v="5"/>
    <n v="2"/>
    <n v="2200"/>
    <x v="0"/>
    <n v="3960"/>
    <n v="2900"/>
    <n v="1060"/>
  </r>
  <r>
    <s v="ORD13340"/>
    <x v="1315"/>
    <s v="CUST1434"/>
    <s v="Customer 434"/>
    <x v="1"/>
    <s v="Kerala"/>
    <x v="2"/>
    <s v="Monitors"/>
    <x v="11"/>
    <n v="4"/>
    <n v="10500"/>
    <x v="4"/>
    <n v="39900"/>
    <n v="30400"/>
    <n v="9500"/>
  </r>
  <r>
    <s v="ORD13311"/>
    <x v="1316"/>
    <s v="CUST1257"/>
    <s v="Customer 257"/>
    <x v="2"/>
    <s v="Maharashtra"/>
    <x v="3"/>
    <s v="Storage"/>
    <x v="14"/>
    <n v="3"/>
    <n v="4800"/>
    <x v="5"/>
    <n v="11520"/>
    <n v="9900"/>
    <n v="1620"/>
  </r>
  <r>
    <s v="ORD11509"/>
    <x v="1317"/>
    <s v="CUST1432"/>
    <s v="Customer 432"/>
    <x v="3"/>
    <s v="Punjab"/>
    <x v="0"/>
    <s v="Stationery"/>
    <x v="10"/>
    <n v="3"/>
    <n v="280"/>
    <x v="4"/>
    <n v="798"/>
    <n v="480"/>
    <n v="318"/>
  </r>
  <r>
    <s v="ORD12297"/>
    <x v="1318"/>
    <s v="CUST1084"/>
    <s v="Customer 084"/>
    <x v="2"/>
    <s v="Gujarat"/>
    <x v="0"/>
    <s v="Accessories"/>
    <x v="0"/>
    <n v="2"/>
    <n v="650"/>
    <x v="4"/>
    <n v="1235"/>
    <n v="780"/>
    <n v="455"/>
  </r>
  <r>
    <s v="ORD11686"/>
    <x v="1319"/>
    <s v="CUST1261"/>
    <s v="Customer 261"/>
    <x v="1"/>
    <s v="Telangana"/>
    <x v="2"/>
    <s v="Accessories"/>
    <x v="8"/>
    <n v="2"/>
    <n v="1800"/>
    <x v="2"/>
    <n v="3600"/>
    <n v="2200"/>
    <n v="1400"/>
  </r>
  <r>
    <s v="ORD13957"/>
    <x v="1320"/>
    <s v="CUST1261"/>
    <s v="Customer 261"/>
    <x v="2"/>
    <s v="Gujarat"/>
    <x v="0"/>
    <s v="Accessories"/>
    <x v="0"/>
    <n v="2"/>
    <n v="650"/>
    <x v="0"/>
    <n v="1170"/>
    <n v="780"/>
    <n v="390"/>
  </r>
  <r>
    <s v="ORD10778"/>
    <x v="1321"/>
    <s v="CUST1060"/>
    <s v="Customer 060"/>
    <x v="2"/>
    <s v="Rajasthan"/>
    <x v="0"/>
    <s v="Accessories"/>
    <x v="0"/>
    <n v="4"/>
    <n v="650"/>
    <x v="4"/>
    <n v="2470"/>
    <n v="1560"/>
    <n v="910"/>
  </r>
  <r>
    <s v="ORD11929"/>
    <x v="1322"/>
    <s v="CUST1092"/>
    <s v="Customer 092"/>
    <x v="1"/>
    <s v="Telangana"/>
    <x v="0"/>
    <s v="Stationery"/>
    <x v="18"/>
    <n v="4"/>
    <n v="300"/>
    <x v="3"/>
    <n v="1020"/>
    <n v="680"/>
    <n v="340"/>
  </r>
  <r>
    <s v="ORD11440"/>
    <x v="1323"/>
    <s v="CUST1478"/>
    <s v="Customer 478"/>
    <x v="2"/>
    <s v="Gujarat"/>
    <x v="2"/>
    <s v="Accessories"/>
    <x v="13"/>
    <n v="2"/>
    <n v="1400"/>
    <x v="4"/>
    <n v="2660"/>
    <n v="1800"/>
    <n v="860"/>
  </r>
  <r>
    <s v="ORD13449"/>
    <x v="1324"/>
    <s v="CUST1303"/>
    <s v="Customer 303"/>
    <x v="2"/>
    <s v="Rajasthan"/>
    <x v="0"/>
    <s v="Stationery"/>
    <x v="15"/>
    <n v="1"/>
    <n v="450"/>
    <x v="3"/>
    <n v="382.5"/>
    <n v="260"/>
    <n v="122.5"/>
  </r>
  <r>
    <s v="ORD10605"/>
    <x v="1325"/>
    <s v="CUST1414"/>
    <s v="Customer 414"/>
    <x v="1"/>
    <s v="Andhra Pradesh"/>
    <x v="0"/>
    <s v="Stationery"/>
    <x v="18"/>
    <n v="5"/>
    <n v="300"/>
    <x v="0"/>
    <n v="1350"/>
    <n v="850"/>
    <n v="500"/>
  </r>
  <r>
    <s v="ORD10648"/>
    <x v="1326"/>
    <s v="CUST1268"/>
    <s v="Customer 268"/>
    <x v="3"/>
    <s v="Delhi"/>
    <x v="2"/>
    <s v="Audio"/>
    <x v="5"/>
    <n v="4"/>
    <n v="2200"/>
    <x v="5"/>
    <n v="7040"/>
    <n v="5800"/>
    <n v="1240"/>
  </r>
  <r>
    <s v="ORD10537"/>
    <x v="1327"/>
    <s v="CUST1228"/>
    <s v="Customer 228"/>
    <x v="3"/>
    <s v="Punjab"/>
    <x v="2"/>
    <s v="Accessories"/>
    <x v="13"/>
    <n v="5"/>
    <n v="1400"/>
    <x v="4"/>
    <n v="6650"/>
    <n v="4500"/>
    <n v="2150"/>
  </r>
  <r>
    <s v="ORD10635"/>
    <x v="1328"/>
    <s v="CUST1092"/>
    <s v="Customer 092"/>
    <x v="2"/>
    <s v="Gujarat"/>
    <x v="2"/>
    <s v="Monitors"/>
    <x v="11"/>
    <n v="4"/>
    <n v="10500"/>
    <x v="5"/>
    <n v="33600"/>
    <n v="30400"/>
    <n v="3200"/>
  </r>
  <r>
    <s v="ORD10892"/>
    <x v="1329"/>
    <s v="CUST1355"/>
    <s v="Customer 355"/>
    <x v="0"/>
    <s v="West Bengal"/>
    <x v="0"/>
    <s v="Stationery"/>
    <x v="15"/>
    <n v="4"/>
    <n v="450"/>
    <x v="3"/>
    <n v="1530"/>
    <n v="1040"/>
    <n v="490"/>
  </r>
  <r>
    <s v="ORD13575"/>
    <x v="1330"/>
    <s v="CUST1477"/>
    <s v="Customer 477"/>
    <x v="1"/>
    <s v="Andhra Pradesh"/>
    <x v="0"/>
    <s v="Stationery"/>
    <x v="10"/>
    <n v="4"/>
    <n v="280"/>
    <x v="3"/>
    <n v="952"/>
    <n v="640"/>
    <n v="312"/>
  </r>
  <r>
    <s v="ORD10257"/>
    <x v="1331"/>
    <s v="CUST1339"/>
    <s v="Customer 339"/>
    <x v="0"/>
    <s v="Jharkhand"/>
    <x v="0"/>
    <s v="Stationery"/>
    <x v="18"/>
    <n v="4"/>
    <n v="300"/>
    <x v="0"/>
    <n v="1080"/>
    <n v="680"/>
    <n v="400"/>
  </r>
  <r>
    <s v="ORD13851"/>
    <x v="1332"/>
    <s v="CUST1367"/>
    <s v="Customer 367"/>
    <x v="0"/>
    <s v="West Bengal"/>
    <x v="2"/>
    <s v="Accessories"/>
    <x v="9"/>
    <n v="5"/>
    <n v="850"/>
    <x v="5"/>
    <n v="3400"/>
    <n v="2800"/>
    <n v="600"/>
  </r>
  <r>
    <s v="ORD12096"/>
    <x v="1333"/>
    <s v="CUST1390"/>
    <s v="Customer 390"/>
    <x v="1"/>
    <s v="Karnataka"/>
    <x v="0"/>
    <s v="Accessories"/>
    <x v="0"/>
    <n v="5"/>
    <n v="650"/>
    <x v="2"/>
    <n v="3250"/>
    <n v="1950"/>
    <n v="1300"/>
  </r>
  <r>
    <s v="ORD13573"/>
    <x v="1334"/>
    <s v="CUST1345"/>
    <s v="Customer 345"/>
    <x v="2"/>
    <s v="Gujarat"/>
    <x v="2"/>
    <s v="Monitors"/>
    <x v="11"/>
    <n v="3"/>
    <n v="10500"/>
    <x v="3"/>
    <n v="26775"/>
    <n v="22800"/>
    <n v="3975"/>
  </r>
  <r>
    <s v="ORD11021"/>
    <x v="1335"/>
    <s v="CUST1028"/>
    <s v="Customer 028"/>
    <x v="1"/>
    <s v="Telangana"/>
    <x v="2"/>
    <s v="Accessories"/>
    <x v="8"/>
    <n v="5"/>
    <n v="1800"/>
    <x v="5"/>
    <n v="7200"/>
    <n v="5500"/>
    <n v="1700"/>
  </r>
  <r>
    <s v="ORD13664"/>
    <x v="1336"/>
    <s v="CUST1482"/>
    <s v="Customer 482"/>
    <x v="1"/>
    <s v="Telangana"/>
    <x v="3"/>
    <s v="Chairs"/>
    <x v="12"/>
    <n v="1"/>
    <n v="7500"/>
    <x v="3"/>
    <n v="6375"/>
    <n v="5200"/>
    <n v="1175"/>
  </r>
  <r>
    <s v="ORD11223"/>
    <x v="1337"/>
    <s v="CUST1481"/>
    <s v="Customer 481"/>
    <x v="3"/>
    <s v="Punjab"/>
    <x v="2"/>
    <s v="Accessories"/>
    <x v="8"/>
    <n v="1"/>
    <n v="1800"/>
    <x v="4"/>
    <n v="1710"/>
    <n v="1100"/>
    <n v="610"/>
  </r>
  <r>
    <s v="ORD13619"/>
    <x v="1338"/>
    <s v="CUST1218"/>
    <s v="Customer 218"/>
    <x v="2"/>
    <s v="Rajasthan"/>
    <x v="2"/>
    <s v="Audio"/>
    <x v="5"/>
    <n v="4"/>
    <n v="2200"/>
    <x v="3"/>
    <n v="7480"/>
    <n v="5800"/>
    <n v="1680"/>
  </r>
  <r>
    <s v="ORD10166"/>
    <x v="1339"/>
    <s v="CUST1408"/>
    <s v="Customer 408"/>
    <x v="1"/>
    <s v="Kerala"/>
    <x v="0"/>
    <s v="Paper"/>
    <x v="3"/>
    <n v="4"/>
    <n v="520"/>
    <x v="2"/>
    <n v="2080"/>
    <n v="1320"/>
    <n v="760"/>
  </r>
  <r>
    <s v="ORD10862"/>
    <x v="1340"/>
    <s v="CUST1464"/>
    <s v="Customer 464"/>
    <x v="2"/>
    <s v="Gujarat"/>
    <x v="3"/>
    <s v="Tables"/>
    <x v="16"/>
    <n v="4"/>
    <n v="6200"/>
    <x v="2"/>
    <n v="24800"/>
    <n v="17200"/>
    <n v="7600"/>
  </r>
  <r>
    <s v="ORD10261"/>
    <x v="1341"/>
    <s v="CUST1397"/>
    <s v="Customer 397"/>
    <x v="3"/>
    <s v="Delhi"/>
    <x v="3"/>
    <s v="Chairs"/>
    <x v="12"/>
    <n v="3"/>
    <n v="7500"/>
    <x v="3"/>
    <n v="19125"/>
    <n v="15600"/>
    <n v="3525"/>
  </r>
  <r>
    <s v="ORD10385"/>
    <x v="1342"/>
    <s v="CUST1016"/>
    <s v="Customer 016"/>
    <x v="1"/>
    <s v="Andhra Pradesh"/>
    <x v="2"/>
    <s v="Audio"/>
    <x v="17"/>
    <n v="5"/>
    <n v="2800"/>
    <x v="3"/>
    <n v="11900"/>
    <n v="9000"/>
    <n v="2900"/>
  </r>
  <r>
    <s v="ORD10578"/>
    <x v="1343"/>
    <s v="CUST1262"/>
    <s v="Customer 262"/>
    <x v="3"/>
    <s v="Punjab"/>
    <x v="2"/>
    <s v="Accessories"/>
    <x v="8"/>
    <n v="1"/>
    <n v="1800"/>
    <x v="2"/>
    <n v="1800"/>
    <n v="1100"/>
    <n v="700"/>
  </r>
  <r>
    <s v="ORD13325"/>
    <x v="1344"/>
    <s v="CUST1217"/>
    <s v="Customer 217"/>
    <x v="1"/>
    <s v="Andhra Pradesh"/>
    <x v="2"/>
    <s v="Accessories"/>
    <x v="8"/>
    <n v="3"/>
    <n v="1800"/>
    <x v="0"/>
    <n v="4860"/>
    <n v="3300"/>
    <n v="1560"/>
  </r>
  <r>
    <s v="ORD10744"/>
    <x v="1345"/>
    <s v="CUST1136"/>
    <s v="Customer 136"/>
    <x v="3"/>
    <s v="Delhi"/>
    <x v="0"/>
    <s v="Stationery"/>
    <x v="15"/>
    <n v="4"/>
    <n v="450"/>
    <x v="1"/>
    <n v="1350"/>
    <n v="1040"/>
    <n v="310"/>
  </r>
  <r>
    <s v="ORD13996"/>
    <x v="1346"/>
    <s v="CUST1168"/>
    <s v="Customer 168"/>
    <x v="1"/>
    <s v="Kerala"/>
    <x v="0"/>
    <s v="Stationery"/>
    <x v="10"/>
    <n v="3"/>
    <n v="280"/>
    <x v="0"/>
    <n v="756"/>
    <n v="480"/>
    <n v="276"/>
  </r>
  <r>
    <s v="ORD11226"/>
    <x v="1347"/>
    <s v="CUST1485"/>
    <s v="Customer 485"/>
    <x v="3"/>
    <s v="Haryana"/>
    <x v="1"/>
    <s v="Kitchen"/>
    <x v="1"/>
    <n v="1"/>
    <n v="1900"/>
    <x v="0"/>
    <n v="1710"/>
    <n v="1250"/>
    <n v="460"/>
  </r>
  <r>
    <s v="ORD13786"/>
    <x v="1348"/>
    <s v="CUST1277"/>
    <s v="Customer 277"/>
    <x v="3"/>
    <s v="Delhi"/>
    <x v="2"/>
    <s v="Accessories"/>
    <x v="8"/>
    <n v="5"/>
    <n v="1800"/>
    <x v="5"/>
    <n v="7200"/>
    <n v="5500"/>
    <n v="1700"/>
  </r>
  <r>
    <s v="ORD11295"/>
    <x v="1349"/>
    <s v="CUST1476"/>
    <s v="Customer 476"/>
    <x v="2"/>
    <s v="Gujarat"/>
    <x v="2"/>
    <s v="Monitors"/>
    <x v="11"/>
    <n v="5"/>
    <n v="10500"/>
    <x v="4"/>
    <n v="49875"/>
    <n v="38000"/>
    <n v="11875"/>
  </r>
  <r>
    <s v="ORD10690"/>
    <x v="1350"/>
    <s v="CUST1392"/>
    <s v="Customer 392"/>
    <x v="2"/>
    <s v="Gujarat"/>
    <x v="1"/>
    <s v="Appliances"/>
    <x v="7"/>
    <n v="4"/>
    <n v="2400"/>
    <x v="2"/>
    <n v="9600"/>
    <n v="6600"/>
    <n v="3000"/>
  </r>
  <r>
    <s v="ORD10678"/>
    <x v="1351"/>
    <s v="CUST1043"/>
    <s v="Customer 043"/>
    <x v="3"/>
    <s v="Delhi"/>
    <x v="0"/>
    <s v="Accessories"/>
    <x v="0"/>
    <n v="3"/>
    <n v="650"/>
    <x v="4"/>
    <n v="1852.5"/>
    <n v="1170"/>
    <n v="682.5"/>
  </r>
  <r>
    <s v="ORD13985"/>
    <x v="1352"/>
    <s v="CUST1429"/>
    <s v="Customer 429"/>
    <x v="2"/>
    <s v="Gujarat"/>
    <x v="2"/>
    <s v="Accessories"/>
    <x v="9"/>
    <n v="4"/>
    <n v="850"/>
    <x v="2"/>
    <n v="3400"/>
    <n v="2240"/>
    <n v="1160"/>
  </r>
  <r>
    <s v="ORD12892"/>
    <x v="1353"/>
    <s v="CUST1285"/>
    <s v="Customer 285"/>
    <x v="1"/>
    <s v="Telangana"/>
    <x v="2"/>
    <s v="Accessories"/>
    <x v="13"/>
    <n v="3"/>
    <n v="1400"/>
    <x v="4"/>
    <n v="3990"/>
    <n v="2700"/>
    <n v="1290"/>
  </r>
  <r>
    <s v="ORD13265"/>
    <x v="1354"/>
    <s v="CUST1264"/>
    <s v="Customer 264"/>
    <x v="1"/>
    <s v="Andhra Pradesh"/>
    <x v="2"/>
    <s v="Accessories"/>
    <x v="13"/>
    <n v="3"/>
    <n v="1400"/>
    <x v="0"/>
    <n v="3780"/>
    <n v="2700"/>
    <n v="1080"/>
  </r>
  <r>
    <s v="ORD11976"/>
    <x v="1355"/>
    <s v="CUST1026"/>
    <s v="Customer 026"/>
    <x v="1"/>
    <s v="Tamil Nadu"/>
    <x v="2"/>
    <s v="Accessories"/>
    <x v="9"/>
    <n v="3"/>
    <n v="850"/>
    <x v="0"/>
    <n v="2295"/>
    <n v="1680"/>
    <n v="615"/>
  </r>
  <r>
    <s v="ORD11301"/>
    <x v="1356"/>
    <s v="CUST1380"/>
    <s v="Customer 380"/>
    <x v="0"/>
    <s v="Bihar"/>
    <x v="0"/>
    <s v="Paper"/>
    <x v="3"/>
    <n v="4"/>
    <n v="520"/>
    <x v="3"/>
    <n v="1768"/>
    <n v="1320"/>
    <n v="448"/>
  </r>
  <r>
    <s v="ORD10971"/>
    <x v="1357"/>
    <s v="CUST1150"/>
    <s v="Customer 150"/>
    <x v="2"/>
    <s v="Goa"/>
    <x v="1"/>
    <s v="Appliances"/>
    <x v="7"/>
    <n v="2"/>
    <n v="2400"/>
    <x v="0"/>
    <n v="4320"/>
    <n v="3300"/>
    <n v="1020"/>
  </r>
  <r>
    <s v="ORD12171"/>
    <x v="1358"/>
    <s v="CUST1011"/>
    <s v="Customer 011"/>
    <x v="0"/>
    <s v="Bihar"/>
    <x v="3"/>
    <s v="Chairs"/>
    <x v="12"/>
    <n v="3"/>
    <n v="7500"/>
    <x v="3"/>
    <n v="19125"/>
    <n v="15600"/>
    <n v="3525"/>
  </r>
  <r>
    <s v="ORD11601"/>
    <x v="1359"/>
    <s v="CUST1151"/>
    <s v="Customer 151"/>
    <x v="1"/>
    <s v="Kerala"/>
    <x v="3"/>
    <s v="Tables"/>
    <x v="16"/>
    <n v="5"/>
    <n v="6200"/>
    <x v="0"/>
    <n v="27900"/>
    <n v="21500"/>
    <n v="6400"/>
  </r>
  <r>
    <s v="ORD10177"/>
    <x v="1360"/>
    <s v="CUST1359"/>
    <s v="Customer 359"/>
    <x v="1"/>
    <s v="Andhra Pradesh"/>
    <x v="0"/>
    <s v="Stationery"/>
    <x v="15"/>
    <n v="1"/>
    <n v="450"/>
    <x v="2"/>
    <n v="450"/>
    <n v="260"/>
    <n v="190"/>
  </r>
  <r>
    <s v="ORD10247"/>
    <x v="1361"/>
    <s v="CUST1379"/>
    <s v="Customer 379"/>
    <x v="1"/>
    <s v="Tamil Nadu"/>
    <x v="2"/>
    <s v="Monitors"/>
    <x v="11"/>
    <n v="5"/>
    <n v="10500"/>
    <x v="3"/>
    <n v="44625"/>
    <n v="38000"/>
    <n v="6625"/>
  </r>
  <r>
    <s v="ORD13397"/>
    <x v="1362"/>
    <s v="CUST1227"/>
    <s v="Customer 227"/>
    <x v="1"/>
    <s v="Karnataka"/>
    <x v="1"/>
    <s v="Kitchen"/>
    <x v="4"/>
    <n v="5"/>
    <n v="6800"/>
    <x v="2"/>
    <n v="34000"/>
    <n v="23500"/>
    <n v="10500"/>
  </r>
  <r>
    <s v="ORD13286"/>
    <x v="1363"/>
    <s v="CUST1235"/>
    <s v="Customer 235"/>
    <x v="1"/>
    <s v="Karnataka"/>
    <x v="2"/>
    <s v="Audio"/>
    <x v="5"/>
    <n v="3"/>
    <n v="2200"/>
    <x v="2"/>
    <n v="6600"/>
    <n v="4350"/>
    <n v="2250"/>
  </r>
  <r>
    <s v="ORD13923"/>
    <x v="1364"/>
    <s v="CUST1241"/>
    <s v="Customer 241"/>
    <x v="3"/>
    <s v="Punjab"/>
    <x v="0"/>
    <s v="Stationery"/>
    <x v="10"/>
    <n v="2"/>
    <n v="280"/>
    <x v="3"/>
    <n v="476"/>
    <n v="320"/>
    <n v="156"/>
  </r>
  <r>
    <s v="ORD13474"/>
    <x v="1365"/>
    <s v="CUST1443"/>
    <s v="Customer 443"/>
    <x v="1"/>
    <s v="Telangana"/>
    <x v="2"/>
    <s v="Audio"/>
    <x v="17"/>
    <n v="1"/>
    <n v="2800"/>
    <x v="4"/>
    <n v="2660"/>
    <n v="1800"/>
    <n v="860"/>
  </r>
  <r>
    <s v="ORD12916"/>
    <x v="1366"/>
    <s v="CUST1219"/>
    <s v="Customer 219"/>
    <x v="3"/>
    <s v="Uttar Pradesh"/>
    <x v="1"/>
    <s v="Appliances"/>
    <x v="7"/>
    <n v="3"/>
    <n v="2400"/>
    <x v="0"/>
    <n v="6480"/>
    <n v="4950"/>
    <n v="1530"/>
  </r>
  <r>
    <s v="ORD11416"/>
    <x v="1367"/>
    <s v="CUST1392"/>
    <s v="Customer 392"/>
    <x v="1"/>
    <s v="Kerala"/>
    <x v="0"/>
    <s v="Stationery"/>
    <x v="15"/>
    <n v="3"/>
    <n v="450"/>
    <x v="3"/>
    <n v="1147.5"/>
    <n v="780"/>
    <n v="367.5"/>
  </r>
  <r>
    <s v="ORD11988"/>
    <x v="1368"/>
    <s v="CUST1106"/>
    <s v="Customer 106"/>
    <x v="2"/>
    <s v="Goa"/>
    <x v="0"/>
    <s v="Stationery"/>
    <x v="15"/>
    <n v="4"/>
    <n v="450"/>
    <x v="3"/>
    <n v="1530"/>
    <n v="1040"/>
    <n v="490"/>
  </r>
  <r>
    <s v="ORD11619"/>
    <x v="1369"/>
    <s v="CUST1061"/>
    <s v="Customer 061"/>
    <x v="1"/>
    <s v="Andhra Pradesh"/>
    <x v="0"/>
    <s v="Stationery"/>
    <x v="18"/>
    <n v="2"/>
    <n v="300"/>
    <x v="4"/>
    <n v="570"/>
    <n v="340"/>
    <n v="230"/>
  </r>
  <r>
    <s v="ORD12002"/>
    <x v="1370"/>
    <s v="CUST1032"/>
    <s v="Customer 032"/>
    <x v="1"/>
    <s v="Telangana"/>
    <x v="0"/>
    <s v="Paper"/>
    <x v="3"/>
    <n v="3"/>
    <n v="520"/>
    <x v="1"/>
    <n v="1170"/>
    <n v="990"/>
    <n v="180"/>
  </r>
  <r>
    <s v="ORD10719"/>
    <x v="1371"/>
    <s v="CUST1118"/>
    <s v="Customer 118"/>
    <x v="1"/>
    <s v="Andhra Pradesh"/>
    <x v="3"/>
    <s v="Tables"/>
    <x v="16"/>
    <n v="5"/>
    <n v="6200"/>
    <x v="4"/>
    <n v="29450"/>
    <n v="21500"/>
    <n v="7950"/>
  </r>
  <r>
    <s v="ORD11897"/>
    <x v="1372"/>
    <s v="CUST1288"/>
    <s v="Customer 288"/>
    <x v="1"/>
    <s v="Andhra Pradesh"/>
    <x v="0"/>
    <s v="Paper"/>
    <x v="3"/>
    <n v="1"/>
    <n v="520"/>
    <x v="3"/>
    <n v="442"/>
    <n v="330"/>
    <n v="112"/>
  </r>
  <r>
    <s v="ORD12040"/>
    <x v="1373"/>
    <s v="CUST1225"/>
    <s v="Customer 225"/>
    <x v="3"/>
    <s v="Haryana"/>
    <x v="3"/>
    <s v="Chairs"/>
    <x v="12"/>
    <n v="2"/>
    <n v="7500"/>
    <x v="4"/>
    <n v="14250"/>
    <n v="10400"/>
    <n v="3850"/>
  </r>
  <r>
    <s v="ORD10281"/>
    <x v="1374"/>
    <s v="CUST1138"/>
    <s v="Customer 138"/>
    <x v="2"/>
    <s v="Goa"/>
    <x v="3"/>
    <s v="Tables"/>
    <x v="16"/>
    <n v="5"/>
    <n v="6200"/>
    <x v="2"/>
    <n v="31000"/>
    <n v="21500"/>
    <n v="9500"/>
  </r>
  <r>
    <s v="ORD10091"/>
    <x v="1375"/>
    <s v="CUST1218"/>
    <s v="Customer 218"/>
    <x v="1"/>
    <s v="Kerala"/>
    <x v="2"/>
    <s v="Accessories"/>
    <x v="9"/>
    <n v="5"/>
    <n v="850"/>
    <x v="3"/>
    <n v="3612.5"/>
    <n v="2800"/>
    <n v="812.5"/>
  </r>
  <r>
    <s v="ORD13782"/>
    <x v="1376"/>
    <s v="CUST1114"/>
    <s v="Customer 114"/>
    <x v="0"/>
    <s v="Bihar"/>
    <x v="3"/>
    <s v="Storage"/>
    <x v="6"/>
    <n v="1"/>
    <n v="5600"/>
    <x v="0"/>
    <n v="5040"/>
    <n v="3900"/>
    <n v="1140"/>
  </r>
  <r>
    <s v="ORD13196"/>
    <x v="1377"/>
    <s v="CUST1088"/>
    <s v="Customer 088"/>
    <x v="0"/>
    <s v="Bihar"/>
    <x v="0"/>
    <s v="Stationery"/>
    <x v="18"/>
    <n v="5"/>
    <n v="300"/>
    <x v="0"/>
    <n v="1350"/>
    <n v="850"/>
    <n v="500"/>
  </r>
  <r>
    <s v="ORD12789"/>
    <x v="1378"/>
    <s v="CUST1003"/>
    <s v="Customer 003"/>
    <x v="1"/>
    <s v="Andhra Pradesh"/>
    <x v="2"/>
    <s v="Accessories"/>
    <x v="9"/>
    <n v="2"/>
    <n v="850"/>
    <x v="1"/>
    <n v="1275"/>
    <n v="1120"/>
    <n v="155"/>
  </r>
  <r>
    <s v="ORD12775"/>
    <x v="1379"/>
    <s v="CUST1273"/>
    <s v="Customer 273"/>
    <x v="1"/>
    <s v="Telangana"/>
    <x v="2"/>
    <s v="Accessories"/>
    <x v="8"/>
    <n v="2"/>
    <n v="1800"/>
    <x v="3"/>
    <n v="3060"/>
    <n v="2200"/>
    <n v="860"/>
  </r>
  <r>
    <s v="ORD13930"/>
    <x v="1380"/>
    <s v="CUST1370"/>
    <s v="Customer 370"/>
    <x v="1"/>
    <s v="Tamil Nadu"/>
    <x v="1"/>
    <s v="Appliances"/>
    <x v="7"/>
    <n v="3"/>
    <n v="2400"/>
    <x v="3"/>
    <n v="6120"/>
    <n v="4950"/>
    <n v="1170"/>
  </r>
  <r>
    <s v="ORD10822"/>
    <x v="1381"/>
    <s v="CUST1333"/>
    <s v="Customer 333"/>
    <x v="3"/>
    <s v="Delhi"/>
    <x v="3"/>
    <s v="Storage"/>
    <x v="14"/>
    <n v="1"/>
    <n v="4800"/>
    <x v="3"/>
    <n v="4080"/>
    <n v="3300"/>
    <n v="780"/>
  </r>
  <r>
    <s v="ORD11318"/>
    <x v="1382"/>
    <s v="CUST1296"/>
    <s v="Customer 296"/>
    <x v="1"/>
    <s v="Telangana"/>
    <x v="2"/>
    <s v="Accessories"/>
    <x v="8"/>
    <n v="4"/>
    <n v="1800"/>
    <x v="4"/>
    <n v="6840"/>
    <n v="4400"/>
    <n v="2440"/>
  </r>
  <r>
    <s v="ORD11478"/>
    <x v="1383"/>
    <s v="CUST1198"/>
    <s v="Customer 198"/>
    <x v="0"/>
    <s v="Jharkhand"/>
    <x v="0"/>
    <s v="Paper"/>
    <x v="3"/>
    <n v="5"/>
    <n v="520"/>
    <x v="0"/>
    <n v="2340"/>
    <n v="1650"/>
    <n v="690"/>
  </r>
  <r>
    <s v="ORD11810"/>
    <x v="1384"/>
    <s v="CUST1480"/>
    <s v="Customer 480"/>
    <x v="3"/>
    <s v="Punjab"/>
    <x v="0"/>
    <s v="Stationery"/>
    <x v="15"/>
    <n v="2"/>
    <n v="450"/>
    <x v="0"/>
    <n v="810"/>
    <n v="520"/>
    <n v="290"/>
  </r>
  <r>
    <s v="ORD10481"/>
    <x v="1385"/>
    <s v="CUST1144"/>
    <s v="Customer 144"/>
    <x v="2"/>
    <s v="Rajasthan"/>
    <x v="2"/>
    <s v="Audio"/>
    <x v="5"/>
    <n v="1"/>
    <n v="2200"/>
    <x v="3"/>
    <n v="1870"/>
    <n v="1450"/>
    <n v="420"/>
  </r>
  <r>
    <s v="ORD13702"/>
    <x v="1386"/>
    <s v="CUST1116"/>
    <s v="Customer 116"/>
    <x v="1"/>
    <s v="Kerala"/>
    <x v="0"/>
    <s v="Stationery"/>
    <x v="10"/>
    <n v="3"/>
    <n v="280"/>
    <x v="3"/>
    <n v="714"/>
    <n v="480"/>
    <n v="234"/>
  </r>
  <r>
    <s v="ORD12329"/>
    <x v="1387"/>
    <s v="CUST1014"/>
    <s v="Customer 014"/>
    <x v="3"/>
    <s v="Delhi"/>
    <x v="3"/>
    <s v="Chairs"/>
    <x v="12"/>
    <n v="4"/>
    <n v="7500"/>
    <x v="3"/>
    <n v="25500"/>
    <n v="20800"/>
    <n v="4700"/>
  </r>
  <r>
    <s v="ORD10063"/>
    <x v="1388"/>
    <s v="CUST1184"/>
    <s v="Customer 184"/>
    <x v="2"/>
    <s v="Maharashtra"/>
    <x v="3"/>
    <s v="Tables"/>
    <x v="16"/>
    <n v="2"/>
    <n v="6200"/>
    <x v="5"/>
    <n v="9920"/>
    <n v="8600"/>
    <n v="1320"/>
  </r>
  <r>
    <s v="ORD13499"/>
    <x v="1389"/>
    <s v="CUST1062"/>
    <s v="Customer 062"/>
    <x v="1"/>
    <s v="Kerala"/>
    <x v="3"/>
    <s v="Storage"/>
    <x v="14"/>
    <n v="2"/>
    <n v="4800"/>
    <x v="3"/>
    <n v="8160"/>
    <n v="6600"/>
    <n v="1560"/>
  </r>
  <r>
    <s v="ORD12535"/>
    <x v="1390"/>
    <s v="CUST1401"/>
    <s v="Customer 401"/>
    <x v="2"/>
    <s v="Gujarat"/>
    <x v="2"/>
    <s v="Monitors"/>
    <x v="11"/>
    <n v="2"/>
    <n v="10500"/>
    <x v="0"/>
    <n v="18900"/>
    <n v="15200"/>
    <n v="3700"/>
  </r>
  <r>
    <s v="ORD12569"/>
    <x v="1391"/>
    <s v="CUST1190"/>
    <s v="Customer 190"/>
    <x v="2"/>
    <s v="Maharashtra"/>
    <x v="2"/>
    <s v="Accessories"/>
    <x v="13"/>
    <n v="1"/>
    <n v="1400"/>
    <x v="3"/>
    <n v="1190"/>
    <n v="900"/>
    <n v="290"/>
  </r>
  <r>
    <s v="ORD10807"/>
    <x v="1392"/>
    <s v="CUST1273"/>
    <s v="Customer 273"/>
    <x v="1"/>
    <s v="Tamil Nadu"/>
    <x v="2"/>
    <s v="Accessories"/>
    <x v="13"/>
    <n v="1"/>
    <n v="1400"/>
    <x v="3"/>
    <n v="1190"/>
    <n v="900"/>
    <n v="290"/>
  </r>
  <r>
    <s v="ORD12874"/>
    <x v="1393"/>
    <s v="CUST1110"/>
    <s v="Customer 110"/>
    <x v="2"/>
    <s v="Maharashtra"/>
    <x v="2"/>
    <s v="Accessories"/>
    <x v="13"/>
    <n v="3"/>
    <n v="1400"/>
    <x v="4"/>
    <n v="3990"/>
    <n v="2700"/>
    <n v="1290"/>
  </r>
  <r>
    <s v="ORD12978"/>
    <x v="1394"/>
    <s v="CUST1449"/>
    <s v="Customer 449"/>
    <x v="1"/>
    <s v="Tamil Nadu"/>
    <x v="2"/>
    <s v="Audio"/>
    <x v="17"/>
    <n v="3"/>
    <n v="2800"/>
    <x v="3"/>
    <n v="7140"/>
    <n v="5400"/>
    <n v="1740"/>
  </r>
  <r>
    <s v="ORD11936"/>
    <x v="1395"/>
    <s v="CUST1082"/>
    <s v="Customer 082"/>
    <x v="1"/>
    <s v="Tamil Nadu"/>
    <x v="2"/>
    <s v="Accessories"/>
    <x v="13"/>
    <n v="2"/>
    <n v="1400"/>
    <x v="1"/>
    <n v="2100"/>
    <n v="1800"/>
    <n v="300"/>
  </r>
  <r>
    <s v="ORD12998"/>
    <x v="1396"/>
    <s v="CUST1174"/>
    <s v="Customer 174"/>
    <x v="2"/>
    <s v="Goa"/>
    <x v="0"/>
    <s v="Stationery"/>
    <x v="15"/>
    <n v="1"/>
    <n v="450"/>
    <x v="3"/>
    <n v="382.5"/>
    <n v="260"/>
    <n v="122.5"/>
  </r>
  <r>
    <s v="ORD13057"/>
    <x v="1397"/>
    <s v="CUST1402"/>
    <s v="Customer 402"/>
    <x v="2"/>
    <s v="Goa"/>
    <x v="2"/>
    <s v="Accessories"/>
    <x v="9"/>
    <n v="2"/>
    <n v="850"/>
    <x v="5"/>
    <n v="1360"/>
    <n v="1120"/>
    <n v="240"/>
  </r>
  <r>
    <s v="ORD12758"/>
    <x v="1398"/>
    <s v="CUST1318"/>
    <s v="Customer 318"/>
    <x v="0"/>
    <s v="Odisha"/>
    <x v="3"/>
    <s v="Storage"/>
    <x v="6"/>
    <n v="4"/>
    <n v="5600"/>
    <x v="0"/>
    <n v="20160"/>
    <n v="15600"/>
    <n v="4560"/>
  </r>
  <r>
    <s v="ORD12316"/>
    <x v="1399"/>
    <s v="CUST1001"/>
    <s v="Customer 001"/>
    <x v="2"/>
    <s v="Rajasthan"/>
    <x v="1"/>
    <s v="Kitchen"/>
    <x v="2"/>
    <n v="5"/>
    <n v="4200"/>
    <x v="0"/>
    <n v="18900"/>
    <n v="14500"/>
    <n v="4400"/>
  </r>
  <r>
    <s v="ORD10156"/>
    <x v="1400"/>
    <s v="CUST1331"/>
    <s v="Customer 331"/>
    <x v="3"/>
    <s v="Punjab"/>
    <x v="1"/>
    <s v="Appliances"/>
    <x v="7"/>
    <n v="2"/>
    <n v="2400"/>
    <x v="4"/>
    <n v="4560"/>
    <n v="3300"/>
    <n v="1260"/>
  </r>
  <r>
    <s v="ORD10115"/>
    <x v="1401"/>
    <s v="CUST1253"/>
    <s v="Customer 253"/>
    <x v="1"/>
    <s v="Telangana"/>
    <x v="2"/>
    <s v="Monitors"/>
    <x v="11"/>
    <n v="3"/>
    <n v="10500"/>
    <x v="4"/>
    <n v="29925"/>
    <n v="22800"/>
    <n v="7125"/>
  </r>
  <r>
    <s v="ORD13096"/>
    <x v="1402"/>
    <s v="CUST1376"/>
    <s v="Customer 376"/>
    <x v="2"/>
    <s v="Maharashtra"/>
    <x v="0"/>
    <s v="Paper"/>
    <x v="3"/>
    <n v="4"/>
    <n v="520"/>
    <x v="2"/>
    <n v="2080"/>
    <n v="1320"/>
    <n v="760"/>
  </r>
  <r>
    <s v="ORD13139"/>
    <x v="1403"/>
    <s v="CUST1235"/>
    <s v="Customer 235"/>
    <x v="1"/>
    <s v="Kerala"/>
    <x v="3"/>
    <s v="Storage"/>
    <x v="6"/>
    <n v="5"/>
    <n v="5600"/>
    <x v="2"/>
    <n v="28000"/>
    <n v="19500"/>
    <n v="8500"/>
  </r>
  <r>
    <s v="ORD12487"/>
    <x v="1404"/>
    <s v="CUST1123"/>
    <s v="Customer 123"/>
    <x v="3"/>
    <s v="Haryana"/>
    <x v="2"/>
    <s v="Accessories"/>
    <x v="9"/>
    <n v="1"/>
    <n v="850"/>
    <x v="1"/>
    <n v="637.5"/>
    <n v="560"/>
    <n v="77.5"/>
  </r>
  <r>
    <s v="ORD13753"/>
    <x v="1405"/>
    <s v="CUST1481"/>
    <s v="Customer 481"/>
    <x v="3"/>
    <s v="Delhi"/>
    <x v="0"/>
    <s v="Stationery"/>
    <x v="10"/>
    <n v="1"/>
    <n v="280"/>
    <x v="5"/>
    <n v="224"/>
    <n v="160"/>
    <n v="64"/>
  </r>
  <r>
    <s v="ORD11461"/>
    <x v="1406"/>
    <s v="CUST1396"/>
    <s v="Customer 396"/>
    <x v="2"/>
    <s v="Goa"/>
    <x v="1"/>
    <s v="Kitchen"/>
    <x v="2"/>
    <n v="5"/>
    <n v="4200"/>
    <x v="2"/>
    <n v="21000"/>
    <n v="14500"/>
    <n v="6500"/>
  </r>
  <r>
    <s v="ORD13741"/>
    <x v="1407"/>
    <s v="CUST1113"/>
    <s v="Customer 113"/>
    <x v="3"/>
    <s v="Uttar Pradesh"/>
    <x v="0"/>
    <s v="Paper"/>
    <x v="3"/>
    <n v="1"/>
    <n v="520"/>
    <x v="0"/>
    <n v="468"/>
    <n v="330"/>
    <n v="138"/>
  </r>
  <r>
    <s v="ORD12977"/>
    <x v="1408"/>
    <s v="CUST1248"/>
    <s v="Customer 248"/>
    <x v="2"/>
    <s v="Gujarat"/>
    <x v="3"/>
    <s v="Chairs"/>
    <x v="12"/>
    <n v="5"/>
    <n v="7500"/>
    <x v="2"/>
    <n v="37500"/>
    <n v="26000"/>
    <n v="11500"/>
  </r>
  <r>
    <s v="ORD13500"/>
    <x v="1409"/>
    <s v="CUST1225"/>
    <s v="Customer 225"/>
    <x v="1"/>
    <s v="Andhra Pradesh"/>
    <x v="3"/>
    <s v="Storage"/>
    <x v="14"/>
    <n v="3"/>
    <n v="4800"/>
    <x v="0"/>
    <n v="12960"/>
    <n v="9900"/>
    <n v="3060"/>
  </r>
  <r>
    <s v="ORD10771"/>
    <x v="1410"/>
    <s v="CUST1326"/>
    <s v="Customer 326"/>
    <x v="1"/>
    <s v="Tamil Nadu"/>
    <x v="2"/>
    <s v="Audio"/>
    <x v="17"/>
    <n v="3"/>
    <n v="2800"/>
    <x v="0"/>
    <n v="7560"/>
    <n v="5400"/>
    <n v="2160"/>
  </r>
  <r>
    <s v="ORD11640"/>
    <x v="1411"/>
    <s v="CUST1137"/>
    <s v="Customer 137"/>
    <x v="2"/>
    <s v="Rajasthan"/>
    <x v="2"/>
    <s v="Audio"/>
    <x v="17"/>
    <n v="4"/>
    <n v="2800"/>
    <x v="3"/>
    <n v="9520"/>
    <n v="7200"/>
    <n v="2320"/>
  </r>
  <r>
    <s v="ORD10575"/>
    <x v="1412"/>
    <s v="CUST1004"/>
    <s v="Customer 004"/>
    <x v="2"/>
    <s v="Maharashtra"/>
    <x v="1"/>
    <s v="Kitchen"/>
    <x v="1"/>
    <n v="2"/>
    <n v="1900"/>
    <x v="0"/>
    <n v="3420"/>
    <n v="2500"/>
    <n v="920"/>
  </r>
  <r>
    <s v="ORD11205"/>
    <x v="1413"/>
    <s v="CUST1326"/>
    <s v="Customer 326"/>
    <x v="0"/>
    <s v="Jharkhand"/>
    <x v="2"/>
    <s v="Accessories"/>
    <x v="9"/>
    <n v="4"/>
    <n v="850"/>
    <x v="0"/>
    <n v="3060"/>
    <n v="2240"/>
    <n v="820"/>
  </r>
  <r>
    <s v="ORD11784"/>
    <x v="1414"/>
    <s v="CUST1478"/>
    <s v="Customer 478"/>
    <x v="1"/>
    <s v="Karnataka"/>
    <x v="2"/>
    <s v="Monitors"/>
    <x v="11"/>
    <n v="2"/>
    <n v="10500"/>
    <x v="4"/>
    <n v="19950"/>
    <n v="15200"/>
    <n v="4750"/>
  </r>
  <r>
    <s v="ORD11494"/>
    <x v="1415"/>
    <s v="CUST1167"/>
    <s v="Customer 167"/>
    <x v="2"/>
    <s v="Goa"/>
    <x v="0"/>
    <s v="Stationery"/>
    <x v="18"/>
    <n v="1"/>
    <n v="300"/>
    <x v="4"/>
    <n v="285"/>
    <n v="170"/>
    <n v="115"/>
  </r>
  <r>
    <s v="ORD12918"/>
    <x v="1416"/>
    <s v="CUST1473"/>
    <s v="Customer 473"/>
    <x v="2"/>
    <s v="Maharashtra"/>
    <x v="0"/>
    <s v="Stationery"/>
    <x v="10"/>
    <n v="4"/>
    <n v="280"/>
    <x v="2"/>
    <n v="1120"/>
    <n v="640"/>
    <n v="480"/>
  </r>
  <r>
    <s v="ORD12818"/>
    <x v="1417"/>
    <s v="CUST1434"/>
    <s v="Customer 434"/>
    <x v="2"/>
    <s v="Goa"/>
    <x v="0"/>
    <s v="Stationery"/>
    <x v="15"/>
    <n v="5"/>
    <n v="450"/>
    <x v="5"/>
    <n v="1800"/>
    <n v="1300"/>
    <n v="500"/>
  </r>
  <r>
    <s v="ORD11074"/>
    <x v="1418"/>
    <s v="CUST1263"/>
    <s v="Customer 263"/>
    <x v="3"/>
    <s v="Delhi"/>
    <x v="0"/>
    <s v="Paper"/>
    <x v="3"/>
    <n v="3"/>
    <n v="520"/>
    <x v="1"/>
    <n v="1170"/>
    <n v="990"/>
    <n v="180"/>
  </r>
  <r>
    <s v="ORD10460"/>
    <x v="1419"/>
    <s v="CUST1053"/>
    <s v="Customer 053"/>
    <x v="2"/>
    <s v="Gujarat"/>
    <x v="3"/>
    <s v="Storage"/>
    <x v="14"/>
    <n v="5"/>
    <n v="4800"/>
    <x v="0"/>
    <n v="21600"/>
    <n v="16500"/>
    <n v="5100"/>
  </r>
  <r>
    <s v="ORD11297"/>
    <x v="1420"/>
    <s v="CUST1132"/>
    <s v="Customer 132"/>
    <x v="3"/>
    <s v="Uttar Pradesh"/>
    <x v="2"/>
    <s v="Accessories"/>
    <x v="9"/>
    <n v="5"/>
    <n v="850"/>
    <x v="4"/>
    <n v="4037.5"/>
    <n v="2800"/>
    <n v="1237.5"/>
  </r>
  <r>
    <s v="ORD11234"/>
    <x v="1421"/>
    <s v="CUST1375"/>
    <s v="Customer 375"/>
    <x v="1"/>
    <s v="Kerala"/>
    <x v="1"/>
    <s v="Kitchen"/>
    <x v="4"/>
    <n v="4"/>
    <n v="6800"/>
    <x v="5"/>
    <n v="21760"/>
    <n v="18800"/>
    <n v="2960"/>
  </r>
  <r>
    <s v="ORD13767"/>
    <x v="1422"/>
    <s v="CUST1340"/>
    <s v="Customer 340"/>
    <x v="1"/>
    <s v="Telangana"/>
    <x v="0"/>
    <s v="Accessories"/>
    <x v="0"/>
    <n v="2"/>
    <n v="650"/>
    <x v="0"/>
    <n v="1170"/>
    <n v="780"/>
    <n v="390"/>
  </r>
  <r>
    <s v="ORD10441"/>
    <x v="1423"/>
    <s v="CUST1487"/>
    <s v="Customer 487"/>
    <x v="0"/>
    <s v="Odisha"/>
    <x v="0"/>
    <s v="Paper"/>
    <x v="3"/>
    <n v="4"/>
    <n v="520"/>
    <x v="1"/>
    <n v="1560"/>
    <n v="1320"/>
    <n v="240"/>
  </r>
  <r>
    <s v="ORD12061"/>
    <x v="1424"/>
    <s v="CUST1448"/>
    <s v="Customer 448"/>
    <x v="0"/>
    <s v="Jharkhand"/>
    <x v="1"/>
    <s v="Kitchen"/>
    <x v="2"/>
    <n v="5"/>
    <n v="4200"/>
    <x v="5"/>
    <n v="16800"/>
    <n v="14500"/>
    <n v="2300"/>
  </r>
  <r>
    <s v="ORD11323"/>
    <x v="1425"/>
    <s v="CUST1275"/>
    <s v="Customer 275"/>
    <x v="3"/>
    <s v="Haryana"/>
    <x v="2"/>
    <s v="Audio"/>
    <x v="17"/>
    <n v="4"/>
    <n v="2800"/>
    <x v="0"/>
    <n v="10080"/>
    <n v="7200"/>
    <n v="2880"/>
  </r>
  <r>
    <s v="ORD12290"/>
    <x v="1426"/>
    <s v="CUST1209"/>
    <s v="Customer 209"/>
    <x v="2"/>
    <s v="Rajasthan"/>
    <x v="2"/>
    <s v="Audio"/>
    <x v="5"/>
    <n v="4"/>
    <n v="2200"/>
    <x v="0"/>
    <n v="7920"/>
    <n v="5800"/>
    <n v="2120"/>
  </r>
  <r>
    <s v="ORD11954"/>
    <x v="1427"/>
    <s v="CUST1233"/>
    <s v="Customer 233"/>
    <x v="3"/>
    <s v="Uttar Pradesh"/>
    <x v="3"/>
    <s v="Storage"/>
    <x v="14"/>
    <n v="1"/>
    <n v="4800"/>
    <x v="1"/>
    <n v="3600"/>
    <n v="3300"/>
    <n v="300"/>
  </r>
  <r>
    <s v="ORD12369"/>
    <x v="1428"/>
    <s v="CUST1082"/>
    <s v="Customer 082"/>
    <x v="1"/>
    <s v="Karnataka"/>
    <x v="3"/>
    <s v="Chairs"/>
    <x v="12"/>
    <n v="3"/>
    <n v="7500"/>
    <x v="1"/>
    <n v="16875"/>
    <n v="15600"/>
    <n v="1275"/>
  </r>
  <r>
    <s v="ORD11555"/>
    <x v="1429"/>
    <s v="CUST1229"/>
    <s v="Customer 229"/>
    <x v="1"/>
    <s v="Tamil Nadu"/>
    <x v="2"/>
    <s v="Audio"/>
    <x v="5"/>
    <n v="5"/>
    <n v="2200"/>
    <x v="4"/>
    <n v="10450"/>
    <n v="7250"/>
    <n v="3200"/>
  </r>
  <r>
    <s v="ORD13138"/>
    <x v="1430"/>
    <s v="CUST1239"/>
    <s v="Customer 239"/>
    <x v="1"/>
    <s v="Andhra Pradesh"/>
    <x v="1"/>
    <s v="Kitchen"/>
    <x v="2"/>
    <n v="1"/>
    <n v="4200"/>
    <x v="5"/>
    <n v="3360"/>
    <n v="2900"/>
    <n v="460"/>
  </r>
  <r>
    <s v="ORD12115"/>
    <x v="1431"/>
    <s v="CUST1371"/>
    <s v="Customer 371"/>
    <x v="3"/>
    <s v="Uttar Pradesh"/>
    <x v="2"/>
    <s v="Accessories"/>
    <x v="13"/>
    <n v="3"/>
    <n v="1400"/>
    <x v="3"/>
    <n v="3570"/>
    <n v="2700"/>
    <n v="870"/>
  </r>
  <r>
    <s v="ORD12827"/>
    <x v="1432"/>
    <s v="CUST1181"/>
    <s v="Customer 181"/>
    <x v="1"/>
    <s v="Tamil Nadu"/>
    <x v="0"/>
    <s v="Stationery"/>
    <x v="18"/>
    <n v="4"/>
    <n v="300"/>
    <x v="3"/>
    <n v="1020"/>
    <n v="680"/>
    <n v="340"/>
  </r>
  <r>
    <s v="ORD11827"/>
    <x v="1433"/>
    <s v="CUST1053"/>
    <s v="Customer 053"/>
    <x v="1"/>
    <s v="Kerala"/>
    <x v="1"/>
    <s v="Appliances"/>
    <x v="7"/>
    <n v="1"/>
    <n v="2400"/>
    <x v="1"/>
    <n v="1800"/>
    <n v="1650"/>
    <n v="150"/>
  </r>
  <r>
    <s v="ORD12459"/>
    <x v="1434"/>
    <s v="CUST1238"/>
    <s v="Customer 238"/>
    <x v="1"/>
    <s v="Telangana"/>
    <x v="3"/>
    <s v="Chairs"/>
    <x v="12"/>
    <n v="2"/>
    <n v="7500"/>
    <x v="3"/>
    <n v="12750"/>
    <n v="10400"/>
    <n v="2350"/>
  </r>
  <r>
    <s v="ORD11527"/>
    <x v="1435"/>
    <s v="CUST1160"/>
    <s v="Customer 160"/>
    <x v="1"/>
    <s v="Andhra Pradesh"/>
    <x v="3"/>
    <s v="Storage"/>
    <x v="6"/>
    <n v="3"/>
    <n v="5600"/>
    <x v="4"/>
    <n v="15960"/>
    <n v="11700"/>
    <n v="4260"/>
  </r>
  <r>
    <s v="ORD11506"/>
    <x v="1436"/>
    <s v="CUST1122"/>
    <s v="Customer 122"/>
    <x v="2"/>
    <s v="Rajasthan"/>
    <x v="0"/>
    <s v="Stationery"/>
    <x v="10"/>
    <n v="2"/>
    <n v="280"/>
    <x v="0"/>
    <n v="504"/>
    <n v="320"/>
    <n v="184"/>
  </r>
  <r>
    <s v="ORD11651"/>
    <x v="1437"/>
    <s v="CUST1095"/>
    <s v="Customer 095"/>
    <x v="1"/>
    <s v="Karnataka"/>
    <x v="1"/>
    <s v="Appliances"/>
    <x v="7"/>
    <n v="2"/>
    <n v="2400"/>
    <x v="0"/>
    <n v="4320"/>
    <n v="3300"/>
    <n v="1020"/>
  </r>
  <r>
    <s v="ORD10596"/>
    <x v="1438"/>
    <s v="CUST1402"/>
    <s v="Customer 402"/>
    <x v="0"/>
    <s v="Bihar"/>
    <x v="0"/>
    <s v="Stationery"/>
    <x v="15"/>
    <n v="5"/>
    <n v="450"/>
    <x v="2"/>
    <n v="2250"/>
    <n v="1300"/>
    <n v="950"/>
  </r>
  <r>
    <s v="ORD10133"/>
    <x v="1439"/>
    <s v="CUST1046"/>
    <s v="Customer 046"/>
    <x v="0"/>
    <s v="Odisha"/>
    <x v="0"/>
    <s v="Stationery"/>
    <x v="10"/>
    <n v="3"/>
    <n v="280"/>
    <x v="4"/>
    <n v="798"/>
    <n v="480"/>
    <n v="318"/>
  </r>
  <r>
    <s v="ORD13953"/>
    <x v="1440"/>
    <s v="CUST1365"/>
    <s v="Customer 365"/>
    <x v="2"/>
    <s v="Rajasthan"/>
    <x v="2"/>
    <s v="Accessories"/>
    <x v="9"/>
    <n v="2"/>
    <n v="850"/>
    <x v="5"/>
    <n v="1360"/>
    <n v="1120"/>
    <n v="240"/>
  </r>
  <r>
    <s v="ORD10920"/>
    <x v="1441"/>
    <s v="CUST1319"/>
    <s v="Customer 319"/>
    <x v="3"/>
    <s v="Haryana"/>
    <x v="0"/>
    <s v="Stationery"/>
    <x v="15"/>
    <n v="2"/>
    <n v="450"/>
    <x v="0"/>
    <n v="810"/>
    <n v="520"/>
    <n v="290"/>
  </r>
  <r>
    <s v="ORD13123"/>
    <x v="1442"/>
    <s v="CUST1236"/>
    <s v="Customer 236"/>
    <x v="2"/>
    <s v="Maharashtra"/>
    <x v="0"/>
    <s v="Accessories"/>
    <x v="0"/>
    <n v="4"/>
    <n v="650"/>
    <x v="0"/>
    <n v="2340"/>
    <n v="1560"/>
    <n v="780"/>
  </r>
  <r>
    <s v="ORD10294"/>
    <x v="1443"/>
    <s v="CUST1166"/>
    <s v="Customer 166"/>
    <x v="1"/>
    <s v="Telangana"/>
    <x v="2"/>
    <s v="Audio"/>
    <x v="5"/>
    <n v="1"/>
    <n v="2200"/>
    <x v="4"/>
    <n v="2090"/>
    <n v="1450"/>
    <n v="640"/>
  </r>
  <r>
    <s v="ORD12626"/>
    <x v="1444"/>
    <s v="CUST1290"/>
    <s v="Customer 290"/>
    <x v="2"/>
    <s v="Gujarat"/>
    <x v="0"/>
    <s v="Stationery"/>
    <x v="15"/>
    <n v="1"/>
    <n v="450"/>
    <x v="2"/>
    <n v="450"/>
    <n v="260"/>
    <n v="190"/>
  </r>
  <r>
    <s v="ORD10477"/>
    <x v="1445"/>
    <s v="CUST1424"/>
    <s v="Customer 424"/>
    <x v="1"/>
    <s v="Tamil Nadu"/>
    <x v="0"/>
    <s v="Stationery"/>
    <x v="18"/>
    <n v="1"/>
    <n v="300"/>
    <x v="5"/>
    <n v="240"/>
    <n v="170"/>
    <n v="70"/>
  </r>
  <r>
    <s v="ORD12534"/>
    <x v="1446"/>
    <s v="CUST1086"/>
    <s v="Customer 086"/>
    <x v="2"/>
    <s v="Gujarat"/>
    <x v="0"/>
    <s v="Accessories"/>
    <x v="0"/>
    <n v="1"/>
    <n v="650"/>
    <x v="4"/>
    <n v="617.5"/>
    <n v="390"/>
    <n v="227.5"/>
  </r>
  <r>
    <s v="ORD10332"/>
    <x v="1447"/>
    <s v="CUST1186"/>
    <s v="Customer 186"/>
    <x v="1"/>
    <s v="Telangana"/>
    <x v="0"/>
    <s v="Stationery"/>
    <x v="15"/>
    <n v="1"/>
    <n v="450"/>
    <x v="3"/>
    <n v="382.5"/>
    <n v="260"/>
    <n v="122.5"/>
  </r>
  <r>
    <s v="ORD13650"/>
    <x v="1448"/>
    <s v="CUST1369"/>
    <s v="Customer 369"/>
    <x v="1"/>
    <s v="Andhra Pradesh"/>
    <x v="1"/>
    <s v="Kitchen"/>
    <x v="1"/>
    <n v="3"/>
    <n v="1900"/>
    <x v="5"/>
    <n v="4560"/>
    <n v="3750"/>
    <n v="810"/>
  </r>
  <r>
    <s v="ORD12328"/>
    <x v="1449"/>
    <s v="CUST1085"/>
    <s v="Customer 085"/>
    <x v="3"/>
    <s v="Uttar Pradesh"/>
    <x v="2"/>
    <s v="Accessories"/>
    <x v="9"/>
    <n v="1"/>
    <n v="850"/>
    <x v="3"/>
    <n v="722.5"/>
    <n v="560"/>
    <n v="162.5"/>
  </r>
  <r>
    <s v="ORD12162"/>
    <x v="1450"/>
    <s v="CUST1123"/>
    <s v="Customer 123"/>
    <x v="1"/>
    <s v="Andhra Pradesh"/>
    <x v="0"/>
    <s v="Stationery"/>
    <x v="10"/>
    <n v="4"/>
    <n v="280"/>
    <x v="2"/>
    <n v="1120"/>
    <n v="640"/>
    <n v="480"/>
  </r>
  <r>
    <s v="ORD11231"/>
    <x v="1451"/>
    <s v="CUST1411"/>
    <s v="Customer 411"/>
    <x v="2"/>
    <s v="Goa"/>
    <x v="2"/>
    <s v="Accessories"/>
    <x v="8"/>
    <n v="2"/>
    <n v="1800"/>
    <x v="3"/>
    <n v="3060"/>
    <n v="2200"/>
    <n v="860"/>
  </r>
  <r>
    <s v="ORD12224"/>
    <x v="1452"/>
    <s v="CUST1212"/>
    <s v="Customer 212"/>
    <x v="1"/>
    <s v="Kerala"/>
    <x v="0"/>
    <s v="Stationery"/>
    <x v="15"/>
    <n v="4"/>
    <n v="450"/>
    <x v="5"/>
    <n v="1440"/>
    <n v="1040"/>
    <n v="400"/>
  </r>
  <r>
    <s v="ORD10038"/>
    <x v="1453"/>
    <s v="CUST1414"/>
    <s v="Customer 414"/>
    <x v="1"/>
    <s v="Telangana"/>
    <x v="3"/>
    <s v="Storage"/>
    <x v="14"/>
    <n v="4"/>
    <n v="4800"/>
    <x v="3"/>
    <n v="16320"/>
    <n v="13200"/>
    <n v="3120"/>
  </r>
  <r>
    <s v="ORD11912"/>
    <x v="1454"/>
    <s v="CUST1444"/>
    <s v="Customer 444"/>
    <x v="2"/>
    <s v="Gujarat"/>
    <x v="0"/>
    <s v="Paper"/>
    <x v="3"/>
    <n v="1"/>
    <n v="520"/>
    <x v="0"/>
    <n v="468"/>
    <n v="330"/>
    <n v="138"/>
  </r>
  <r>
    <s v="ORD13361"/>
    <x v="1455"/>
    <s v="CUST1493"/>
    <s v="Customer 493"/>
    <x v="2"/>
    <s v="Gujarat"/>
    <x v="1"/>
    <s v="Kitchen"/>
    <x v="1"/>
    <n v="1"/>
    <n v="1900"/>
    <x v="4"/>
    <n v="1805"/>
    <n v="1250"/>
    <n v="555"/>
  </r>
  <r>
    <s v="ORD13493"/>
    <x v="1456"/>
    <s v="CUST1186"/>
    <s v="Customer 186"/>
    <x v="1"/>
    <s v="Tamil Nadu"/>
    <x v="2"/>
    <s v="Accessories"/>
    <x v="13"/>
    <n v="3"/>
    <n v="1400"/>
    <x v="5"/>
    <n v="3360"/>
    <n v="2700"/>
    <n v="660"/>
  </r>
  <r>
    <s v="ORD12477"/>
    <x v="1457"/>
    <s v="CUST1261"/>
    <s v="Customer 261"/>
    <x v="2"/>
    <s v="Rajasthan"/>
    <x v="3"/>
    <s v="Tables"/>
    <x v="16"/>
    <n v="3"/>
    <n v="6200"/>
    <x v="1"/>
    <n v="13950"/>
    <n v="12900"/>
    <n v="1050"/>
  </r>
  <r>
    <s v="ORD13082"/>
    <x v="1458"/>
    <s v="CUST1411"/>
    <s v="Customer 411"/>
    <x v="2"/>
    <s v="Rajasthan"/>
    <x v="0"/>
    <s v="Stationery"/>
    <x v="15"/>
    <n v="5"/>
    <n v="450"/>
    <x v="3"/>
    <n v="1912.5"/>
    <n v="1300"/>
    <n v="612.5"/>
  </r>
  <r>
    <s v="ORD12404"/>
    <x v="1459"/>
    <s v="CUST1276"/>
    <s v="Customer 276"/>
    <x v="1"/>
    <s v="Karnataka"/>
    <x v="0"/>
    <s v="Stationery"/>
    <x v="15"/>
    <n v="1"/>
    <n v="450"/>
    <x v="4"/>
    <n v="427.5"/>
    <n v="260"/>
    <n v="167.5"/>
  </r>
  <r>
    <s v="ORD11153"/>
    <x v="1460"/>
    <s v="CUST1216"/>
    <s v="Customer 216"/>
    <x v="1"/>
    <s v="Tamil Nadu"/>
    <x v="3"/>
    <s v="Storage"/>
    <x v="14"/>
    <n v="2"/>
    <n v="4800"/>
    <x v="2"/>
    <n v="9600"/>
    <n v="6600"/>
    <n v="3000"/>
  </r>
  <r>
    <s v="ORD10052"/>
    <x v="1461"/>
    <s v="CUST1098"/>
    <s v="Customer 098"/>
    <x v="1"/>
    <s v="Andhra Pradesh"/>
    <x v="0"/>
    <s v="Accessories"/>
    <x v="0"/>
    <n v="5"/>
    <n v="650"/>
    <x v="4"/>
    <n v="3087.5"/>
    <n v="1950"/>
    <n v="1137.5"/>
  </r>
  <r>
    <s v="ORD10609"/>
    <x v="1462"/>
    <s v="CUST1484"/>
    <s v="Customer 484"/>
    <x v="2"/>
    <s v="Gujarat"/>
    <x v="2"/>
    <s v="Monitors"/>
    <x v="11"/>
    <n v="4"/>
    <n v="10500"/>
    <x v="1"/>
    <n v="31500"/>
    <n v="30400"/>
    <n v="1100"/>
  </r>
  <r>
    <s v="ORD10620"/>
    <x v="1463"/>
    <s v="CUST1070"/>
    <s v="Customer 070"/>
    <x v="0"/>
    <s v="Bihar"/>
    <x v="0"/>
    <s v="Paper"/>
    <x v="3"/>
    <n v="5"/>
    <n v="520"/>
    <x v="3"/>
    <n v="2210"/>
    <n v="1650"/>
    <n v="560"/>
  </r>
  <r>
    <s v="ORD10878"/>
    <x v="1464"/>
    <s v="CUST1373"/>
    <s v="Customer 373"/>
    <x v="1"/>
    <s v="Andhra Pradesh"/>
    <x v="0"/>
    <s v="Stationery"/>
    <x v="10"/>
    <n v="3"/>
    <n v="280"/>
    <x v="2"/>
    <n v="840"/>
    <n v="480"/>
    <n v="360"/>
  </r>
  <r>
    <s v="ORD11808"/>
    <x v="1465"/>
    <s v="CUST1241"/>
    <s v="Customer 241"/>
    <x v="2"/>
    <s v="Gujarat"/>
    <x v="2"/>
    <s v="Accessories"/>
    <x v="8"/>
    <n v="5"/>
    <n v="1800"/>
    <x v="3"/>
    <n v="7650"/>
    <n v="5500"/>
    <n v="2150"/>
  </r>
  <r>
    <s v="ORD12421"/>
    <x v="1466"/>
    <s v="CUST1130"/>
    <s v="Customer 130"/>
    <x v="1"/>
    <s v="Kerala"/>
    <x v="2"/>
    <s v="Accessories"/>
    <x v="9"/>
    <n v="2"/>
    <n v="850"/>
    <x v="3"/>
    <n v="1445"/>
    <n v="1120"/>
    <n v="325"/>
  </r>
  <r>
    <s v="ORD10580"/>
    <x v="1467"/>
    <s v="CUST1051"/>
    <s v="Customer 051"/>
    <x v="0"/>
    <s v="Jharkhand"/>
    <x v="2"/>
    <s v="Audio"/>
    <x v="5"/>
    <n v="3"/>
    <n v="2200"/>
    <x v="4"/>
    <n v="6270"/>
    <n v="4350"/>
    <n v="1920"/>
  </r>
  <r>
    <s v="ORD12899"/>
    <x v="1468"/>
    <s v="CUST1399"/>
    <s v="Customer 399"/>
    <x v="0"/>
    <s v="Odisha"/>
    <x v="2"/>
    <s v="Audio"/>
    <x v="5"/>
    <n v="2"/>
    <n v="2200"/>
    <x v="3"/>
    <n v="3740"/>
    <n v="2900"/>
    <n v="840"/>
  </r>
  <r>
    <s v="ORD10079"/>
    <x v="1469"/>
    <s v="CUST1283"/>
    <s v="Customer 283"/>
    <x v="1"/>
    <s v="Andhra Pradesh"/>
    <x v="1"/>
    <s v="Appliances"/>
    <x v="7"/>
    <n v="1"/>
    <n v="2400"/>
    <x v="4"/>
    <n v="2280"/>
    <n v="1650"/>
    <n v="630"/>
  </r>
  <r>
    <s v="ORD13722"/>
    <x v="1470"/>
    <s v="CUST1292"/>
    <s v="Customer 292"/>
    <x v="1"/>
    <s v="Telangana"/>
    <x v="3"/>
    <s v="Tables"/>
    <x v="16"/>
    <n v="5"/>
    <n v="6200"/>
    <x v="0"/>
    <n v="27900"/>
    <n v="21500"/>
    <n v="6400"/>
  </r>
  <r>
    <s v="ORD12981"/>
    <x v="1471"/>
    <s v="CUST1359"/>
    <s v="Customer 359"/>
    <x v="0"/>
    <s v="West Bengal"/>
    <x v="2"/>
    <s v="Accessories"/>
    <x v="8"/>
    <n v="3"/>
    <n v="1800"/>
    <x v="1"/>
    <n v="4050"/>
    <n v="3300"/>
    <n v="750"/>
  </r>
  <r>
    <s v="ORD13835"/>
    <x v="1472"/>
    <s v="CUST1071"/>
    <s v="Customer 071"/>
    <x v="2"/>
    <s v="Goa"/>
    <x v="2"/>
    <s v="Accessories"/>
    <x v="13"/>
    <n v="2"/>
    <n v="1400"/>
    <x v="0"/>
    <n v="2520"/>
    <n v="1800"/>
    <n v="720"/>
  </r>
  <r>
    <s v="ORD11371"/>
    <x v="1473"/>
    <s v="CUST1441"/>
    <s v="Customer 441"/>
    <x v="0"/>
    <s v="Odisha"/>
    <x v="1"/>
    <s v="Kitchen"/>
    <x v="1"/>
    <n v="5"/>
    <n v="1900"/>
    <x v="3"/>
    <n v="8075"/>
    <n v="6250"/>
    <n v="1825"/>
  </r>
  <r>
    <s v="ORD11657"/>
    <x v="1474"/>
    <s v="CUST1424"/>
    <s v="Customer 424"/>
    <x v="1"/>
    <s v="Telangana"/>
    <x v="3"/>
    <s v="Tables"/>
    <x v="16"/>
    <n v="1"/>
    <n v="6200"/>
    <x v="3"/>
    <n v="5270"/>
    <n v="4300"/>
    <n v="970"/>
  </r>
  <r>
    <s v="ORD13028"/>
    <x v="1475"/>
    <s v="CUST1374"/>
    <s v="Customer 374"/>
    <x v="1"/>
    <s v="Telangana"/>
    <x v="1"/>
    <s v="Kitchen"/>
    <x v="4"/>
    <n v="2"/>
    <n v="6800"/>
    <x v="0"/>
    <n v="12240"/>
    <n v="9400"/>
    <n v="2840"/>
  </r>
  <r>
    <s v="ORD10727"/>
    <x v="1476"/>
    <s v="CUST1361"/>
    <s v="Customer 361"/>
    <x v="3"/>
    <s v="Punjab"/>
    <x v="1"/>
    <s v="Appliances"/>
    <x v="7"/>
    <n v="2"/>
    <n v="2400"/>
    <x v="3"/>
    <n v="4080"/>
    <n v="3300"/>
    <n v="780"/>
  </r>
  <r>
    <s v="ORD13818"/>
    <x v="1477"/>
    <s v="CUST1402"/>
    <s v="Customer 402"/>
    <x v="1"/>
    <s v="Kerala"/>
    <x v="2"/>
    <s v="Audio"/>
    <x v="5"/>
    <n v="4"/>
    <n v="2200"/>
    <x v="3"/>
    <n v="7480"/>
    <n v="5800"/>
    <n v="1680"/>
  </r>
  <r>
    <s v="ORD10168"/>
    <x v="1478"/>
    <s v="CUST1084"/>
    <s v="Customer 084"/>
    <x v="2"/>
    <s v="Maharashtra"/>
    <x v="1"/>
    <s v="Kitchen"/>
    <x v="4"/>
    <n v="5"/>
    <n v="6800"/>
    <x v="3"/>
    <n v="28900"/>
    <n v="23500"/>
    <n v="5400"/>
  </r>
  <r>
    <s v="ORD11495"/>
    <x v="1479"/>
    <s v="CUST1206"/>
    <s v="Customer 206"/>
    <x v="1"/>
    <s v="Tamil Nadu"/>
    <x v="2"/>
    <s v="Accessories"/>
    <x v="8"/>
    <n v="2"/>
    <n v="1800"/>
    <x v="1"/>
    <n v="2700"/>
    <n v="2200"/>
    <n v="500"/>
  </r>
  <r>
    <s v="ORD10116"/>
    <x v="1480"/>
    <s v="CUST1285"/>
    <s v="Customer 285"/>
    <x v="0"/>
    <s v="Bihar"/>
    <x v="1"/>
    <s v="Appliances"/>
    <x v="7"/>
    <n v="4"/>
    <n v="2400"/>
    <x v="2"/>
    <n v="9600"/>
    <n v="6600"/>
    <n v="3000"/>
  </r>
  <r>
    <s v="ORD13201"/>
    <x v="1481"/>
    <s v="CUST1461"/>
    <s v="Customer 461"/>
    <x v="1"/>
    <s v="Tamil Nadu"/>
    <x v="0"/>
    <s v="Stationery"/>
    <x v="18"/>
    <n v="5"/>
    <n v="300"/>
    <x v="2"/>
    <n v="1500"/>
    <n v="850"/>
    <n v="650"/>
  </r>
  <r>
    <s v="ORD10818"/>
    <x v="1482"/>
    <s v="CUST1054"/>
    <s v="Customer 054"/>
    <x v="2"/>
    <s v="Goa"/>
    <x v="0"/>
    <s v="Accessories"/>
    <x v="0"/>
    <n v="4"/>
    <n v="650"/>
    <x v="2"/>
    <n v="2600"/>
    <n v="1560"/>
    <n v="1040"/>
  </r>
  <r>
    <s v="ORD13104"/>
    <x v="1483"/>
    <s v="CUST1220"/>
    <s v="Customer 220"/>
    <x v="2"/>
    <s v="Goa"/>
    <x v="0"/>
    <s v="Accessories"/>
    <x v="0"/>
    <n v="1"/>
    <n v="650"/>
    <x v="4"/>
    <n v="617.5"/>
    <n v="390"/>
    <n v="227.5"/>
  </r>
  <r>
    <s v="ORD11522"/>
    <x v="1484"/>
    <s v="CUST1356"/>
    <s v="Customer 356"/>
    <x v="3"/>
    <s v="Delhi"/>
    <x v="0"/>
    <s v="Stationery"/>
    <x v="18"/>
    <n v="5"/>
    <n v="300"/>
    <x v="1"/>
    <n v="1125"/>
    <n v="850"/>
    <n v="275"/>
  </r>
  <r>
    <s v="ORD11647"/>
    <x v="1485"/>
    <s v="CUST1172"/>
    <s v="Customer 172"/>
    <x v="1"/>
    <s v="Kerala"/>
    <x v="3"/>
    <s v="Storage"/>
    <x v="14"/>
    <n v="2"/>
    <n v="4800"/>
    <x v="5"/>
    <n v="7680"/>
    <n v="6600"/>
    <n v="1080"/>
  </r>
  <r>
    <s v="ORD10034"/>
    <x v="1486"/>
    <s v="CUST1278"/>
    <s v="Customer 278"/>
    <x v="2"/>
    <s v="Maharashtra"/>
    <x v="2"/>
    <s v="Accessories"/>
    <x v="8"/>
    <n v="1"/>
    <n v="1800"/>
    <x v="5"/>
    <n v="1440"/>
    <n v="1100"/>
    <n v="340"/>
  </r>
  <r>
    <s v="ORD11646"/>
    <x v="1487"/>
    <s v="CUST1148"/>
    <s v="Customer 148"/>
    <x v="3"/>
    <s v="Punjab"/>
    <x v="3"/>
    <s v="Chairs"/>
    <x v="12"/>
    <n v="4"/>
    <n v="7500"/>
    <x v="3"/>
    <n v="25500"/>
    <n v="20800"/>
    <n v="4700"/>
  </r>
  <r>
    <s v="ORD10103"/>
    <x v="1488"/>
    <s v="CUST1403"/>
    <s v="Customer 403"/>
    <x v="3"/>
    <s v="Delhi"/>
    <x v="0"/>
    <s v="Stationery"/>
    <x v="10"/>
    <n v="2"/>
    <n v="280"/>
    <x v="4"/>
    <n v="532"/>
    <n v="320"/>
    <n v="212"/>
  </r>
  <r>
    <s v="ORD13583"/>
    <x v="1489"/>
    <s v="CUST1104"/>
    <s v="Customer 104"/>
    <x v="1"/>
    <s v="Tamil Nadu"/>
    <x v="2"/>
    <s v="Audio"/>
    <x v="17"/>
    <n v="3"/>
    <n v="2800"/>
    <x v="1"/>
    <n v="6300"/>
    <n v="5400"/>
    <n v="900"/>
  </r>
  <r>
    <s v="ORD13858"/>
    <x v="1490"/>
    <s v="CUST1010"/>
    <s v="Customer 010"/>
    <x v="2"/>
    <s v="Maharashtra"/>
    <x v="3"/>
    <s v="Storage"/>
    <x v="14"/>
    <n v="4"/>
    <n v="4800"/>
    <x v="4"/>
    <n v="18240"/>
    <n v="13200"/>
    <n v="5040"/>
  </r>
  <r>
    <s v="ORD12034"/>
    <x v="1491"/>
    <s v="CUST1340"/>
    <s v="Customer 340"/>
    <x v="2"/>
    <s v="Gujarat"/>
    <x v="2"/>
    <s v="Monitors"/>
    <x v="11"/>
    <n v="4"/>
    <n v="10500"/>
    <x v="4"/>
    <n v="39900"/>
    <n v="30400"/>
    <n v="9500"/>
  </r>
  <r>
    <s v="ORD10192"/>
    <x v="1492"/>
    <s v="CUST1316"/>
    <s v="Customer 316"/>
    <x v="2"/>
    <s v="Gujarat"/>
    <x v="1"/>
    <s v="Kitchen"/>
    <x v="2"/>
    <n v="2"/>
    <n v="4200"/>
    <x v="2"/>
    <n v="8400"/>
    <n v="5800"/>
    <n v="2600"/>
  </r>
  <r>
    <s v="ORD10048"/>
    <x v="1493"/>
    <s v="CUST1447"/>
    <s v="Customer 447"/>
    <x v="2"/>
    <s v="Rajasthan"/>
    <x v="1"/>
    <s v="Kitchen"/>
    <x v="1"/>
    <n v="4"/>
    <n v="1900"/>
    <x v="0"/>
    <n v="6840"/>
    <n v="5000"/>
    <n v="1840"/>
  </r>
  <r>
    <s v="ORD11035"/>
    <x v="1494"/>
    <s v="CUST1034"/>
    <s v="Customer 034"/>
    <x v="0"/>
    <s v="Jharkhand"/>
    <x v="3"/>
    <s v="Chairs"/>
    <x v="12"/>
    <n v="2"/>
    <n v="7500"/>
    <x v="1"/>
    <n v="11250"/>
    <n v="10400"/>
    <n v="850"/>
  </r>
  <r>
    <s v="ORD13657"/>
    <x v="1495"/>
    <s v="CUST1258"/>
    <s v="Customer 258"/>
    <x v="0"/>
    <s v="Odisha"/>
    <x v="2"/>
    <s v="Audio"/>
    <x v="5"/>
    <n v="1"/>
    <n v="2200"/>
    <x v="2"/>
    <n v="2200"/>
    <n v="1450"/>
    <n v="750"/>
  </r>
  <r>
    <s v="ORD12872"/>
    <x v="1496"/>
    <s v="CUST1488"/>
    <s v="Customer 488"/>
    <x v="1"/>
    <s v="Kerala"/>
    <x v="2"/>
    <s v="Audio"/>
    <x v="5"/>
    <n v="5"/>
    <n v="2200"/>
    <x v="4"/>
    <n v="10450"/>
    <n v="7250"/>
    <n v="3200"/>
  </r>
  <r>
    <s v="ORD12346"/>
    <x v="1497"/>
    <s v="CUST1129"/>
    <s v="Customer 129"/>
    <x v="0"/>
    <s v="Bihar"/>
    <x v="1"/>
    <s v="Appliances"/>
    <x v="7"/>
    <n v="2"/>
    <n v="2400"/>
    <x v="5"/>
    <n v="3840"/>
    <n v="3300"/>
    <n v="540"/>
  </r>
  <r>
    <s v="ORD10185"/>
    <x v="1498"/>
    <s v="CUST1248"/>
    <s v="Customer 248"/>
    <x v="2"/>
    <s v="Maharashtra"/>
    <x v="3"/>
    <s v="Storage"/>
    <x v="14"/>
    <n v="1"/>
    <n v="4800"/>
    <x v="3"/>
    <n v="4080"/>
    <n v="3300"/>
    <n v="780"/>
  </r>
  <r>
    <s v="ORD10128"/>
    <x v="1499"/>
    <s v="CUST1383"/>
    <s v="Customer 383"/>
    <x v="1"/>
    <s v="Kerala"/>
    <x v="0"/>
    <s v="Accessories"/>
    <x v="0"/>
    <n v="2"/>
    <n v="650"/>
    <x v="4"/>
    <n v="1235"/>
    <n v="780"/>
    <n v="455"/>
  </r>
  <r>
    <s v="ORD12167"/>
    <x v="1500"/>
    <s v="CUST1159"/>
    <s v="Customer 159"/>
    <x v="1"/>
    <s v="Andhra Pradesh"/>
    <x v="1"/>
    <s v="Appliances"/>
    <x v="7"/>
    <n v="4"/>
    <n v="2400"/>
    <x v="2"/>
    <n v="9600"/>
    <n v="6600"/>
    <n v="3000"/>
  </r>
  <r>
    <s v="ORD10218"/>
    <x v="1501"/>
    <s v="CUST1049"/>
    <s v="Customer 049"/>
    <x v="0"/>
    <s v="Odisha"/>
    <x v="0"/>
    <s v="Paper"/>
    <x v="3"/>
    <n v="5"/>
    <n v="520"/>
    <x v="4"/>
    <n v="2470"/>
    <n v="1650"/>
    <n v="820"/>
  </r>
  <r>
    <s v="ORD10159"/>
    <x v="1502"/>
    <s v="CUST1253"/>
    <s v="Customer 253"/>
    <x v="1"/>
    <s v="Tamil Nadu"/>
    <x v="2"/>
    <s v="Audio"/>
    <x v="17"/>
    <n v="4"/>
    <n v="2800"/>
    <x v="1"/>
    <n v="8400"/>
    <n v="7200"/>
    <n v="1200"/>
  </r>
  <r>
    <s v="ORD11846"/>
    <x v="1503"/>
    <s v="CUST1309"/>
    <s v="Customer 309"/>
    <x v="2"/>
    <s v="Gujarat"/>
    <x v="3"/>
    <s v="Chairs"/>
    <x v="12"/>
    <n v="5"/>
    <n v="7500"/>
    <x v="0"/>
    <n v="33750"/>
    <n v="26000"/>
    <n v="7750"/>
  </r>
  <r>
    <s v="ORD10121"/>
    <x v="1504"/>
    <s v="CUST1220"/>
    <s v="Customer 220"/>
    <x v="1"/>
    <s v="Telangana"/>
    <x v="3"/>
    <s v="Chairs"/>
    <x v="12"/>
    <n v="4"/>
    <n v="7500"/>
    <x v="3"/>
    <n v="25500"/>
    <n v="20800"/>
    <n v="4700"/>
  </r>
  <r>
    <s v="ORD12601"/>
    <x v="1505"/>
    <s v="CUST1432"/>
    <s v="Customer 432"/>
    <x v="2"/>
    <s v="Maharashtra"/>
    <x v="0"/>
    <s v="Stationery"/>
    <x v="18"/>
    <n v="1"/>
    <n v="300"/>
    <x v="3"/>
    <n v="255"/>
    <n v="170"/>
    <n v="85"/>
  </r>
  <r>
    <s v="ORD12053"/>
    <x v="1506"/>
    <s v="CUST1181"/>
    <s v="Customer 181"/>
    <x v="2"/>
    <s v="Gujarat"/>
    <x v="0"/>
    <s v="Stationery"/>
    <x v="10"/>
    <n v="1"/>
    <n v="280"/>
    <x v="5"/>
    <n v="224"/>
    <n v="160"/>
    <n v="64"/>
  </r>
  <r>
    <s v="ORD11787"/>
    <x v="1507"/>
    <s v="CUST1100"/>
    <s v="Customer 100"/>
    <x v="0"/>
    <s v="Jharkhand"/>
    <x v="2"/>
    <s v="Accessories"/>
    <x v="9"/>
    <n v="4"/>
    <n v="850"/>
    <x v="0"/>
    <n v="3060"/>
    <n v="2240"/>
    <n v="820"/>
  </r>
  <r>
    <s v="ORD13526"/>
    <x v="1508"/>
    <s v="CUST1106"/>
    <s v="Customer 106"/>
    <x v="0"/>
    <s v="Odisha"/>
    <x v="0"/>
    <s v="Paper"/>
    <x v="3"/>
    <n v="5"/>
    <n v="520"/>
    <x v="3"/>
    <n v="2210"/>
    <n v="1650"/>
    <n v="560"/>
  </r>
  <r>
    <s v="ORD10688"/>
    <x v="1509"/>
    <s v="CUST1297"/>
    <s v="Customer 297"/>
    <x v="3"/>
    <s v="Punjab"/>
    <x v="2"/>
    <s v="Accessories"/>
    <x v="8"/>
    <n v="1"/>
    <n v="1800"/>
    <x v="3"/>
    <n v="1530"/>
    <n v="1100"/>
    <n v="430"/>
  </r>
  <r>
    <s v="ORD13413"/>
    <x v="1510"/>
    <s v="CUST1112"/>
    <s v="Customer 112"/>
    <x v="1"/>
    <s v="Tamil Nadu"/>
    <x v="0"/>
    <s v="Paper"/>
    <x v="3"/>
    <n v="3"/>
    <n v="520"/>
    <x v="3"/>
    <n v="1326"/>
    <n v="990"/>
    <n v="336"/>
  </r>
  <r>
    <s v="ORD12804"/>
    <x v="1511"/>
    <s v="CUST1032"/>
    <s v="Customer 032"/>
    <x v="2"/>
    <s v="Gujarat"/>
    <x v="2"/>
    <s v="Audio"/>
    <x v="5"/>
    <n v="4"/>
    <n v="2200"/>
    <x v="3"/>
    <n v="7480"/>
    <n v="5800"/>
    <n v="1680"/>
  </r>
  <r>
    <s v="ORD13530"/>
    <x v="1512"/>
    <s v="CUST1061"/>
    <s v="Customer 061"/>
    <x v="3"/>
    <s v="Haryana"/>
    <x v="0"/>
    <s v="Accessories"/>
    <x v="0"/>
    <n v="1"/>
    <n v="650"/>
    <x v="0"/>
    <n v="585"/>
    <n v="390"/>
    <n v="195"/>
  </r>
  <r>
    <s v="ORD13280"/>
    <x v="1513"/>
    <s v="CUST1365"/>
    <s v="Customer 365"/>
    <x v="3"/>
    <s v="Punjab"/>
    <x v="2"/>
    <s v="Accessories"/>
    <x v="9"/>
    <n v="5"/>
    <n v="850"/>
    <x v="5"/>
    <n v="3400"/>
    <n v="2800"/>
    <n v="600"/>
  </r>
  <r>
    <s v="ORD11681"/>
    <x v="1514"/>
    <s v="CUST1472"/>
    <s v="Customer 472"/>
    <x v="3"/>
    <s v="Haryana"/>
    <x v="0"/>
    <s v="Stationery"/>
    <x v="18"/>
    <n v="3"/>
    <n v="300"/>
    <x v="4"/>
    <n v="855"/>
    <n v="510"/>
    <n v="345"/>
  </r>
  <r>
    <s v="ORD10647"/>
    <x v="1515"/>
    <s v="CUST1231"/>
    <s v="Customer 231"/>
    <x v="3"/>
    <s v="Punjab"/>
    <x v="0"/>
    <s v="Accessories"/>
    <x v="0"/>
    <n v="5"/>
    <n v="650"/>
    <x v="4"/>
    <n v="3087.5"/>
    <n v="1950"/>
    <n v="1137.5"/>
  </r>
  <r>
    <s v="ORD10692"/>
    <x v="1516"/>
    <s v="CUST1398"/>
    <s v="Customer 398"/>
    <x v="1"/>
    <s v="Telangana"/>
    <x v="2"/>
    <s v="Audio"/>
    <x v="5"/>
    <n v="1"/>
    <n v="2200"/>
    <x v="4"/>
    <n v="2090"/>
    <n v="1450"/>
    <n v="640"/>
  </r>
  <r>
    <s v="ORD13087"/>
    <x v="1517"/>
    <s v="CUST1091"/>
    <s v="Customer 091"/>
    <x v="3"/>
    <s v="Punjab"/>
    <x v="0"/>
    <s v="Stationery"/>
    <x v="15"/>
    <n v="4"/>
    <n v="450"/>
    <x v="0"/>
    <n v="1620"/>
    <n v="1040"/>
    <n v="580"/>
  </r>
  <r>
    <s v="ORD10585"/>
    <x v="1518"/>
    <s v="CUST1203"/>
    <s v="Customer 203"/>
    <x v="1"/>
    <s v="Andhra Pradesh"/>
    <x v="1"/>
    <s v="Kitchen"/>
    <x v="4"/>
    <n v="4"/>
    <n v="6800"/>
    <x v="0"/>
    <n v="24480"/>
    <n v="18800"/>
    <n v="5680"/>
  </r>
  <r>
    <s v="ORD10465"/>
    <x v="1519"/>
    <s v="CUST1004"/>
    <s v="Customer 004"/>
    <x v="1"/>
    <s v="Andhra Pradesh"/>
    <x v="0"/>
    <s v="Accessories"/>
    <x v="0"/>
    <n v="4"/>
    <n v="650"/>
    <x v="3"/>
    <n v="2210"/>
    <n v="1560"/>
    <n v="650"/>
  </r>
  <r>
    <s v="ORD12279"/>
    <x v="1520"/>
    <s v="CUST1185"/>
    <s v="Customer 185"/>
    <x v="1"/>
    <s v="Andhra Pradesh"/>
    <x v="2"/>
    <s v="Audio"/>
    <x v="17"/>
    <n v="5"/>
    <n v="2800"/>
    <x v="2"/>
    <n v="14000"/>
    <n v="9000"/>
    <n v="5000"/>
  </r>
  <r>
    <s v="ORD12078"/>
    <x v="1521"/>
    <s v="CUST1221"/>
    <s v="Customer 221"/>
    <x v="2"/>
    <s v="Rajasthan"/>
    <x v="2"/>
    <s v="Accessories"/>
    <x v="9"/>
    <n v="1"/>
    <n v="850"/>
    <x v="3"/>
    <n v="722.5"/>
    <n v="560"/>
    <n v="162.5"/>
  </r>
  <r>
    <s v="ORD11791"/>
    <x v="1522"/>
    <s v="CUST1293"/>
    <s v="Customer 293"/>
    <x v="1"/>
    <s v="Tamil Nadu"/>
    <x v="2"/>
    <s v="Accessories"/>
    <x v="8"/>
    <n v="1"/>
    <n v="1800"/>
    <x v="2"/>
    <n v="1800"/>
    <n v="1100"/>
    <n v="700"/>
  </r>
  <r>
    <s v="ORD10062"/>
    <x v="1523"/>
    <s v="CUST1373"/>
    <s v="Customer 373"/>
    <x v="1"/>
    <s v="Karnataka"/>
    <x v="2"/>
    <s v="Accessories"/>
    <x v="13"/>
    <n v="5"/>
    <n v="1400"/>
    <x v="2"/>
    <n v="7000"/>
    <n v="4500"/>
    <n v="2500"/>
  </r>
  <r>
    <s v="ORD12204"/>
    <x v="1524"/>
    <s v="CUST1169"/>
    <s v="Customer 169"/>
    <x v="2"/>
    <s v="Gujarat"/>
    <x v="3"/>
    <s v="Chairs"/>
    <x v="12"/>
    <n v="4"/>
    <n v="7500"/>
    <x v="5"/>
    <n v="24000"/>
    <n v="20800"/>
    <n v="3200"/>
  </r>
  <r>
    <s v="ORD13579"/>
    <x v="1525"/>
    <s v="CUST1441"/>
    <s v="Customer 441"/>
    <x v="3"/>
    <s v="Uttar Pradesh"/>
    <x v="0"/>
    <s v="Paper"/>
    <x v="3"/>
    <n v="1"/>
    <n v="520"/>
    <x v="3"/>
    <n v="442"/>
    <n v="330"/>
    <n v="112"/>
  </r>
  <r>
    <s v="ORD13590"/>
    <x v="1526"/>
    <s v="CUST1455"/>
    <s v="Customer 455"/>
    <x v="2"/>
    <s v="Goa"/>
    <x v="2"/>
    <s v="Accessories"/>
    <x v="13"/>
    <n v="4"/>
    <n v="1400"/>
    <x v="0"/>
    <n v="5040"/>
    <n v="3600"/>
    <n v="1440"/>
  </r>
  <r>
    <s v="ORD13987"/>
    <x v="1527"/>
    <s v="CUST1156"/>
    <s v="Customer 156"/>
    <x v="1"/>
    <s v="Karnataka"/>
    <x v="2"/>
    <s v="Accessories"/>
    <x v="8"/>
    <n v="1"/>
    <n v="1800"/>
    <x v="2"/>
    <n v="1800"/>
    <n v="1100"/>
    <n v="700"/>
  </r>
  <r>
    <s v="ORD12852"/>
    <x v="1528"/>
    <s v="CUST1196"/>
    <s v="Customer 196"/>
    <x v="3"/>
    <s v="Delhi"/>
    <x v="3"/>
    <s v="Tables"/>
    <x v="16"/>
    <n v="5"/>
    <n v="6200"/>
    <x v="5"/>
    <n v="24800"/>
    <n v="21500"/>
    <n v="3300"/>
  </r>
  <r>
    <s v="ORD10019"/>
    <x v="1529"/>
    <s v="CUST1420"/>
    <s v="Customer 420"/>
    <x v="2"/>
    <s v="Maharashtra"/>
    <x v="2"/>
    <s v="Accessories"/>
    <x v="9"/>
    <n v="5"/>
    <n v="850"/>
    <x v="3"/>
    <n v="3612.5"/>
    <n v="2800"/>
    <n v="812.5"/>
  </r>
  <r>
    <s v="ORD12415"/>
    <x v="1530"/>
    <s v="CUST1187"/>
    <s v="Customer 187"/>
    <x v="1"/>
    <s v="Tamil Nadu"/>
    <x v="2"/>
    <s v="Audio"/>
    <x v="17"/>
    <n v="3"/>
    <n v="2800"/>
    <x v="4"/>
    <n v="7980"/>
    <n v="5400"/>
    <n v="2580"/>
  </r>
  <r>
    <s v="ORD12261"/>
    <x v="1531"/>
    <s v="CUST1012"/>
    <s v="Customer 012"/>
    <x v="0"/>
    <s v="Jharkhand"/>
    <x v="1"/>
    <s v="Kitchen"/>
    <x v="4"/>
    <n v="1"/>
    <n v="6800"/>
    <x v="3"/>
    <n v="5780"/>
    <n v="4700"/>
    <n v="1080"/>
  </r>
  <r>
    <s v="ORD11370"/>
    <x v="1532"/>
    <s v="CUST1318"/>
    <s v="Customer 318"/>
    <x v="2"/>
    <s v="Maharashtra"/>
    <x v="0"/>
    <s v="Stationery"/>
    <x v="15"/>
    <n v="3"/>
    <n v="450"/>
    <x v="3"/>
    <n v="1147.5"/>
    <n v="780"/>
    <n v="367.5"/>
  </r>
  <r>
    <s v="ORD13501"/>
    <x v="1533"/>
    <s v="CUST1031"/>
    <s v="Customer 031"/>
    <x v="1"/>
    <s v="Kerala"/>
    <x v="3"/>
    <s v="Storage"/>
    <x v="6"/>
    <n v="2"/>
    <n v="5600"/>
    <x v="4"/>
    <n v="10640"/>
    <n v="7800"/>
    <n v="2840"/>
  </r>
  <r>
    <s v="ORD12295"/>
    <x v="1534"/>
    <s v="CUST1358"/>
    <s v="Customer 358"/>
    <x v="3"/>
    <s v="Punjab"/>
    <x v="2"/>
    <s v="Accessories"/>
    <x v="9"/>
    <n v="1"/>
    <n v="850"/>
    <x v="2"/>
    <n v="850"/>
    <n v="560"/>
    <n v="290"/>
  </r>
  <r>
    <s v="ORD13738"/>
    <x v="1535"/>
    <s v="CUST1265"/>
    <s v="Customer 265"/>
    <x v="2"/>
    <s v="Goa"/>
    <x v="0"/>
    <s v="Stationery"/>
    <x v="15"/>
    <n v="4"/>
    <n v="450"/>
    <x v="2"/>
    <n v="1800"/>
    <n v="1040"/>
    <n v="760"/>
  </r>
  <r>
    <s v="ORD13401"/>
    <x v="1536"/>
    <s v="CUST1408"/>
    <s v="Customer 408"/>
    <x v="3"/>
    <s v="Uttar Pradesh"/>
    <x v="0"/>
    <s v="Stationery"/>
    <x v="15"/>
    <n v="1"/>
    <n v="450"/>
    <x v="0"/>
    <n v="405"/>
    <n v="260"/>
    <n v="145"/>
  </r>
  <r>
    <s v="ORD12951"/>
    <x v="1537"/>
    <s v="CUST1016"/>
    <s v="Customer 016"/>
    <x v="1"/>
    <s v="Kerala"/>
    <x v="3"/>
    <s v="Tables"/>
    <x v="16"/>
    <n v="4"/>
    <n v="6200"/>
    <x v="1"/>
    <n v="18600"/>
    <n v="17200"/>
    <n v="1400"/>
  </r>
  <r>
    <s v="ORD13560"/>
    <x v="1538"/>
    <s v="CUST1234"/>
    <s v="Customer 234"/>
    <x v="1"/>
    <s v="Telangana"/>
    <x v="0"/>
    <s v="Stationery"/>
    <x v="10"/>
    <n v="2"/>
    <n v="280"/>
    <x v="3"/>
    <n v="476"/>
    <n v="320"/>
    <n v="156"/>
  </r>
  <r>
    <s v="ORD10975"/>
    <x v="1539"/>
    <s v="CUST1074"/>
    <s v="Customer 074"/>
    <x v="2"/>
    <s v="Maharashtra"/>
    <x v="2"/>
    <s v="Audio"/>
    <x v="17"/>
    <n v="3"/>
    <n v="2800"/>
    <x v="3"/>
    <n v="7140"/>
    <n v="5400"/>
    <n v="1740"/>
  </r>
  <r>
    <s v="ORD10125"/>
    <x v="1540"/>
    <s v="CUST1428"/>
    <s v="Customer 428"/>
    <x v="1"/>
    <s v="Karnataka"/>
    <x v="1"/>
    <s v="Kitchen"/>
    <x v="1"/>
    <n v="4"/>
    <n v="1900"/>
    <x v="0"/>
    <n v="6840"/>
    <n v="5000"/>
    <n v="1840"/>
  </r>
  <r>
    <s v="ORD10152"/>
    <x v="1541"/>
    <s v="CUST1141"/>
    <s v="Customer 141"/>
    <x v="1"/>
    <s v="Kerala"/>
    <x v="3"/>
    <s v="Storage"/>
    <x v="6"/>
    <n v="3"/>
    <n v="5600"/>
    <x v="2"/>
    <n v="16800"/>
    <n v="11700"/>
    <n v="5100"/>
  </r>
  <r>
    <s v="ORD12897"/>
    <x v="1542"/>
    <s v="CUST1331"/>
    <s v="Customer 331"/>
    <x v="1"/>
    <s v="Kerala"/>
    <x v="2"/>
    <s v="Accessories"/>
    <x v="13"/>
    <n v="2"/>
    <n v="1400"/>
    <x v="0"/>
    <n v="2520"/>
    <n v="1800"/>
    <n v="720"/>
  </r>
  <r>
    <s v="ORD11672"/>
    <x v="1543"/>
    <s v="CUST1284"/>
    <s v="Customer 284"/>
    <x v="2"/>
    <s v="Maharashtra"/>
    <x v="1"/>
    <s v="Kitchen"/>
    <x v="1"/>
    <n v="3"/>
    <n v="1900"/>
    <x v="4"/>
    <n v="5415"/>
    <n v="3750"/>
    <n v="1665"/>
  </r>
  <r>
    <s v="ORD11345"/>
    <x v="1544"/>
    <s v="CUST1094"/>
    <s v="Customer 094"/>
    <x v="2"/>
    <s v="Goa"/>
    <x v="0"/>
    <s v="Paper"/>
    <x v="3"/>
    <n v="4"/>
    <n v="520"/>
    <x v="3"/>
    <n v="1768"/>
    <n v="1320"/>
    <n v="448"/>
  </r>
  <r>
    <s v="ORD10110"/>
    <x v="1545"/>
    <s v="CUST1353"/>
    <s v="Customer 353"/>
    <x v="1"/>
    <s v="Tamil Nadu"/>
    <x v="0"/>
    <s v="Stationery"/>
    <x v="18"/>
    <n v="3"/>
    <n v="300"/>
    <x v="5"/>
    <n v="720"/>
    <n v="510"/>
    <n v="210"/>
  </r>
  <r>
    <s v="ORD12614"/>
    <x v="1546"/>
    <s v="CUST1299"/>
    <s v="Customer 299"/>
    <x v="2"/>
    <s v="Maharashtra"/>
    <x v="2"/>
    <s v="Accessories"/>
    <x v="8"/>
    <n v="2"/>
    <n v="1800"/>
    <x v="4"/>
    <n v="3420"/>
    <n v="2200"/>
    <n v="1220"/>
  </r>
  <r>
    <s v="ORD10858"/>
    <x v="1547"/>
    <s v="CUST1029"/>
    <s v="Customer 029"/>
    <x v="2"/>
    <s v="Gujarat"/>
    <x v="1"/>
    <s v="Appliances"/>
    <x v="7"/>
    <n v="1"/>
    <n v="2400"/>
    <x v="1"/>
    <n v="1800"/>
    <n v="1650"/>
    <n v="150"/>
  </r>
  <r>
    <s v="ORD13719"/>
    <x v="1548"/>
    <s v="CUST1342"/>
    <s v="Customer 342"/>
    <x v="1"/>
    <s v="Tamil Nadu"/>
    <x v="0"/>
    <s v="Paper"/>
    <x v="3"/>
    <n v="5"/>
    <n v="520"/>
    <x v="0"/>
    <n v="2340"/>
    <n v="1650"/>
    <n v="690"/>
  </r>
  <r>
    <s v="ORD12712"/>
    <x v="1549"/>
    <s v="CUST1012"/>
    <s v="Customer 012"/>
    <x v="1"/>
    <s v="Karnataka"/>
    <x v="3"/>
    <s v="Storage"/>
    <x v="14"/>
    <n v="5"/>
    <n v="4800"/>
    <x v="0"/>
    <n v="21600"/>
    <n v="16500"/>
    <n v="5100"/>
  </r>
  <r>
    <s v="ORD10246"/>
    <x v="1550"/>
    <s v="CUST1043"/>
    <s v="Customer 043"/>
    <x v="1"/>
    <s v="Telangana"/>
    <x v="2"/>
    <s v="Accessories"/>
    <x v="13"/>
    <n v="1"/>
    <n v="1400"/>
    <x v="3"/>
    <n v="1190"/>
    <n v="900"/>
    <n v="290"/>
  </r>
  <r>
    <s v="ORD12342"/>
    <x v="1551"/>
    <s v="CUST1198"/>
    <s v="Customer 198"/>
    <x v="1"/>
    <s v="Kerala"/>
    <x v="1"/>
    <s v="Appliances"/>
    <x v="7"/>
    <n v="4"/>
    <n v="2400"/>
    <x v="3"/>
    <n v="8160"/>
    <n v="6600"/>
    <n v="1560"/>
  </r>
  <r>
    <s v="ORD13037"/>
    <x v="1552"/>
    <s v="CUST1402"/>
    <s v="Customer 402"/>
    <x v="0"/>
    <s v="Jharkhand"/>
    <x v="3"/>
    <s v="Chairs"/>
    <x v="12"/>
    <n v="2"/>
    <n v="7500"/>
    <x v="3"/>
    <n v="12750"/>
    <n v="10400"/>
    <n v="2350"/>
  </r>
  <r>
    <s v="ORD10927"/>
    <x v="1553"/>
    <s v="CUST1271"/>
    <s v="Customer 271"/>
    <x v="3"/>
    <s v="Haryana"/>
    <x v="0"/>
    <s v="Stationery"/>
    <x v="18"/>
    <n v="1"/>
    <n v="300"/>
    <x v="5"/>
    <n v="240"/>
    <n v="170"/>
    <n v="70"/>
  </r>
  <r>
    <s v="ORD12175"/>
    <x v="1554"/>
    <s v="CUST1117"/>
    <s v="Customer 117"/>
    <x v="3"/>
    <s v="Delhi"/>
    <x v="2"/>
    <s v="Accessories"/>
    <x v="9"/>
    <n v="1"/>
    <n v="850"/>
    <x v="0"/>
    <n v="765"/>
    <n v="560"/>
    <n v="205"/>
  </r>
  <r>
    <s v="ORD11828"/>
    <x v="1555"/>
    <s v="CUST1493"/>
    <s v="Customer 493"/>
    <x v="1"/>
    <s v="Telangana"/>
    <x v="3"/>
    <s v="Storage"/>
    <x v="6"/>
    <n v="4"/>
    <n v="5600"/>
    <x v="4"/>
    <n v="21280"/>
    <n v="15600"/>
    <n v="5680"/>
  </r>
  <r>
    <s v="ORD10950"/>
    <x v="1556"/>
    <s v="CUST1140"/>
    <s v="Customer 140"/>
    <x v="0"/>
    <s v="West Bengal"/>
    <x v="2"/>
    <s v="Audio"/>
    <x v="17"/>
    <n v="3"/>
    <n v="2800"/>
    <x v="3"/>
    <n v="7140"/>
    <n v="5400"/>
    <n v="1740"/>
  </r>
  <r>
    <s v="ORD11804"/>
    <x v="1557"/>
    <s v="CUST1130"/>
    <s v="Customer 130"/>
    <x v="1"/>
    <s v="Kerala"/>
    <x v="0"/>
    <s v="Accessories"/>
    <x v="0"/>
    <n v="1"/>
    <n v="650"/>
    <x v="3"/>
    <n v="552.5"/>
    <n v="390"/>
    <n v="162.5"/>
  </r>
  <r>
    <s v="ORD12944"/>
    <x v="1558"/>
    <s v="CUST1094"/>
    <s v="Customer 094"/>
    <x v="0"/>
    <s v="Jharkhand"/>
    <x v="3"/>
    <s v="Storage"/>
    <x v="14"/>
    <n v="2"/>
    <n v="4800"/>
    <x v="3"/>
    <n v="8160"/>
    <n v="6600"/>
    <n v="1560"/>
  </r>
  <r>
    <s v="ORD10775"/>
    <x v="1559"/>
    <s v="CUST1424"/>
    <s v="Customer 424"/>
    <x v="3"/>
    <s v="Delhi"/>
    <x v="0"/>
    <s v="Paper"/>
    <x v="3"/>
    <n v="4"/>
    <n v="520"/>
    <x v="0"/>
    <n v="1872"/>
    <n v="1320"/>
    <n v="552"/>
  </r>
  <r>
    <s v="ORD10573"/>
    <x v="1560"/>
    <s v="CUST1142"/>
    <s v="Customer 142"/>
    <x v="3"/>
    <s v="Uttar Pradesh"/>
    <x v="0"/>
    <s v="Paper"/>
    <x v="3"/>
    <n v="5"/>
    <n v="520"/>
    <x v="0"/>
    <n v="2340"/>
    <n v="1650"/>
    <n v="690"/>
  </r>
  <r>
    <s v="ORD10909"/>
    <x v="1561"/>
    <s v="CUST1186"/>
    <s v="Customer 186"/>
    <x v="0"/>
    <s v="Odisha"/>
    <x v="3"/>
    <s v="Storage"/>
    <x v="14"/>
    <n v="5"/>
    <n v="4800"/>
    <x v="4"/>
    <n v="22800"/>
    <n v="16500"/>
    <n v="6300"/>
  </r>
  <r>
    <s v="ORD10230"/>
    <x v="1562"/>
    <s v="CUST1089"/>
    <s v="Customer 089"/>
    <x v="2"/>
    <s v="Gujarat"/>
    <x v="0"/>
    <s v="Accessories"/>
    <x v="0"/>
    <n v="1"/>
    <n v="650"/>
    <x v="3"/>
    <n v="552.5"/>
    <n v="390"/>
    <n v="162.5"/>
  </r>
  <r>
    <s v="ORD10289"/>
    <x v="1563"/>
    <s v="CUST1272"/>
    <s v="Customer 272"/>
    <x v="1"/>
    <s v="Karnataka"/>
    <x v="3"/>
    <s v="Storage"/>
    <x v="6"/>
    <n v="5"/>
    <n v="5600"/>
    <x v="2"/>
    <n v="28000"/>
    <n v="19500"/>
    <n v="8500"/>
  </r>
  <r>
    <s v="ORD11939"/>
    <x v="1564"/>
    <s v="CUST1480"/>
    <s v="Customer 480"/>
    <x v="2"/>
    <s v="Rajasthan"/>
    <x v="0"/>
    <s v="Accessories"/>
    <x v="0"/>
    <n v="1"/>
    <n v="650"/>
    <x v="0"/>
    <n v="585"/>
    <n v="390"/>
    <n v="195"/>
  </r>
  <r>
    <s v="ORD13882"/>
    <x v="1565"/>
    <s v="CUST1112"/>
    <s v="Customer 112"/>
    <x v="1"/>
    <s v="Tamil Nadu"/>
    <x v="1"/>
    <s v="Appliances"/>
    <x v="7"/>
    <n v="3"/>
    <n v="2400"/>
    <x v="4"/>
    <n v="6840"/>
    <n v="4950"/>
    <n v="1890"/>
  </r>
  <r>
    <s v="ORD10550"/>
    <x v="1566"/>
    <s v="CUST1341"/>
    <s v="Customer 341"/>
    <x v="1"/>
    <s v="Tamil Nadu"/>
    <x v="0"/>
    <s v="Accessories"/>
    <x v="0"/>
    <n v="2"/>
    <n v="650"/>
    <x v="3"/>
    <n v="1105"/>
    <n v="780"/>
    <n v="325"/>
  </r>
  <r>
    <s v="ORD10869"/>
    <x v="1567"/>
    <s v="CUST1224"/>
    <s v="Customer 224"/>
    <x v="0"/>
    <s v="Bihar"/>
    <x v="3"/>
    <s v="Storage"/>
    <x v="6"/>
    <n v="3"/>
    <n v="5600"/>
    <x v="2"/>
    <n v="16800"/>
    <n v="11700"/>
    <n v="5100"/>
  </r>
  <r>
    <s v="ORD10529"/>
    <x v="1568"/>
    <s v="CUST1458"/>
    <s v="Customer 458"/>
    <x v="3"/>
    <s v="Haryana"/>
    <x v="0"/>
    <s v="Paper"/>
    <x v="3"/>
    <n v="3"/>
    <n v="520"/>
    <x v="3"/>
    <n v="1326"/>
    <n v="990"/>
    <n v="336"/>
  </r>
  <r>
    <s v="ORD10310"/>
    <x v="1569"/>
    <s v="CUST1055"/>
    <s v="Customer 055"/>
    <x v="0"/>
    <s v="Odisha"/>
    <x v="1"/>
    <s v="Kitchen"/>
    <x v="4"/>
    <n v="3"/>
    <n v="6800"/>
    <x v="4"/>
    <n v="19380"/>
    <n v="14100"/>
    <n v="5280"/>
  </r>
  <r>
    <s v="ORD10171"/>
    <x v="1570"/>
    <s v="CUST1054"/>
    <s v="Customer 054"/>
    <x v="1"/>
    <s v="Telangana"/>
    <x v="1"/>
    <s v="Kitchen"/>
    <x v="1"/>
    <n v="5"/>
    <n v="1900"/>
    <x v="3"/>
    <n v="8075"/>
    <n v="6250"/>
    <n v="1825"/>
  </r>
  <r>
    <s v="ORD13093"/>
    <x v="1571"/>
    <s v="CUST1360"/>
    <s v="Customer 360"/>
    <x v="1"/>
    <s v="Kerala"/>
    <x v="0"/>
    <s v="Stationery"/>
    <x v="15"/>
    <n v="3"/>
    <n v="450"/>
    <x v="0"/>
    <n v="1215"/>
    <n v="780"/>
    <n v="435"/>
  </r>
  <r>
    <s v="ORD11745"/>
    <x v="1572"/>
    <s v="CUST1106"/>
    <s v="Customer 106"/>
    <x v="1"/>
    <s v="Karnataka"/>
    <x v="0"/>
    <s v="Accessories"/>
    <x v="0"/>
    <n v="2"/>
    <n v="650"/>
    <x v="4"/>
    <n v="1235"/>
    <n v="780"/>
    <n v="455"/>
  </r>
  <r>
    <s v="ORD10846"/>
    <x v="1573"/>
    <s v="CUST1003"/>
    <s v="Customer 003"/>
    <x v="2"/>
    <s v="Goa"/>
    <x v="0"/>
    <s v="Stationery"/>
    <x v="10"/>
    <n v="4"/>
    <n v="280"/>
    <x v="0"/>
    <n v="1008"/>
    <n v="640"/>
    <n v="368"/>
  </r>
  <r>
    <s v="ORD12580"/>
    <x v="1574"/>
    <s v="CUST1284"/>
    <s v="Customer 284"/>
    <x v="1"/>
    <s v="Tamil Nadu"/>
    <x v="2"/>
    <s v="Accessories"/>
    <x v="8"/>
    <n v="3"/>
    <n v="1800"/>
    <x v="0"/>
    <n v="4860"/>
    <n v="3300"/>
    <n v="1560"/>
  </r>
  <r>
    <s v="ORD10259"/>
    <x v="1575"/>
    <s v="CUST1088"/>
    <s v="Customer 088"/>
    <x v="1"/>
    <s v="Tamil Nadu"/>
    <x v="0"/>
    <s v="Accessories"/>
    <x v="0"/>
    <n v="4"/>
    <n v="650"/>
    <x v="4"/>
    <n v="2470"/>
    <n v="1560"/>
    <n v="910"/>
  </r>
  <r>
    <s v="ORD13224"/>
    <x v="1576"/>
    <s v="CUST1388"/>
    <s v="Customer 388"/>
    <x v="1"/>
    <s v="Telangana"/>
    <x v="3"/>
    <s v="Tables"/>
    <x v="16"/>
    <n v="3"/>
    <n v="6200"/>
    <x v="1"/>
    <n v="13950"/>
    <n v="12900"/>
    <n v="1050"/>
  </r>
  <r>
    <s v="ORD10973"/>
    <x v="1577"/>
    <s v="CUST1239"/>
    <s v="Customer 239"/>
    <x v="1"/>
    <s v="Andhra Pradesh"/>
    <x v="1"/>
    <s v="Appliances"/>
    <x v="7"/>
    <n v="2"/>
    <n v="2400"/>
    <x v="2"/>
    <n v="4800"/>
    <n v="3300"/>
    <n v="1500"/>
  </r>
  <r>
    <s v="ORD10776"/>
    <x v="1578"/>
    <s v="CUST1476"/>
    <s v="Customer 476"/>
    <x v="1"/>
    <s v="Tamil Nadu"/>
    <x v="2"/>
    <s v="Audio"/>
    <x v="17"/>
    <n v="2"/>
    <n v="2800"/>
    <x v="0"/>
    <n v="5040"/>
    <n v="3600"/>
    <n v="1440"/>
  </r>
  <r>
    <s v="ORD11771"/>
    <x v="1579"/>
    <s v="CUST1170"/>
    <s v="Customer 170"/>
    <x v="0"/>
    <s v="Bihar"/>
    <x v="3"/>
    <s v="Chairs"/>
    <x v="12"/>
    <n v="5"/>
    <n v="7500"/>
    <x v="4"/>
    <n v="35625"/>
    <n v="26000"/>
    <n v="9625"/>
  </r>
  <r>
    <s v="ORD13244"/>
    <x v="1580"/>
    <s v="CUST1260"/>
    <s v="Customer 260"/>
    <x v="1"/>
    <s v="Telangana"/>
    <x v="0"/>
    <s v="Stationery"/>
    <x v="10"/>
    <n v="1"/>
    <n v="280"/>
    <x v="0"/>
    <n v="252"/>
    <n v="160"/>
    <n v="92"/>
  </r>
  <r>
    <s v="ORD12627"/>
    <x v="1581"/>
    <s v="CUST1490"/>
    <s v="Customer 490"/>
    <x v="3"/>
    <s v="Haryana"/>
    <x v="2"/>
    <s v="Audio"/>
    <x v="17"/>
    <n v="5"/>
    <n v="2800"/>
    <x v="2"/>
    <n v="14000"/>
    <n v="9000"/>
    <n v="5000"/>
  </r>
  <r>
    <s v="ORD13726"/>
    <x v="1582"/>
    <s v="CUST1496"/>
    <s v="Customer 496"/>
    <x v="0"/>
    <s v="West Bengal"/>
    <x v="2"/>
    <s v="Audio"/>
    <x v="5"/>
    <n v="1"/>
    <n v="2200"/>
    <x v="2"/>
    <n v="2200"/>
    <n v="1450"/>
    <n v="750"/>
  </r>
  <r>
    <s v="ORD12082"/>
    <x v="1583"/>
    <s v="CUST1046"/>
    <s v="Customer 046"/>
    <x v="1"/>
    <s v="Telangana"/>
    <x v="2"/>
    <s v="Accessories"/>
    <x v="8"/>
    <n v="3"/>
    <n v="1800"/>
    <x v="3"/>
    <n v="4590"/>
    <n v="3300"/>
    <n v="1290"/>
  </r>
  <r>
    <s v="ORD11824"/>
    <x v="1584"/>
    <s v="CUST1439"/>
    <s v="Customer 439"/>
    <x v="1"/>
    <s v="Telangana"/>
    <x v="3"/>
    <s v="Tables"/>
    <x v="16"/>
    <n v="2"/>
    <n v="6200"/>
    <x v="5"/>
    <n v="9920"/>
    <n v="8600"/>
    <n v="1320"/>
  </r>
  <r>
    <s v="ORD13111"/>
    <x v="1585"/>
    <s v="CUST1270"/>
    <s v="Customer 270"/>
    <x v="1"/>
    <s v="Andhra Pradesh"/>
    <x v="3"/>
    <s v="Storage"/>
    <x v="6"/>
    <n v="4"/>
    <n v="5600"/>
    <x v="2"/>
    <n v="22400"/>
    <n v="15600"/>
    <n v="6800"/>
  </r>
  <r>
    <s v="ORD11238"/>
    <x v="1586"/>
    <s v="CUST1062"/>
    <s v="Customer 062"/>
    <x v="1"/>
    <s v="Karnataka"/>
    <x v="0"/>
    <s v="Paper"/>
    <x v="3"/>
    <n v="4"/>
    <n v="520"/>
    <x v="4"/>
    <n v="1976"/>
    <n v="1320"/>
    <n v="656"/>
  </r>
  <r>
    <s v="ORD11853"/>
    <x v="1587"/>
    <s v="CUST1228"/>
    <s v="Customer 228"/>
    <x v="1"/>
    <s v="Karnataka"/>
    <x v="3"/>
    <s v="Storage"/>
    <x v="6"/>
    <n v="3"/>
    <n v="5600"/>
    <x v="0"/>
    <n v="15120"/>
    <n v="11700"/>
    <n v="3420"/>
  </r>
  <r>
    <s v="ORD13364"/>
    <x v="1588"/>
    <s v="CUST1411"/>
    <s v="Customer 411"/>
    <x v="0"/>
    <s v="Bihar"/>
    <x v="2"/>
    <s v="Accessories"/>
    <x v="9"/>
    <n v="3"/>
    <n v="850"/>
    <x v="3"/>
    <n v="2167.5"/>
    <n v="1680"/>
    <n v="487.5"/>
  </r>
  <r>
    <s v="ORD10365"/>
    <x v="1589"/>
    <s v="CUST1058"/>
    <s v="Customer 058"/>
    <x v="2"/>
    <s v="Gujarat"/>
    <x v="3"/>
    <s v="Storage"/>
    <x v="14"/>
    <n v="3"/>
    <n v="4800"/>
    <x v="2"/>
    <n v="14400"/>
    <n v="9900"/>
    <n v="4500"/>
  </r>
  <r>
    <s v="ORD13287"/>
    <x v="1590"/>
    <s v="CUST1066"/>
    <s v="Customer 066"/>
    <x v="3"/>
    <s v="Haryana"/>
    <x v="1"/>
    <s v="Kitchen"/>
    <x v="2"/>
    <n v="1"/>
    <n v="4200"/>
    <x v="3"/>
    <n v="3570"/>
    <n v="2900"/>
    <n v="670"/>
  </r>
  <r>
    <s v="ORD10799"/>
    <x v="1591"/>
    <s v="CUST1158"/>
    <s v="Customer 158"/>
    <x v="3"/>
    <s v="Haryana"/>
    <x v="2"/>
    <s v="Monitors"/>
    <x v="11"/>
    <n v="2"/>
    <n v="10500"/>
    <x v="5"/>
    <n v="16800"/>
    <n v="15200"/>
    <n v="1600"/>
  </r>
  <r>
    <s v="ORD11631"/>
    <x v="1592"/>
    <s v="CUST1287"/>
    <s v="Customer 287"/>
    <x v="1"/>
    <s v="Karnataka"/>
    <x v="0"/>
    <s v="Stationery"/>
    <x v="10"/>
    <n v="4"/>
    <n v="280"/>
    <x v="3"/>
    <n v="952"/>
    <n v="640"/>
    <n v="312"/>
  </r>
  <r>
    <s v="ORD13284"/>
    <x v="1593"/>
    <s v="CUST1049"/>
    <s v="Customer 049"/>
    <x v="1"/>
    <s v="Andhra Pradesh"/>
    <x v="2"/>
    <s v="Monitors"/>
    <x v="11"/>
    <n v="5"/>
    <n v="10500"/>
    <x v="2"/>
    <n v="52500"/>
    <n v="38000"/>
    <n v="14500"/>
  </r>
  <r>
    <s v="ORD13733"/>
    <x v="1594"/>
    <s v="CUST1201"/>
    <s v="Customer 201"/>
    <x v="3"/>
    <s v="Punjab"/>
    <x v="1"/>
    <s v="Kitchen"/>
    <x v="2"/>
    <n v="4"/>
    <n v="4200"/>
    <x v="5"/>
    <n v="13440"/>
    <n v="11600"/>
    <n v="1840"/>
  </r>
  <r>
    <s v="ORD10496"/>
    <x v="1595"/>
    <s v="CUST1207"/>
    <s v="Customer 207"/>
    <x v="2"/>
    <s v="Rajasthan"/>
    <x v="3"/>
    <s v="Storage"/>
    <x v="14"/>
    <n v="1"/>
    <n v="4800"/>
    <x v="3"/>
    <n v="4080"/>
    <n v="3300"/>
    <n v="780"/>
  </r>
  <r>
    <s v="ORD12889"/>
    <x v="1596"/>
    <s v="CUST1075"/>
    <s v="Customer 075"/>
    <x v="1"/>
    <s v="Telangana"/>
    <x v="3"/>
    <s v="Chairs"/>
    <x v="12"/>
    <n v="5"/>
    <n v="7500"/>
    <x v="0"/>
    <n v="33750"/>
    <n v="26000"/>
    <n v="7750"/>
  </r>
  <r>
    <s v="ORD13919"/>
    <x v="1597"/>
    <s v="CUST1031"/>
    <s v="Customer 031"/>
    <x v="3"/>
    <s v="Punjab"/>
    <x v="1"/>
    <s v="Appliances"/>
    <x v="7"/>
    <n v="3"/>
    <n v="2400"/>
    <x v="4"/>
    <n v="6840"/>
    <n v="4950"/>
    <n v="1890"/>
  </r>
  <r>
    <s v="ORD10518"/>
    <x v="1598"/>
    <s v="CUST1034"/>
    <s v="Customer 034"/>
    <x v="1"/>
    <s v="Kerala"/>
    <x v="2"/>
    <s v="Accessories"/>
    <x v="13"/>
    <n v="5"/>
    <n v="1400"/>
    <x v="1"/>
    <n v="5250"/>
    <n v="4500"/>
    <n v="750"/>
  </r>
  <r>
    <s v="ORD12988"/>
    <x v="1599"/>
    <s v="CUST1391"/>
    <s v="Customer 391"/>
    <x v="1"/>
    <s v="Tamil Nadu"/>
    <x v="1"/>
    <s v="Kitchen"/>
    <x v="2"/>
    <n v="1"/>
    <n v="4200"/>
    <x v="4"/>
    <n v="3990"/>
    <n v="2900"/>
    <n v="1090"/>
  </r>
  <r>
    <s v="ORD10673"/>
    <x v="1600"/>
    <s v="CUST1319"/>
    <s v="Customer 319"/>
    <x v="1"/>
    <s v="Karnataka"/>
    <x v="1"/>
    <s v="Kitchen"/>
    <x v="1"/>
    <n v="5"/>
    <n v="1900"/>
    <x v="4"/>
    <n v="9025"/>
    <n v="6250"/>
    <n v="2775"/>
  </r>
  <r>
    <s v="ORD12855"/>
    <x v="1601"/>
    <s v="CUST1362"/>
    <s v="Customer 362"/>
    <x v="1"/>
    <s v="Kerala"/>
    <x v="1"/>
    <s v="Kitchen"/>
    <x v="1"/>
    <n v="1"/>
    <n v="1900"/>
    <x v="3"/>
    <n v="1615"/>
    <n v="1250"/>
    <n v="365"/>
  </r>
  <r>
    <s v="ORD10013"/>
    <x v="1602"/>
    <s v="CUST1368"/>
    <s v="Customer 368"/>
    <x v="1"/>
    <s v="Telangana"/>
    <x v="0"/>
    <s v="Stationery"/>
    <x v="10"/>
    <n v="5"/>
    <n v="280"/>
    <x v="0"/>
    <n v="1260"/>
    <n v="800"/>
    <n v="460"/>
  </r>
  <r>
    <s v="ORD10838"/>
    <x v="1603"/>
    <s v="CUST1100"/>
    <s v="Customer 100"/>
    <x v="1"/>
    <s v="Andhra Pradesh"/>
    <x v="0"/>
    <s v="Accessories"/>
    <x v="0"/>
    <n v="3"/>
    <n v="650"/>
    <x v="0"/>
    <n v="1755"/>
    <n v="1170"/>
    <n v="585"/>
  </r>
  <r>
    <s v="ORD11837"/>
    <x v="1604"/>
    <s v="CUST1471"/>
    <s v="Customer 471"/>
    <x v="3"/>
    <s v="Delhi"/>
    <x v="2"/>
    <s v="Accessories"/>
    <x v="8"/>
    <n v="3"/>
    <n v="1800"/>
    <x v="5"/>
    <n v="4320"/>
    <n v="3300"/>
    <n v="1020"/>
  </r>
  <r>
    <s v="ORD12280"/>
    <x v="1605"/>
    <s v="CUST1337"/>
    <s v="Customer 337"/>
    <x v="3"/>
    <s v="Delhi"/>
    <x v="1"/>
    <s v="Appliances"/>
    <x v="7"/>
    <n v="1"/>
    <n v="2400"/>
    <x v="5"/>
    <n v="1920"/>
    <n v="1650"/>
    <n v="270"/>
  </r>
  <r>
    <s v="ORD11590"/>
    <x v="1606"/>
    <s v="CUST1015"/>
    <s v="Customer 015"/>
    <x v="1"/>
    <s v="Telangana"/>
    <x v="2"/>
    <s v="Accessories"/>
    <x v="13"/>
    <n v="4"/>
    <n v="1400"/>
    <x v="0"/>
    <n v="5040"/>
    <n v="3600"/>
    <n v="1440"/>
  </r>
  <r>
    <s v="ORD11860"/>
    <x v="1607"/>
    <s v="CUST1368"/>
    <s v="Customer 368"/>
    <x v="1"/>
    <s v="Andhra Pradesh"/>
    <x v="3"/>
    <s v="Storage"/>
    <x v="14"/>
    <n v="1"/>
    <n v="4800"/>
    <x v="4"/>
    <n v="4560"/>
    <n v="3300"/>
    <n v="1260"/>
  </r>
  <r>
    <s v="ORD13424"/>
    <x v="1608"/>
    <s v="CUST1192"/>
    <s v="Customer 192"/>
    <x v="1"/>
    <s v="Telangana"/>
    <x v="2"/>
    <s v="Audio"/>
    <x v="17"/>
    <n v="3"/>
    <n v="2800"/>
    <x v="3"/>
    <n v="7140"/>
    <n v="5400"/>
    <n v="1740"/>
  </r>
  <r>
    <s v="ORD10584"/>
    <x v="1609"/>
    <s v="CUST1026"/>
    <s v="Customer 026"/>
    <x v="1"/>
    <s v="Andhra Pradesh"/>
    <x v="2"/>
    <s v="Monitors"/>
    <x v="11"/>
    <n v="2"/>
    <n v="10500"/>
    <x v="1"/>
    <n v="15750"/>
    <n v="15200"/>
    <n v="550"/>
  </r>
  <r>
    <s v="ORD11684"/>
    <x v="1610"/>
    <s v="CUST1399"/>
    <s v="Customer 399"/>
    <x v="2"/>
    <s v="Rajasthan"/>
    <x v="2"/>
    <s v="Audio"/>
    <x v="5"/>
    <n v="3"/>
    <n v="2200"/>
    <x v="4"/>
    <n v="6270"/>
    <n v="4350"/>
    <n v="1920"/>
  </r>
  <r>
    <s v="ORD11572"/>
    <x v="1611"/>
    <s v="CUST1181"/>
    <s v="Customer 181"/>
    <x v="1"/>
    <s v="Kerala"/>
    <x v="0"/>
    <s v="Paper"/>
    <x v="3"/>
    <n v="3"/>
    <n v="520"/>
    <x v="3"/>
    <n v="1326"/>
    <n v="990"/>
    <n v="336"/>
  </r>
  <r>
    <s v="ORD11790"/>
    <x v="1612"/>
    <s v="CUST1377"/>
    <s v="Customer 377"/>
    <x v="3"/>
    <s v="Delhi"/>
    <x v="1"/>
    <s v="Kitchen"/>
    <x v="4"/>
    <n v="1"/>
    <n v="6800"/>
    <x v="0"/>
    <n v="6120"/>
    <n v="4700"/>
    <n v="1420"/>
  </r>
  <r>
    <s v="ORD12373"/>
    <x v="1613"/>
    <s v="CUST1031"/>
    <s v="Customer 031"/>
    <x v="2"/>
    <s v="Rajasthan"/>
    <x v="2"/>
    <s v="Audio"/>
    <x v="17"/>
    <n v="5"/>
    <n v="2800"/>
    <x v="4"/>
    <n v="13300"/>
    <n v="9000"/>
    <n v="4300"/>
  </r>
  <r>
    <s v="ORD11129"/>
    <x v="1614"/>
    <s v="CUST1279"/>
    <s v="Customer 279"/>
    <x v="3"/>
    <s v="Haryana"/>
    <x v="2"/>
    <s v="Audio"/>
    <x v="17"/>
    <n v="2"/>
    <n v="2800"/>
    <x v="4"/>
    <n v="5320"/>
    <n v="3600"/>
    <n v="1720"/>
  </r>
  <r>
    <s v="ORD13331"/>
    <x v="1615"/>
    <s v="CUST1308"/>
    <s v="Customer 308"/>
    <x v="3"/>
    <s v="Haryana"/>
    <x v="0"/>
    <s v="Stationery"/>
    <x v="10"/>
    <n v="4"/>
    <n v="280"/>
    <x v="3"/>
    <n v="952"/>
    <n v="640"/>
    <n v="312"/>
  </r>
  <r>
    <s v="ORD12630"/>
    <x v="1616"/>
    <s v="CUST1020"/>
    <s v="Customer 020"/>
    <x v="1"/>
    <s v="Karnataka"/>
    <x v="0"/>
    <s v="Stationery"/>
    <x v="15"/>
    <n v="3"/>
    <n v="450"/>
    <x v="1"/>
    <n v="1012.5"/>
    <n v="780"/>
    <n v="232.5"/>
  </r>
  <r>
    <s v="ORD13462"/>
    <x v="1617"/>
    <s v="CUST1473"/>
    <s v="Customer 473"/>
    <x v="1"/>
    <s v="Telangana"/>
    <x v="3"/>
    <s v="Storage"/>
    <x v="14"/>
    <n v="3"/>
    <n v="4800"/>
    <x v="3"/>
    <n v="12240"/>
    <n v="9900"/>
    <n v="2340"/>
  </r>
  <r>
    <s v="ORD10032"/>
    <x v="1618"/>
    <s v="CUST1114"/>
    <s v="Customer 114"/>
    <x v="2"/>
    <s v="Maharashtra"/>
    <x v="3"/>
    <s v="Chairs"/>
    <x v="12"/>
    <n v="2"/>
    <n v="7500"/>
    <x v="1"/>
    <n v="11250"/>
    <n v="10400"/>
    <n v="850"/>
  </r>
  <r>
    <s v="ORD13285"/>
    <x v="1619"/>
    <s v="CUST1208"/>
    <s v="Customer 208"/>
    <x v="1"/>
    <s v="Tamil Nadu"/>
    <x v="1"/>
    <s v="Kitchen"/>
    <x v="1"/>
    <n v="2"/>
    <n v="1900"/>
    <x v="3"/>
    <n v="3230"/>
    <n v="2500"/>
    <n v="730"/>
  </r>
  <r>
    <s v="ORD13006"/>
    <x v="1620"/>
    <s v="CUST1186"/>
    <s v="Customer 186"/>
    <x v="2"/>
    <s v="Maharashtra"/>
    <x v="2"/>
    <s v="Audio"/>
    <x v="17"/>
    <n v="1"/>
    <n v="2800"/>
    <x v="4"/>
    <n v="2660"/>
    <n v="1800"/>
    <n v="860"/>
  </r>
  <r>
    <s v="ORD10589"/>
    <x v="1621"/>
    <s v="CUST1419"/>
    <s v="Customer 419"/>
    <x v="2"/>
    <s v="Goa"/>
    <x v="3"/>
    <s v="Chairs"/>
    <x v="12"/>
    <n v="3"/>
    <n v="7500"/>
    <x v="2"/>
    <n v="22500"/>
    <n v="15600"/>
    <n v="6900"/>
  </r>
  <r>
    <s v="ORD12665"/>
    <x v="1622"/>
    <s v="CUST1108"/>
    <s v="Customer 108"/>
    <x v="2"/>
    <s v="Gujarat"/>
    <x v="2"/>
    <s v="Audio"/>
    <x v="5"/>
    <n v="3"/>
    <n v="2200"/>
    <x v="5"/>
    <n v="5280"/>
    <n v="4350"/>
    <n v="930"/>
  </r>
  <r>
    <s v="ORD11417"/>
    <x v="1623"/>
    <s v="CUST1318"/>
    <s v="Customer 318"/>
    <x v="2"/>
    <s v="Goa"/>
    <x v="3"/>
    <s v="Storage"/>
    <x v="6"/>
    <n v="3"/>
    <n v="5600"/>
    <x v="0"/>
    <n v="15120"/>
    <n v="11700"/>
    <n v="3420"/>
  </r>
  <r>
    <s v="ORD10581"/>
    <x v="1624"/>
    <s v="CUST1047"/>
    <s v="Customer 047"/>
    <x v="1"/>
    <s v="Kerala"/>
    <x v="0"/>
    <s v="Paper"/>
    <x v="3"/>
    <n v="3"/>
    <n v="520"/>
    <x v="4"/>
    <n v="1482"/>
    <n v="990"/>
    <n v="492"/>
  </r>
  <r>
    <s v="ORD13636"/>
    <x v="1625"/>
    <s v="CUST1237"/>
    <s v="Customer 237"/>
    <x v="2"/>
    <s v="Goa"/>
    <x v="3"/>
    <s v="Storage"/>
    <x v="6"/>
    <n v="2"/>
    <n v="5600"/>
    <x v="4"/>
    <n v="10640"/>
    <n v="7800"/>
    <n v="2840"/>
  </r>
  <r>
    <s v="ORD11923"/>
    <x v="1626"/>
    <s v="CUST1413"/>
    <s v="Customer 413"/>
    <x v="1"/>
    <s v="Karnataka"/>
    <x v="0"/>
    <s v="Stationery"/>
    <x v="18"/>
    <n v="4"/>
    <n v="300"/>
    <x v="5"/>
    <n v="960"/>
    <n v="680"/>
    <n v="280"/>
  </r>
  <r>
    <s v="ORD11750"/>
    <x v="1627"/>
    <s v="CUST1360"/>
    <s v="Customer 360"/>
    <x v="1"/>
    <s v="Karnataka"/>
    <x v="2"/>
    <s v="Audio"/>
    <x v="5"/>
    <n v="4"/>
    <n v="2200"/>
    <x v="3"/>
    <n v="7480"/>
    <n v="5800"/>
    <n v="1680"/>
  </r>
  <r>
    <s v="ORD12240"/>
    <x v="1628"/>
    <s v="CUST1443"/>
    <s v="Customer 443"/>
    <x v="2"/>
    <s v="Goa"/>
    <x v="3"/>
    <s v="Storage"/>
    <x v="14"/>
    <n v="4"/>
    <n v="4800"/>
    <x v="0"/>
    <n v="17280"/>
    <n v="13200"/>
    <n v="4080"/>
  </r>
  <r>
    <s v="ORD11217"/>
    <x v="1629"/>
    <s v="CUST1254"/>
    <s v="Customer 254"/>
    <x v="1"/>
    <s v="Kerala"/>
    <x v="1"/>
    <s v="Kitchen"/>
    <x v="1"/>
    <n v="2"/>
    <n v="1900"/>
    <x v="5"/>
    <n v="3040"/>
    <n v="2500"/>
    <n v="540"/>
  </r>
  <r>
    <s v="ORD12260"/>
    <x v="1630"/>
    <s v="CUST1497"/>
    <s v="Customer 497"/>
    <x v="1"/>
    <s v="Karnataka"/>
    <x v="1"/>
    <s v="Kitchen"/>
    <x v="1"/>
    <n v="1"/>
    <n v="1900"/>
    <x v="5"/>
    <n v="1520"/>
    <n v="1250"/>
    <n v="270"/>
  </r>
  <r>
    <s v="ORD13013"/>
    <x v="1631"/>
    <s v="CUST1023"/>
    <s v="Customer 023"/>
    <x v="1"/>
    <s v="Karnataka"/>
    <x v="0"/>
    <s v="Stationery"/>
    <x v="15"/>
    <n v="2"/>
    <n v="450"/>
    <x v="5"/>
    <n v="720"/>
    <n v="520"/>
    <n v="200"/>
  </r>
  <r>
    <s v="ORD11818"/>
    <x v="1632"/>
    <s v="CUST1127"/>
    <s v="Customer 127"/>
    <x v="1"/>
    <s v="Andhra Pradesh"/>
    <x v="2"/>
    <s v="Accessories"/>
    <x v="13"/>
    <n v="3"/>
    <n v="1400"/>
    <x v="0"/>
    <n v="3780"/>
    <n v="2700"/>
    <n v="1080"/>
  </r>
  <r>
    <s v="ORD13933"/>
    <x v="1633"/>
    <s v="CUST1352"/>
    <s v="Customer 352"/>
    <x v="1"/>
    <s v="Telangana"/>
    <x v="2"/>
    <s v="Monitors"/>
    <x v="11"/>
    <n v="5"/>
    <n v="10500"/>
    <x v="3"/>
    <n v="44625"/>
    <n v="38000"/>
    <n v="6625"/>
  </r>
  <r>
    <s v="ORD11520"/>
    <x v="1634"/>
    <s v="CUST1231"/>
    <s v="Customer 231"/>
    <x v="3"/>
    <s v="Delhi"/>
    <x v="2"/>
    <s v="Audio"/>
    <x v="5"/>
    <n v="5"/>
    <n v="2200"/>
    <x v="0"/>
    <n v="9900"/>
    <n v="7250"/>
    <n v="2650"/>
  </r>
  <r>
    <s v="ORD10784"/>
    <x v="1635"/>
    <s v="CUST1061"/>
    <s v="Customer 061"/>
    <x v="1"/>
    <s v="Telangana"/>
    <x v="2"/>
    <s v="Audio"/>
    <x v="17"/>
    <n v="5"/>
    <n v="2800"/>
    <x v="2"/>
    <n v="14000"/>
    <n v="9000"/>
    <n v="5000"/>
  </r>
  <r>
    <s v="ORD13708"/>
    <x v="1636"/>
    <s v="CUST1379"/>
    <s v="Customer 379"/>
    <x v="3"/>
    <s v="Punjab"/>
    <x v="2"/>
    <s v="Audio"/>
    <x v="5"/>
    <n v="2"/>
    <n v="2200"/>
    <x v="5"/>
    <n v="3520"/>
    <n v="2900"/>
    <n v="620"/>
  </r>
  <r>
    <s v="ORD11579"/>
    <x v="1637"/>
    <s v="CUST1057"/>
    <s v="Customer 057"/>
    <x v="3"/>
    <s v="Delhi"/>
    <x v="2"/>
    <s v="Accessories"/>
    <x v="9"/>
    <n v="2"/>
    <n v="850"/>
    <x v="2"/>
    <n v="1700"/>
    <n v="1120"/>
    <n v="580"/>
  </r>
  <r>
    <s v="ORD11951"/>
    <x v="1638"/>
    <s v="CUST1458"/>
    <s v="Customer 458"/>
    <x v="2"/>
    <s v="Rajasthan"/>
    <x v="2"/>
    <s v="Accessories"/>
    <x v="8"/>
    <n v="4"/>
    <n v="1800"/>
    <x v="5"/>
    <n v="5760"/>
    <n v="4400"/>
    <n v="1360"/>
  </r>
  <r>
    <s v="ORD10317"/>
    <x v="1639"/>
    <s v="CUST1366"/>
    <s v="Customer 366"/>
    <x v="1"/>
    <s v="Karnataka"/>
    <x v="1"/>
    <s v="Kitchen"/>
    <x v="4"/>
    <n v="2"/>
    <n v="6800"/>
    <x v="2"/>
    <n v="13600"/>
    <n v="9400"/>
    <n v="4200"/>
  </r>
  <r>
    <s v="ORD11867"/>
    <x v="1640"/>
    <s v="CUST1056"/>
    <s v="Customer 056"/>
    <x v="2"/>
    <s v="Gujarat"/>
    <x v="2"/>
    <s v="Monitors"/>
    <x v="11"/>
    <n v="1"/>
    <n v="10500"/>
    <x v="5"/>
    <n v="8400"/>
    <n v="7600"/>
    <n v="800"/>
  </r>
  <r>
    <s v="ORD10450"/>
    <x v="1641"/>
    <s v="CUST1144"/>
    <s v="Customer 144"/>
    <x v="2"/>
    <s v="Goa"/>
    <x v="0"/>
    <s v="Stationery"/>
    <x v="15"/>
    <n v="3"/>
    <n v="450"/>
    <x v="4"/>
    <n v="1282.5"/>
    <n v="780"/>
    <n v="502.5"/>
  </r>
  <r>
    <s v="ORD13212"/>
    <x v="1642"/>
    <s v="CUST1139"/>
    <s v="Customer 139"/>
    <x v="1"/>
    <s v="Andhra Pradesh"/>
    <x v="0"/>
    <s v="Accessories"/>
    <x v="0"/>
    <n v="3"/>
    <n v="650"/>
    <x v="4"/>
    <n v="1852.5"/>
    <n v="1170"/>
    <n v="682.5"/>
  </r>
  <r>
    <s v="ORD12694"/>
    <x v="1643"/>
    <s v="CUST1213"/>
    <s v="Customer 213"/>
    <x v="3"/>
    <s v="Punjab"/>
    <x v="2"/>
    <s v="Monitors"/>
    <x v="11"/>
    <n v="4"/>
    <n v="10500"/>
    <x v="5"/>
    <n v="33600"/>
    <n v="30400"/>
    <n v="3200"/>
  </r>
  <r>
    <s v="ORD12431"/>
    <x v="1644"/>
    <s v="CUST1067"/>
    <s v="Customer 067"/>
    <x v="1"/>
    <s v="Andhra Pradesh"/>
    <x v="2"/>
    <s v="Accessories"/>
    <x v="13"/>
    <n v="3"/>
    <n v="1400"/>
    <x v="4"/>
    <n v="3990"/>
    <n v="2700"/>
    <n v="1290"/>
  </r>
  <r>
    <s v="ORD10618"/>
    <x v="1645"/>
    <s v="CUST1134"/>
    <s v="Customer 134"/>
    <x v="3"/>
    <s v="Punjab"/>
    <x v="0"/>
    <s v="Accessories"/>
    <x v="0"/>
    <n v="5"/>
    <n v="650"/>
    <x v="0"/>
    <n v="2925"/>
    <n v="1950"/>
    <n v="975"/>
  </r>
  <r>
    <s v="ORD10764"/>
    <x v="1646"/>
    <s v="CUST1469"/>
    <s v="Customer 469"/>
    <x v="1"/>
    <s v="Andhra Pradesh"/>
    <x v="0"/>
    <s v="Stationery"/>
    <x v="10"/>
    <n v="2"/>
    <n v="280"/>
    <x v="4"/>
    <n v="532"/>
    <n v="320"/>
    <n v="212"/>
  </r>
  <r>
    <s v="ORD11699"/>
    <x v="1647"/>
    <s v="CUST1180"/>
    <s v="Customer 180"/>
    <x v="1"/>
    <s v="Karnataka"/>
    <x v="2"/>
    <s v="Monitors"/>
    <x v="11"/>
    <n v="2"/>
    <n v="10500"/>
    <x v="2"/>
    <n v="21000"/>
    <n v="15200"/>
    <n v="5800"/>
  </r>
  <r>
    <s v="ORD11106"/>
    <x v="1648"/>
    <s v="CUST1091"/>
    <s v="Customer 091"/>
    <x v="3"/>
    <s v="Uttar Pradesh"/>
    <x v="0"/>
    <s v="Accessories"/>
    <x v="0"/>
    <n v="4"/>
    <n v="650"/>
    <x v="2"/>
    <n v="2600"/>
    <n v="1560"/>
    <n v="1040"/>
  </r>
  <r>
    <s v="ORD11662"/>
    <x v="1649"/>
    <s v="CUST1306"/>
    <s v="Customer 306"/>
    <x v="0"/>
    <s v="Odisha"/>
    <x v="0"/>
    <s v="Paper"/>
    <x v="3"/>
    <n v="2"/>
    <n v="520"/>
    <x v="5"/>
    <n v="832"/>
    <n v="660"/>
    <n v="172"/>
  </r>
  <r>
    <s v="ORD13899"/>
    <x v="1650"/>
    <s v="CUST1152"/>
    <s v="Customer 152"/>
    <x v="2"/>
    <s v="Gujarat"/>
    <x v="3"/>
    <s v="Storage"/>
    <x v="6"/>
    <n v="4"/>
    <n v="5600"/>
    <x v="5"/>
    <n v="17920"/>
    <n v="15600"/>
    <n v="2320"/>
  </r>
  <r>
    <s v="ORD12957"/>
    <x v="1651"/>
    <s v="CUST1050"/>
    <s v="Customer 050"/>
    <x v="3"/>
    <s v="Punjab"/>
    <x v="1"/>
    <s v="Kitchen"/>
    <x v="4"/>
    <n v="5"/>
    <n v="6800"/>
    <x v="2"/>
    <n v="34000"/>
    <n v="23500"/>
    <n v="10500"/>
  </r>
  <r>
    <s v="ORD10590"/>
    <x v="1652"/>
    <s v="CUST1422"/>
    <s v="Customer 422"/>
    <x v="1"/>
    <s v="Tamil Nadu"/>
    <x v="0"/>
    <s v="Accessories"/>
    <x v="0"/>
    <n v="3"/>
    <n v="650"/>
    <x v="2"/>
    <n v="1950"/>
    <n v="1170"/>
    <n v="780"/>
  </r>
  <r>
    <s v="ORD12696"/>
    <x v="1653"/>
    <s v="CUST1185"/>
    <s v="Customer 185"/>
    <x v="2"/>
    <s v="Gujarat"/>
    <x v="2"/>
    <s v="Monitors"/>
    <x v="11"/>
    <n v="3"/>
    <n v="10500"/>
    <x v="0"/>
    <n v="28350"/>
    <n v="22800"/>
    <n v="5550"/>
  </r>
  <r>
    <s v="ORD13046"/>
    <x v="1654"/>
    <s v="CUST1442"/>
    <s v="Customer 442"/>
    <x v="0"/>
    <s v="Odisha"/>
    <x v="0"/>
    <s v="Stationery"/>
    <x v="10"/>
    <n v="4"/>
    <n v="280"/>
    <x v="3"/>
    <n v="952"/>
    <n v="640"/>
    <n v="312"/>
  </r>
  <r>
    <s v="ORD11497"/>
    <x v="1655"/>
    <s v="CUST1276"/>
    <s v="Customer 276"/>
    <x v="3"/>
    <s v="Uttar Pradesh"/>
    <x v="2"/>
    <s v="Monitors"/>
    <x v="11"/>
    <n v="4"/>
    <n v="10500"/>
    <x v="2"/>
    <n v="42000"/>
    <n v="30400"/>
    <n v="11600"/>
  </r>
  <r>
    <s v="ORD13910"/>
    <x v="1656"/>
    <s v="CUST1453"/>
    <s v="Customer 453"/>
    <x v="1"/>
    <s v="Andhra Pradesh"/>
    <x v="0"/>
    <s v="Stationery"/>
    <x v="18"/>
    <n v="5"/>
    <n v="300"/>
    <x v="2"/>
    <n v="1500"/>
    <n v="850"/>
    <n v="650"/>
  </r>
  <r>
    <s v="ORD11669"/>
    <x v="1657"/>
    <s v="CUST1267"/>
    <s v="Customer 267"/>
    <x v="1"/>
    <s v="Karnataka"/>
    <x v="1"/>
    <s v="Appliances"/>
    <x v="7"/>
    <n v="3"/>
    <n v="2400"/>
    <x v="3"/>
    <n v="6120"/>
    <n v="4950"/>
    <n v="1170"/>
  </r>
  <r>
    <s v="ORD10442"/>
    <x v="1658"/>
    <s v="CUST1151"/>
    <s v="Customer 151"/>
    <x v="1"/>
    <s v="Kerala"/>
    <x v="2"/>
    <s v="Monitors"/>
    <x v="11"/>
    <n v="2"/>
    <n v="10500"/>
    <x v="4"/>
    <n v="19950"/>
    <n v="15200"/>
    <n v="4750"/>
  </r>
  <r>
    <s v="ORD13267"/>
    <x v="1659"/>
    <s v="CUST1370"/>
    <s v="Customer 370"/>
    <x v="1"/>
    <s v="Telangana"/>
    <x v="0"/>
    <s v="Stationery"/>
    <x v="18"/>
    <n v="3"/>
    <n v="300"/>
    <x v="3"/>
    <n v="765"/>
    <n v="510"/>
    <n v="255"/>
  </r>
  <r>
    <s v="ORD12210"/>
    <x v="1660"/>
    <s v="CUST1070"/>
    <s v="Customer 070"/>
    <x v="1"/>
    <s v="Karnataka"/>
    <x v="3"/>
    <s v="Tables"/>
    <x v="16"/>
    <n v="1"/>
    <n v="6200"/>
    <x v="3"/>
    <n v="5270"/>
    <n v="4300"/>
    <n v="970"/>
  </r>
  <r>
    <s v="ORD13764"/>
    <x v="1661"/>
    <s v="CUST1319"/>
    <s v="Customer 319"/>
    <x v="0"/>
    <s v="West Bengal"/>
    <x v="2"/>
    <s v="Accessories"/>
    <x v="13"/>
    <n v="2"/>
    <n v="1400"/>
    <x v="2"/>
    <n v="2800"/>
    <n v="1800"/>
    <n v="1000"/>
  </r>
  <r>
    <s v="ORD10158"/>
    <x v="1662"/>
    <s v="CUST1279"/>
    <s v="Customer 279"/>
    <x v="1"/>
    <s v="Tamil Nadu"/>
    <x v="2"/>
    <s v="Accessories"/>
    <x v="9"/>
    <n v="1"/>
    <n v="850"/>
    <x v="3"/>
    <n v="722.5"/>
    <n v="560"/>
    <n v="162.5"/>
  </r>
  <r>
    <s v="ORD11455"/>
    <x v="1663"/>
    <s v="CUST1287"/>
    <s v="Customer 287"/>
    <x v="0"/>
    <s v="Odisha"/>
    <x v="3"/>
    <s v="Chairs"/>
    <x v="12"/>
    <n v="5"/>
    <n v="7500"/>
    <x v="0"/>
    <n v="33750"/>
    <n v="26000"/>
    <n v="7750"/>
  </r>
  <r>
    <s v="ORD13105"/>
    <x v="1664"/>
    <s v="CUST1351"/>
    <s v="Customer 351"/>
    <x v="3"/>
    <s v="Haryana"/>
    <x v="1"/>
    <s v="Kitchen"/>
    <x v="1"/>
    <n v="5"/>
    <n v="1900"/>
    <x v="3"/>
    <n v="8075"/>
    <n v="6250"/>
    <n v="1825"/>
  </r>
  <r>
    <s v="ORD10560"/>
    <x v="1665"/>
    <s v="CUST1426"/>
    <s v="Customer 426"/>
    <x v="1"/>
    <s v="Tamil Nadu"/>
    <x v="1"/>
    <s v="Kitchen"/>
    <x v="4"/>
    <n v="1"/>
    <n v="6800"/>
    <x v="3"/>
    <n v="5780"/>
    <n v="4700"/>
    <n v="1080"/>
  </r>
  <r>
    <s v="ORD13533"/>
    <x v="1666"/>
    <s v="CUST1031"/>
    <s v="Customer 031"/>
    <x v="2"/>
    <s v="Rajasthan"/>
    <x v="2"/>
    <s v="Accessories"/>
    <x v="9"/>
    <n v="1"/>
    <n v="850"/>
    <x v="3"/>
    <n v="722.5"/>
    <n v="560"/>
    <n v="162.5"/>
  </r>
  <r>
    <s v="ORD13820"/>
    <x v="1667"/>
    <s v="CUST1447"/>
    <s v="Customer 447"/>
    <x v="1"/>
    <s v="Karnataka"/>
    <x v="3"/>
    <s v="Tables"/>
    <x v="16"/>
    <n v="5"/>
    <n v="6200"/>
    <x v="1"/>
    <n v="23250"/>
    <n v="21500"/>
    <n v="1750"/>
  </r>
  <r>
    <s v="ORD10680"/>
    <x v="1668"/>
    <s v="CUST1468"/>
    <s v="Customer 468"/>
    <x v="1"/>
    <s v="Telangana"/>
    <x v="0"/>
    <s v="Accessories"/>
    <x v="0"/>
    <n v="1"/>
    <n v="650"/>
    <x v="3"/>
    <n v="552.5"/>
    <n v="390"/>
    <n v="162.5"/>
  </r>
  <r>
    <s v="ORD10689"/>
    <x v="1669"/>
    <s v="CUST1223"/>
    <s v="Customer 223"/>
    <x v="1"/>
    <s v="Kerala"/>
    <x v="2"/>
    <s v="Audio"/>
    <x v="17"/>
    <n v="2"/>
    <n v="2800"/>
    <x v="0"/>
    <n v="5040"/>
    <n v="3600"/>
    <n v="1440"/>
  </r>
  <r>
    <s v="ORD11683"/>
    <x v="1670"/>
    <s v="CUST1018"/>
    <s v="Customer 018"/>
    <x v="2"/>
    <s v="Goa"/>
    <x v="1"/>
    <s v="Kitchen"/>
    <x v="1"/>
    <n v="1"/>
    <n v="1900"/>
    <x v="0"/>
    <n v="1710"/>
    <n v="1250"/>
    <n v="460"/>
  </r>
  <r>
    <s v="ORD13686"/>
    <x v="1671"/>
    <s v="CUST1078"/>
    <s v="Customer 078"/>
    <x v="1"/>
    <s v="Tamil Nadu"/>
    <x v="1"/>
    <s v="Kitchen"/>
    <x v="4"/>
    <n v="4"/>
    <n v="6800"/>
    <x v="1"/>
    <n v="20400"/>
    <n v="18800"/>
    <n v="1600"/>
  </r>
  <r>
    <s v="ORD12449"/>
    <x v="1672"/>
    <s v="CUST1390"/>
    <s v="Customer 390"/>
    <x v="2"/>
    <s v="Goa"/>
    <x v="2"/>
    <s v="Monitors"/>
    <x v="11"/>
    <n v="1"/>
    <n v="10500"/>
    <x v="5"/>
    <n v="8400"/>
    <n v="7600"/>
    <n v="800"/>
  </r>
  <r>
    <s v="ORD10674"/>
    <x v="1673"/>
    <s v="CUST1048"/>
    <s v="Customer 048"/>
    <x v="2"/>
    <s v="Gujarat"/>
    <x v="2"/>
    <s v="Accessories"/>
    <x v="9"/>
    <n v="1"/>
    <n v="850"/>
    <x v="3"/>
    <n v="722.5"/>
    <n v="560"/>
    <n v="162.5"/>
  </r>
  <r>
    <s v="ORD10098"/>
    <x v="1674"/>
    <s v="CUST1342"/>
    <s v="Customer 342"/>
    <x v="2"/>
    <s v="Gujarat"/>
    <x v="3"/>
    <s v="Storage"/>
    <x v="14"/>
    <n v="5"/>
    <n v="4800"/>
    <x v="0"/>
    <n v="21600"/>
    <n v="16500"/>
    <n v="5100"/>
  </r>
  <r>
    <s v="ORD12461"/>
    <x v="1675"/>
    <s v="CUST1171"/>
    <s v="Customer 171"/>
    <x v="2"/>
    <s v="Rajasthan"/>
    <x v="1"/>
    <s v="Appliances"/>
    <x v="7"/>
    <n v="2"/>
    <n v="2400"/>
    <x v="3"/>
    <n v="4080"/>
    <n v="3300"/>
    <n v="780"/>
  </r>
  <r>
    <s v="ORD13357"/>
    <x v="1676"/>
    <s v="CUST1029"/>
    <s v="Customer 029"/>
    <x v="2"/>
    <s v="Maharashtra"/>
    <x v="3"/>
    <s v="Chairs"/>
    <x v="12"/>
    <n v="4"/>
    <n v="7500"/>
    <x v="5"/>
    <n v="24000"/>
    <n v="20800"/>
    <n v="3200"/>
  </r>
  <r>
    <s v="ORD12834"/>
    <x v="1677"/>
    <s v="CUST1273"/>
    <s v="Customer 273"/>
    <x v="3"/>
    <s v="Delhi"/>
    <x v="0"/>
    <s v="Stationery"/>
    <x v="18"/>
    <n v="1"/>
    <n v="300"/>
    <x v="0"/>
    <n v="270"/>
    <n v="170"/>
    <n v="100"/>
  </r>
  <r>
    <s v="ORD11115"/>
    <x v="1678"/>
    <s v="CUST1098"/>
    <s v="Customer 098"/>
    <x v="2"/>
    <s v="Goa"/>
    <x v="3"/>
    <s v="Tables"/>
    <x v="16"/>
    <n v="1"/>
    <n v="6200"/>
    <x v="2"/>
    <n v="6200"/>
    <n v="4300"/>
    <n v="1900"/>
  </r>
  <r>
    <s v="ORD11900"/>
    <x v="1679"/>
    <s v="CUST1170"/>
    <s v="Customer 170"/>
    <x v="1"/>
    <s v="Andhra Pradesh"/>
    <x v="1"/>
    <s v="Appliances"/>
    <x v="7"/>
    <n v="1"/>
    <n v="2400"/>
    <x v="4"/>
    <n v="2280"/>
    <n v="1650"/>
    <n v="630"/>
  </r>
  <r>
    <s v="ORD13606"/>
    <x v="1680"/>
    <s v="CUST1068"/>
    <s v="Customer 068"/>
    <x v="2"/>
    <s v="Gujarat"/>
    <x v="2"/>
    <s v="Accessories"/>
    <x v="9"/>
    <n v="3"/>
    <n v="850"/>
    <x v="3"/>
    <n v="2167.5"/>
    <n v="1680"/>
    <n v="487.5"/>
  </r>
  <r>
    <s v="ORD13857"/>
    <x v="1681"/>
    <s v="CUST1180"/>
    <s v="Customer 180"/>
    <x v="2"/>
    <s v="Maharashtra"/>
    <x v="2"/>
    <s v="Accessories"/>
    <x v="13"/>
    <n v="1"/>
    <n v="1400"/>
    <x v="5"/>
    <n v="1120"/>
    <n v="900"/>
    <n v="220"/>
  </r>
  <r>
    <s v="ORD12051"/>
    <x v="1682"/>
    <s v="CUST1087"/>
    <s v="Customer 087"/>
    <x v="0"/>
    <s v="West Bengal"/>
    <x v="2"/>
    <s v="Monitors"/>
    <x v="11"/>
    <n v="4"/>
    <n v="10500"/>
    <x v="4"/>
    <n v="39900"/>
    <n v="30400"/>
    <n v="9500"/>
  </r>
  <r>
    <s v="ORD13278"/>
    <x v="1683"/>
    <s v="CUST1123"/>
    <s v="Customer 123"/>
    <x v="3"/>
    <s v="Haryana"/>
    <x v="2"/>
    <s v="Accessories"/>
    <x v="8"/>
    <n v="5"/>
    <n v="1800"/>
    <x v="4"/>
    <n v="8550"/>
    <n v="5500"/>
    <n v="3050"/>
  </r>
  <r>
    <s v="ORD11946"/>
    <x v="1684"/>
    <s v="CUST1060"/>
    <s v="Customer 060"/>
    <x v="0"/>
    <s v="West Bengal"/>
    <x v="2"/>
    <s v="Monitors"/>
    <x v="11"/>
    <n v="5"/>
    <n v="10500"/>
    <x v="3"/>
    <n v="44625"/>
    <n v="38000"/>
    <n v="6625"/>
  </r>
  <r>
    <s v="ORD13426"/>
    <x v="1685"/>
    <s v="CUST1490"/>
    <s v="Customer 490"/>
    <x v="2"/>
    <s v="Gujarat"/>
    <x v="0"/>
    <s v="Stationery"/>
    <x v="18"/>
    <n v="5"/>
    <n v="300"/>
    <x v="0"/>
    <n v="1350"/>
    <n v="850"/>
    <n v="500"/>
  </r>
  <r>
    <s v="ORD11481"/>
    <x v="1686"/>
    <s v="CUST1076"/>
    <s v="Customer 076"/>
    <x v="2"/>
    <s v="Gujarat"/>
    <x v="1"/>
    <s v="Appliances"/>
    <x v="7"/>
    <n v="4"/>
    <n v="2400"/>
    <x v="3"/>
    <n v="8160"/>
    <n v="6600"/>
    <n v="1560"/>
  </r>
  <r>
    <s v="ORD12018"/>
    <x v="1687"/>
    <s v="CUST1364"/>
    <s v="Customer 364"/>
    <x v="2"/>
    <s v="Maharashtra"/>
    <x v="0"/>
    <s v="Accessories"/>
    <x v="0"/>
    <n v="4"/>
    <n v="650"/>
    <x v="0"/>
    <n v="2340"/>
    <n v="1560"/>
    <n v="780"/>
  </r>
  <r>
    <s v="ORD11709"/>
    <x v="1688"/>
    <s v="CUST1122"/>
    <s v="Customer 122"/>
    <x v="2"/>
    <s v="Gujarat"/>
    <x v="0"/>
    <s v="Stationery"/>
    <x v="18"/>
    <n v="4"/>
    <n v="300"/>
    <x v="4"/>
    <n v="1140"/>
    <n v="680"/>
    <n v="460"/>
  </r>
  <r>
    <s v="ORD12543"/>
    <x v="1689"/>
    <s v="CUST1479"/>
    <s v="Customer 479"/>
    <x v="0"/>
    <s v="Bihar"/>
    <x v="2"/>
    <s v="Audio"/>
    <x v="17"/>
    <n v="1"/>
    <n v="2800"/>
    <x v="5"/>
    <n v="2240"/>
    <n v="1800"/>
    <n v="440"/>
  </r>
  <r>
    <s v="ORD13843"/>
    <x v="1690"/>
    <s v="CUST1280"/>
    <s v="Customer 280"/>
    <x v="1"/>
    <s v="Telangana"/>
    <x v="0"/>
    <s v="Stationery"/>
    <x v="10"/>
    <n v="1"/>
    <n v="280"/>
    <x v="0"/>
    <n v="252"/>
    <n v="160"/>
    <n v="92"/>
  </r>
  <r>
    <s v="ORD11279"/>
    <x v="1691"/>
    <s v="CUST1005"/>
    <s v="Customer 005"/>
    <x v="1"/>
    <s v="Tamil Nadu"/>
    <x v="2"/>
    <s v="Accessories"/>
    <x v="9"/>
    <n v="2"/>
    <n v="850"/>
    <x v="0"/>
    <n v="1530"/>
    <n v="1120"/>
    <n v="410"/>
  </r>
  <r>
    <s v="ORD11099"/>
    <x v="1692"/>
    <s v="CUST1021"/>
    <s v="Customer 021"/>
    <x v="1"/>
    <s v="Andhra Pradesh"/>
    <x v="3"/>
    <s v="Storage"/>
    <x v="14"/>
    <n v="2"/>
    <n v="4800"/>
    <x v="2"/>
    <n v="9600"/>
    <n v="6600"/>
    <n v="3000"/>
  </r>
  <r>
    <s v="ORD10947"/>
    <x v="1693"/>
    <s v="CUST1487"/>
    <s v="Customer 487"/>
    <x v="1"/>
    <s v="Telangana"/>
    <x v="2"/>
    <s v="Monitors"/>
    <x v="11"/>
    <n v="1"/>
    <n v="10500"/>
    <x v="3"/>
    <n v="8925"/>
    <n v="7600"/>
    <n v="1325"/>
  </r>
  <r>
    <s v="ORD10686"/>
    <x v="1694"/>
    <s v="CUST1401"/>
    <s v="Customer 401"/>
    <x v="3"/>
    <s v="Uttar Pradesh"/>
    <x v="2"/>
    <s v="Accessories"/>
    <x v="9"/>
    <n v="2"/>
    <n v="850"/>
    <x v="4"/>
    <n v="1615"/>
    <n v="1120"/>
    <n v="495"/>
  </r>
  <r>
    <s v="ORD11287"/>
    <x v="1695"/>
    <s v="CUST1454"/>
    <s v="Customer 454"/>
    <x v="2"/>
    <s v="Goa"/>
    <x v="1"/>
    <s v="Kitchen"/>
    <x v="4"/>
    <n v="1"/>
    <n v="6800"/>
    <x v="3"/>
    <n v="5780"/>
    <n v="4700"/>
    <n v="1080"/>
  </r>
  <r>
    <s v="ORD10991"/>
    <x v="1696"/>
    <s v="CUST1172"/>
    <s v="Customer 172"/>
    <x v="3"/>
    <s v="Delhi"/>
    <x v="1"/>
    <s v="Kitchen"/>
    <x v="1"/>
    <n v="2"/>
    <n v="1900"/>
    <x v="0"/>
    <n v="3420"/>
    <n v="2500"/>
    <n v="920"/>
  </r>
  <r>
    <s v="ORD12093"/>
    <x v="1697"/>
    <s v="CUST1403"/>
    <s v="Customer 403"/>
    <x v="3"/>
    <s v="Delhi"/>
    <x v="2"/>
    <s v="Audio"/>
    <x v="5"/>
    <n v="5"/>
    <n v="2200"/>
    <x v="0"/>
    <n v="9900"/>
    <n v="7250"/>
    <n v="2650"/>
  </r>
  <r>
    <s v="ORD12661"/>
    <x v="1698"/>
    <s v="CUST1218"/>
    <s v="Customer 218"/>
    <x v="3"/>
    <s v="Haryana"/>
    <x v="2"/>
    <s v="Monitors"/>
    <x v="11"/>
    <n v="2"/>
    <n v="10500"/>
    <x v="4"/>
    <n v="19950"/>
    <n v="15200"/>
    <n v="4750"/>
  </r>
  <r>
    <s v="ORD10752"/>
    <x v="1699"/>
    <s v="CUST1074"/>
    <s v="Customer 074"/>
    <x v="3"/>
    <s v="Delhi"/>
    <x v="3"/>
    <s v="Chairs"/>
    <x v="12"/>
    <n v="5"/>
    <n v="7500"/>
    <x v="5"/>
    <n v="30000"/>
    <n v="26000"/>
    <n v="4000"/>
  </r>
  <r>
    <s v="ORD12101"/>
    <x v="1700"/>
    <s v="CUST1457"/>
    <s v="Customer 457"/>
    <x v="1"/>
    <s v="Andhra Pradesh"/>
    <x v="1"/>
    <s v="Kitchen"/>
    <x v="1"/>
    <n v="1"/>
    <n v="1900"/>
    <x v="2"/>
    <n v="1900"/>
    <n v="1250"/>
    <n v="650"/>
  </r>
  <r>
    <s v="ORD10671"/>
    <x v="1701"/>
    <s v="CUST1477"/>
    <s v="Customer 477"/>
    <x v="2"/>
    <s v="Rajasthan"/>
    <x v="2"/>
    <s v="Accessories"/>
    <x v="13"/>
    <n v="5"/>
    <n v="1400"/>
    <x v="1"/>
    <n v="5250"/>
    <n v="4500"/>
    <n v="750"/>
  </r>
  <r>
    <s v="ORD10905"/>
    <x v="1702"/>
    <s v="CUST1230"/>
    <s v="Customer 230"/>
    <x v="1"/>
    <s v="Andhra Pradesh"/>
    <x v="1"/>
    <s v="Kitchen"/>
    <x v="4"/>
    <n v="3"/>
    <n v="6800"/>
    <x v="0"/>
    <n v="18360"/>
    <n v="14100"/>
    <n v="4260"/>
  </r>
  <r>
    <s v="ORD12434"/>
    <x v="1703"/>
    <s v="CUST1158"/>
    <s v="Customer 158"/>
    <x v="1"/>
    <s v="Telangana"/>
    <x v="3"/>
    <s v="Storage"/>
    <x v="6"/>
    <n v="2"/>
    <n v="5600"/>
    <x v="5"/>
    <n v="8960"/>
    <n v="7800"/>
    <n v="1160"/>
  </r>
  <r>
    <s v="ORD10729"/>
    <x v="1704"/>
    <s v="CUST1245"/>
    <s v="Customer 245"/>
    <x v="1"/>
    <s v="Andhra Pradesh"/>
    <x v="2"/>
    <s v="Audio"/>
    <x v="17"/>
    <n v="5"/>
    <n v="2800"/>
    <x v="0"/>
    <n v="12600"/>
    <n v="9000"/>
    <n v="3600"/>
  </r>
  <r>
    <s v="ORD12030"/>
    <x v="1705"/>
    <s v="CUST1172"/>
    <s v="Customer 172"/>
    <x v="0"/>
    <s v="West Bengal"/>
    <x v="0"/>
    <s v="Paper"/>
    <x v="3"/>
    <n v="5"/>
    <n v="520"/>
    <x v="4"/>
    <n v="2470"/>
    <n v="1650"/>
    <n v="820"/>
  </r>
  <r>
    <s v="ORD13654"/>
    <x v="1706"/>
    <s v="CUST1258"/>
    <s v="Customer 258"/>
    <x v="1"/>
    <s v="Telangana"/>
    <x v="0"/>
    <s v="Paper"/>
    <x v="3"/>
    <n v="2"/>
    <n v="520"/>
    <x v="5"/>
    <n v="832"/>
    <n v="660"/>
    <n v="172"/>
  </r>
  <r>
    <s v="ORD13859"/>
    <x v="1707"/>
    <s v="CUST1163"/>
    <s v="Customer 163"/>
    <x v="2"/>
    <s v="Maharashtra"/>
    <x v="0"/>
    <s v="Paper"/>
    <x v="3"/>
    <n v="4"/>
    <n v="520"/>
    <x v="0"/>
    <n v="1872"/>
    <n v="1320"/>
    <n v="552"/>
  </r>
  <r>
    <s v="ORD10130"/>
    <x v="1708"/>
    <s v="CUST1318"/>
    <s v="Customer 318"/>
    <x v="1"/>
    <s v="Karnataka"/>
    <x v="3"/>
    <s v="Tables"/>
    <x v="16"/>
    <n v="2"/>
    <n v="6200"/>
    <x v="0"/>
    <n v="11160"/>
    <n v="8600"/>
    <n v="2560"/>
  </r>
  <r>
    <s v="ORD13443"/>
    <x v="1709"/>
    <s v="CUST1228"/>
    <s v="Customer 228"/>
    <x v="3"/>
    <s v="Haryana"/>
    <x v="2"/>
    <s v="Accessories"/>
    <x v="9"/>
    <n v="1"/>
    <n v="850"/>
    <x v="2"/>
    <n v="850"/>
    <n v="560"/>
    <n v="290"/>
  </r>
  <r>
    <s v="ORD10376"/>
    <x v="1710"/>
    <s v="CUST1048"/>
    <s v="Customer 048"/>
    <x v="1"/>
    <s v="Karnataka"/>
    <x v="0"/>
    <s v="Stationery"/>
    <x v="15"/>
    <n v="4"/>
    <n v="450"/>
    <x v="0"/>
    <n v="1620"/>
    <n v="1040"/>
    <n v="580"/>
  </r>
  <r>
    <s v="ORD11183"/>
    <x v="1711"/>
    <s v="CUST1346"/>
    <s v="Customer 346"/>
    <x v="2"/>
    <s v="Goa"/>
    <x v="3"/>
    <s v="Storage"/>
    <x v="6"/>
    <n v="4"/>
    <n v="5600"/>
    <x v="4"/>
    <n v="21280"/>
    <n v="15600"/>
    <n v="5680"/>
  </r>
  <r>
    <s v="ORD11306"/>
    <x v="1712"/>
    <s v="CUST1336"/>
    <s v="Customer 336"/>
    <x v="1"/>
    <s v="Telangana"/>
    <x v="3"/>
    <s v="Chairs"/>
    <x v="12"/>
    <n v="5"/>
    <n v="7500"/>
    <x v="4"/>
    <n v="35625"/>
    <n v="26000"/>
    <n v="9625"/>
  </r>
  <r>
    <s v="ORD11229"/>
    <x v="1713"/>
    <s v="CUST1078"/>
    <s v="Customer 078"/>
    <x v="2"/>
    <s v="Maharashtra"/>
    <x v="0"/>
    <s v="Stationery"/>
    <x v="18"/>
    <n v="5"/>
    <n v="300"/>
    <x v="3"/>
    <n v="1275"/>
    <n v="850"/>
    <n v="425"/>
  </r>
  <r>
    <s v="ORD10224"/>
    <x v="1714"/>
    <s v="CUST1102"/>
    <s v="Customer 102"/>
    <x v="1"/>
    <s v="Karnataka"/>
    <x v="1"/>
    <s v="Kitchen"/>
    <x v="2"/>
    <n v="3"/>
    <n v="4200"/>
    <x v="5"/>
    <n v="10080"/>
    <n v="8700"/>
    <n v="1380"/>
  </r>
  <r>
    <s v="ORD13151"/>
    <x v="1715"/>
    <s v="CUST1357"/>
    <s v="Customer 357"/>
    <x v="2"/>
    <s v="Rajasthan"/>
    <x v="2"/>
    <s v="Accessories"/>
    <x v="8"/>
    <n v="1"/>
    <n v="1800"/>
    <x v="0"/>
    <n v="1620"/>
    <n v="1100"/>
    <n v="520"/>
  </r>
  <r>
    <s v="ORD12533"/>
    <x v="1716"/>
    <s v="CUST1463"/>
    <s v="Customer 463"/>
    <x v="2"/>
    <s v="Rajasthan"/>
    <x v="3"/>
    <s v="Storage"/>
    <x v="6"/>
    <n v="1"/>
    <n v="5600"/>
    <x v="0"/>
    <n v="5040"/>
    <n v="3900"/>
    <n v="1140"/>
  </r>
  <r>
    <s v="ORD13386"/>
    <x v="1717"/>
    <s v="CUST1124"/>
    <s v="Customer 124"/>
    <x v="3"/>
    <s v="Punjab"/>
    <x v="2"/>
    <s v="Accessories"/>
    <x v="9"/>
    <n v="5"/>
    <n v="850"/>
    <x v="4"/>
    <n v="4037.5"/>
    <n v="2800"/>
    <n v="1237.5"/>
  </r>
  <r>
    <s v="ORD11658"/>
    <x v="1718"/>
    <s v="CUST1437"/>
    <s v="Customer 437"/>
    <x v="1"/>
    <s v="Telangana"/>
    <x v="2"/>
    <s v="Monitors"/>
    <x v="11"/>
    <n v="4"/>
    <n v="10500"/>
    <x v="4"/>
    <n v="39900"/>
    <n v="30400"/>
    <n v="9500"/>
  </r>
  <r>
    <s v="ORD13054"/>
    <x v="1719"/>
    <s v="CUST1179"/>
    <s v="Customer 179"/>
    <x v="1"/>
    <s v="Telangana"/>
    <x v="3"/>
    <s v="Storage"/>
    <x v="14"/>
    <n v="5"/>
    <n v="4800"/>
    <x v="3"/>
    <n v="20400"/>
    <n v="16500"/>
    <n v="3900"/>
  </r>
  <r>
    <s v="ORD11734"/>
    <x v="1720"/>
    <s v="CUST1433"/>
    <s v="Customer 433"/>
    <x v="2"/>
    <s v="Goa"/>
    <x v="2"/>
    <s v="Accessories"/>
    <x v="13"/>
    <n v="2"/>
    <n v="1400"/>
    <x v="1"/>
    <n v="2100"/>
    <n v="1800"/>
    <n v="300"/>
  </r>
  <r>
    <s v="ORD11117"/>
    <x v="1721"/>
    <s v="CUST1498"/>
    <s v="Customer 498"/>
    <x v="1"/>
    <s v="Kerala"/>
    <x v="2"/>
    <s v="Monitors"/>
    <x v="11"/>
    <n v="4"/>
    <n v="10500"/>
    <x v="3"/>
    <n v="35700"/>
    <n v="30400"/>
    <n v="5300"/>
  </r>
  <r>
    <s v="ORD13127"/>
    <x v="1722"/>
    <s v="CUST1417"/>
    <s v="Customer 417"/>
    <x v="2"/>
    <s v="Maharashtra"/>
    <x v="3"/>
    <s v="Tables"/>
    <x v="16"/>
    <n v="3"/>
    <n v="6200"/>
    <x v="3"/>
    <n v="15810"/>
    <n v="12900"/>
    <n v="2910"/>
  </r>
  <r>
    <s v="ORD11696"/>
    <x v="1723"/>
    <s v="CUST1342"/>
    <s v="Customer 342"/>
    <x v="2"/>
    <s v="Gujarat"/>
    <x v="3"/>
    <s v="Storage"/>
    <x v="6"/>
    <n v="1"/>
    <n v="5600"/>
    <x v="4"/>
    <n v="5320"/>
    <n v="3900"/>
    <n v="1420"/>
  </r>
  <r>
    <s v="ORD11892"/>
    <x v="1724"/>
    <s v="CUST1123"/>
    <s v="Customer 123"/>
    <x v="2"/>
    <s v="Rajasthan"/>
    <x v="3"/>
    <s v="Tables"/>
    <x v="16"/>
    <n v="5"/>
    <n v="6200"/>
    <x v="3"/>
    <n v="26350"/>
    <n v="21500"/>
    <n v="4850"/>
  </r>
  <r>
    <s v="ORD11167"/>
    <x v="1725"/>
    <s v="CUST1011"/>
    <s v="Customer 011"/>
    <x v="1"/>
    <s v="Karnataka"/>
    <x v="0"/>
    <s v="Paper"/>
    <x v="3"/>
    <n v="1"/>
    <n v="520"/>
    <x v="5"/>
    <n v="416"/>
    <n v="330"/>
    <n v="86"/>
  </r>
  <r>
    <s v="ORD10852"/>
    <x v="1726"/>
    <s v="CUST1401"/>
    <s v="Customer 401"/>
    <x v="2"/>
    <s v="Maharashtra"/>
    <x v="2"/>
    <s v="Accessories"/>
    <x v="9"/>
    <n v="1"/>
    <n v="850"/>
    <x v="0"/>
    <n v="765"/>
    <n v="560"/>
    <n v="205"/>
  </r>
  <r>
    <s v="ORD13633"/>
    <x v="1727"/>
    <s v="CUST1019"/>
    <s v="Customer 019"/>
    <x v="2"/>
    <s v="Maharashtra"/>
    <x v="2"/>
    <s v="Monitors"/>
    <x v="11"/>
    <n v="1"/>
    <n v="10500"/>
    <x v="3"/>
    <n v="8925"/>
    <n v="7600"/>
    <n v="1325"/>
  </r>
  <r>
    <s v="ORD13819"/>
    <x v="1728"/>
    <s v="CUST1314"/>
    <s v="Customer 314"/>
    <x v="1"/>
    <s v="Tamil Nadu"/>
    <x v="2"/>
    <s v="Monitors"/>
    <x v="11"/>
    <n v="3"/>
    <n v="10500"/>
    <x v="4"/>
    <n v="29925"/>
    <n v="22800"/>
    <n v="7125"/>
  </r>
  <r>
    <s v="ORD10303"/>
    <x v="1729"/>
    <s v="CUST1005"/>
    <s v="Customer 005"/>
    <x v="2"/>
    <s v="Gujarat"/>
    <x v="2"/>
    <s v="Audio"/>
    <x v="5"/>
    <n v="3"/>
    <n v="2200"/>
    <x v="4"/>
    <n v="6270"/>
    <n v="4350"/>
    <n v="1920"/>
  </r>
  <r>
    <s v="ORD12238"/>
    <x v="1730"/>
    <s v="CUST1136"/>
    <s v="Customer 136"/>
    <x v="3"/>
    <s v="Delhi"/>
    <x v="2"/>
    <s v="Audio"/>
    <x v="17"/>
    <n v="5"/>
    <n v="2800"/>
    <x v="1"/>
    <n v="10500"/>
    <n v="9000"/>
    <n v="1500"/>
  </r>
  <r>
    <s v="ORD12037"/>
    <x v="1731"/>
    <s v="CUST1292"/>
    <s v="Customer 292"/>
    <x v="1"/>
    <s v="Kerala"/>
    <x v="1"/>
    <s v="Kitchen"/>
    <x v="4"/>
    <n v="5"/>
    <n v="6800"/>
    <x v="0"/>
    <n v="30600"/>
    <n v="23500"/>
    <n v="7100"/>
  </r>
  <r>
    <s v="ORD12020"/>
    <x v="1732"/>
    <s v="CUST1231"/>
    <s v="Customer 231"/>
    <x v="3"/>
    <s v="Haryana"/>
    <x v="0"/>
    <s v="Paper"/>
    <x v="3"/>
    <n v="2"/>
    <n v="520"/>
    <x v="3"/>
    <n v="884"/>
    <n v="660"/>
    <n v="224"/>
  </r>
  <r>
    <s v="ORD11861"/>
    <x v="1733"/>
    <s v="CUST1370"/>
    <s v="Customer 370"/>
    <x v="2"/>
    <s v="Goa"/>
    <x v="2"/>
    <s v="Audio"/>
    <x v="17"/>
    <n v="4"/>
    <n v="2800"/>
    <x v="2"/>
    <n v="11200"/>
    <n v="7200"/>
    <n v="4000"/>
  </r>
  <r>
    <s v="ORD13617"/>
    <x v="1734"/>
    <s v="CUST1026"/>
    <s v="Customer 026"/>
    <x v="2"/>
    <s v="Gujarat"/>
    <x v="2"/>
    <s v="Accessories"/>
    <x v="9"/>
    <n v="1"/>
    <n v="850"/>
    <x v="2"/>
    <n v="850"/>
    <n v="560"/>
    <n v="290"/>
  </r>
  <r>
    <s v="ORD11959"/>
    <x v="1735"/>
    <s v="CUST1331"/>
    <s v="Customer 331"/>
    <x v="1"/>
    <s v="Tamil Nadu"/>
    <x v="3"/>
    <s v="Chairs"/>
    <x v="12"/>
    <n v="4"/>
    <n v="7500"/>
    <x v="2"/>
    <n v="30000"/>
    <n v="20800"/>
    <n v="9200"/>
  </r>
  <r>
    <s v="ORD10631"/>
    <x v="1736"/>
    <s v="CUST1369"/>
    <s v="Customer 369"/>
    <x v="1"/>
    <s v="Tamil Nadu"/>
    <x v="3"/>
    <s v="Storage"/>
    <x v="6"/>
    <n v="3"/>
    <n v="5600"/>
    <x v="4"/>
    <n v="15960"/>
    <n v="11700"/>
    <n v="4260"/>
  </r>
  <r>
    <s v="ORD10304"/>
    <x v="1737"/>
    <s v="CUST1449"/>
    <s v="Customer 449"/>
    <x v="2"/>
    <s v="Goa"/>
    <x v="3"/>
    <s v="Storage"/>
    <x v="6"/>
    <n v="1"/>
    <n v="5600"/>
    <x v="0"/>
    <n v="5040"/>
    <n v="3900"/>
    <n v="1140"/>
  </r>
  <r>
    <s v="ORD10472"/>
    <x v="1738"/>
    <s v="CUST1403"/>
    <s v="Customer 403"/>
    <x v="3"/>
    <s v="Delhi"/>
    <x v="0"/>
    <s v="Stationery"/>
    <x v="18"/>
    <n v="1"/>
    <n v="300"/>
    <x v="3"/>
    <n v="255"/>
    <n v="170"/>
    <n v="85"/>
  </r>
  <r>
    <s v="ORD10786"/>
    <x v="1739"/>
    <s v="CUST1295"/>
    <s v="Customer 295"/>
    <x v="3"/>
    <s v="Punjab"/>
    <x v="2"/>
    <s v="Monitors"/>
    <x v="11"/>
    <n v="3"/>
    <n v="10500"/>
    <x v="4"/>
    <n v="29925"/>
    <n v="22800"/>
    <n v="7125"/>
  </r>
  <r>
    <s v="ORD14000"/>
    <x v="1740"/>
    <s v="CUST1261"/>
    <s v="Customer 261"/>
    <x v="3"/>
    <s v="Uttar Pradesh"/>
    <x v="0"/>
    <s v="Stationery"/>
    <x v="10"/>
    <n v="2"/>
    <n v="280"/>
    <x v="0"/>
    <n v="504"/>
    <n v="320"/>
    <n v="184"/>
  </r>
  <r>
    <s v="ORD10024"/>
    <x v="1741"/>
    <s v="CUST1464"/>
    <s v="Customer 464"/>
    <x v="1"/>
    <s v="Telangana"/>
    <x v="3"/>
    <s v="Chairs"/>
    <x v="12"/>
    <n v="3"/>
    <n v="7500"/>
    <x v="3"/>
    <n v="19125"/>
    <n v="15600"/>
    <n v="3525"/>
  </r>
  <r>
    <s v="ORD12288"/>
    <x v="1742"/>
    <s v="CUST1411"/>
    <s v="Customer 411"/>
    <x v="1"/>
    <s v="Tamil Nadu"/>
    <x v="1"/>
    <s v="Appliances"/>
    <x v="7"/>
    <n v="1"/>
    <n v="2400"/>
    <x v="3"/>
    <n v="2040"/>
    <n v="1650"/>
    <n v="390"/>
  </r>
  <r>
    <s v="ORD13254"/>
    <x v="1743"/>
    <s v="CUST1186"/>
    <s v="Customer 186"/>
    <x v="3"/>
    <s v="Uttar Pradesh"/>
    <x v="2"/>
    <s v="Monitors"/>
    <x v="11"/>
    <n v="3"/>
    <n v="10500"/>
    <x v="0"/>
    <n v="28350"/>
    <n v="22800"/>
    <n v="5550"/>
  </r>
  <r>
    <s v="ORD10661"/>
    <x v="1744"/>
    <s v="CUST1089"/>
    <s v="Customer 089"/>
    <x v="3"/>
    <s v="Punjab"/>
    <x v="2"/>
    <s v="Audio"/>
    <x v="17"/>
    <n v="1"/>
    <n v="2800"/>
    <x v="0"/>
    <n v="2520"/>
    <n v="1800"/>
    <n v="720"/>
  </r>
  <r>
    <s v="ORD10500"/>
    <x v="1745"/>
    <s v="CUST1213"/>
    <s v="Customer 213"/>
    <x v="2"/>
    <s v="Gujarat"/>
    <x v="2"/>
    <s v="Audio"/>
    <x v="5"/>
    <n v="5"/>
    <n v="2200"/>
    <x v="0"/>
    <n v="9900"/>
    <n v="7250"/>
    <n v="2650"/>
  </r>
  <r>
    <s v="ORD13059"/>
    <x v="1746"/>
    <s v="CUST1195"/>
    <s v="Customer 195"/>
    <x v="2"/>
    <s v="Rajasthan"/>
    <x v="1"/>
    <s v="Appliances"/>
    <x v="7"/>
    <n v="2"/>
    <n v="2400"/>
    <x v="3"/>
    <n v="4080"/>
    <n v="3300"/>
    <n v="780"/>
  </r>
  <r>
    <s v="ORD12397"/>
    <x v="1747"/>
    <s v="CUST1474"/>
    <s v="Customer 474"/>
    <x v="1"/>
    <s v="Karnataka"/>
    <x v="2"/>
    <s v="Audio"/>
    <x v="5"/>
    <n v="5"/>
    <n v="2200"/>
    <x v="2"/>
    <n v="11000"/>
    <n v="7250"/>
    <n v="3750"/>
  </r>
  <r>
    <s v="ORD10954"/>
    <x v="1748"/>
    <s v="CUST1214"/>
    <s v="Customer 214"/>
    <x v="0"/>
    <s v="Jharkhand"/>
    <x v="1"/>
    <s v="Kitchen"/>
    <x v="4"/>
    <n v="5"/>
    <n v="6800"/>
    <x v="2"/>
    <n v="34000"/>
    <n v="23500"/>
    <n v="10500"/>
  </r>
  <r>
    <s v="ORD13631"/>
    <x v="1749"/>
    <s v="CUST1232"/>
    <s v="Customer 232"/>
    <x v="2"/>
    <s v="Goa"/>
    <x v="0"/>
    <s v="Accessories"/>
    <x v="0"/>
    <n v="5"/>
    <n v="650"/>
    <x v="2"/>
    <n v="3250"/>
    <n v="1950"/>
    <n v="1300"/>
  </r>
  <r>
    <s v="ORD12843"/>
    <x v="1750"/>
    <s v="CUST1383"/>
    <s v="Customer 383"/>
    <x v="1"/>
    <s v="Kerala"/>
    <x v="2"/>
    <s v="Monitors"/>
    <x v="11"/>
    <n v="2"/>
    <n v="10500"/>
    <x v="4"/>
    <n v="19950"/>
    <n v="15200"/>
    <n v="4750"/>
  </r>
  <r>
    <s v="ORD11545"/>
    <x v="1751"/>
    <s v="CUST1116"/>
    <s v="Customer 116"/>
    <x v="1"/>
    <s v="Andhra Pradesh"/>
    <x v="0"/>
    <s v="Paper"/>
    <x v="3"/>
    <n v="2"/>
    <n v="520"/>
    <x v="4"/>
    <n v="988"/>
    <n v="660"/>
    <n v="328"/>
  </r>
  <r>
    <s v="ORD11180"/>
    <x v="1752"/>
    <s v="CUST1013"/>
    <s v="Customer 013"/>
    <x v="2"/>
    <s v="Goa"/>
    <x v="2"/>
    <s v="Monitors"/>
    <x v="11"/>
    <n v="3"/>
    <n v="10500"/>
    <x v="4"/>
    <n v="29925"/>
    <n v="22800"/>
    <n v="7125"/>
  </r>
  <r>
    <s v="ORD11589"/>
    <x v="1753"/>
    <s v="CUST1431"/>
    <s v="Customer 431"/>
    <x v="3"/>
    <s v="Delhi"/>
    <x v="0"/>
    <s v="Stationery"/>
    <x v="18"/>
    <n v="5"/>
    <n v="300"/>
    <x v="4"/>
    <n v="1425"/>
    <n v="850"/>
    <n v="575"/>
  </r>
  <r>
    <s v="ORD11895"/>
    <x v="1754"/>
    <s v="CUST1068"/>
    <s v="Customer 068"/>
    <x v="0"/>
    <s v="Jharkhand"/>
    <x v="3"/>
    <s v="Storage"/>
    <x v="6"/>
    <n v="2"/>
    <n v="5600"/>
    <x v="3"/>
    <n v="9520"/>
    <n v="7800"/>
    <n v="1720"/>
  </r>
  <r>
    <s v="ORD12181"/>
    <x v="1755"/>
    <s v="CUST1350"/>
    <s v="Customer 350"/>
    <x v="3"/>
    <s v="Punjab"/>
    <x v="1"/>
    <s v="Kitchen"/>
    <x v="4"/>
    <n v="1"/>
    <n v="6800"/>
    <x v="2"/>
    <n v="6800"/>
    <n v="4700"/>
    <n v="2100"/>
  </r>
  <r>
    <s v="ORD11632"/>
    <x v="1756"/>
    <s v="CUST1449"/>
    <s v="Customer 449"/>
    <x v="0"/>
    <s v="West Bengal"/>
    <x v="1"/>
    <s v="Kitchen"/>
    <x v="2"/>
    <n v="4"/>
    <n v="4200"/>
    <x v="1"/>
    <n v="12600"/>
    <n v="11600"/>
    <n v="1000"/>
  </r>
  <r>
    <s v="ORD10562"/>
    <x v="1757"/>
    <s v="CUST1022"/>
    <s v="Customer 022"/>
    <x v="3"/>
    <s v="Uttar Pradesh"/>
    <x v="2"/>
    <s v="Accessories"/>
    <x v="9"/>
    <n v="5"/>
    <n v="850"/>
    <x v="3"/>
    <n v="3612.5"/>
    <n v="2800"/>
    <n v="812.5"/>
  </r>
  <r>
    <s v="ORD12432"/>
    <x v="1758"/>
    <s v="CUST1261"/>
    <s v="Customer 261"/>
    <x v="0"/>
    <s v="West Bengal"/>
    <x v="0"/>
    <s v="Stationery"/>
    <x v="15"/>
    <n v="3"/>
    <n v="450"/>
    <x v="5"/>
    <n v="1080"/>
    <n v="780"/>
    <n v="300"/>
  </r>
  <r>
    <s v="ORD11415"/>
    <x v="1759"/>
    <s v="CUST1293"/>
    <s v="Customer 293"/>
    <x v="1"/>
    <s v="Kerala"/>
    <x v="1"/>
    <s v="Kitchen"/>
    <x v="2"/>
    <n v="5"/>
    <n v="4200"/>
    <x v="4"/>
    <n v="19950"/>
    <n v="14500"/>
    <n v="5450"/>
  </r>
  <r>
    <s v="ORD11963"/>
    <x v="1760"/>
    <s v="CUST1072"/>
    <s v="Customer 072"/>
    <x v="3"/>
    <s v="Delhi"/>
    <x v="2"/>
    <s v="Accessories"/>
    <x v="9"/>
    <n v="2"/>
    <n v="850"/>
    <x v="1"/>
    <n v="1275"/>
    <n v="1120"/>
    <n v="155"/>
  </r>
  <r>
    <s v="ORD10227"/>
    <x v="1761"/>
    <s v="CUST1405"/>
    <s v="Customer 405"/>
    <x v="3"/>
    <s v="Delhi"/>
    <x v="0"/>
    <s v="Paper"/>
    <x v="3"/>
    <n v="3"/>
    <n v="520"/>
    <x v="2"/>
    <n v="1560"/>
    <n v="990"/>
    <n v="570"/>
  </r>
  <r>
    <s v="ORD12140"/>
    <x v="1762"/>
    <s v="CUST1201"/>
    <s v="Customer 201"/>
    <x v="3"/>
    <s v="Haryana"/>
    <x v="2"/>
    <s v="Audio"/>
    <x v="17"/>
    <n v="1"/>
    <n v="2800"/>
    <x v="0"/>
    <n v="2520"/>
    <n v="1800"/>
    <n v="720"/>
  </r>
  <r>
    <s v="ORD11015"/>
    <x v="1763"/>
    <s v="CUST1260"/>
    <s v="Customer 260"/>
    <x v="1"/>
    <s v="Karnataka"/>
    <x v="1"/>
    <s v="Appliances"/>
    <x v="7"/>
    <n v="5"/>
    <n v="2400"/>
    <x v="4"/>
    <n v="11400"/>
    <n v="8250"/>
    <n v="3150"/>
  </r>
  <r>
    <s v="ORD12638"/>
    <x v="1764"/>
    <s v="CUST1372"/>
    <s v="Customer 372"/>
    <x v="3"/>
    <s v="Punjab"/>
    <x v="1"/>
    <s v="Appliances"/>
    <x v="7"/>
    <n v="2"/>
    <n v="2400"/>
    <x v="2"/>
    <n v="4800"/>
    <n v="3300"/>
    <n v="1500"/>
  </r>
  <r>
    <s v="ORD11381"/>
    <x v="1765"/>
    <s v="CUST1491"/>
    <s v="Customer 491"/>
    <x v="1"/>
    <s v="Kerala"/>
    <x v="3"/>
    <s v="Chairs"/>
    <x v="12"/>
    <n v="4"/>
    <n v="7500"/>
    <x v="2"/>
    <n v="30000"/>
    <n v="20800"/>
    <n v="9200"/>
  </r>
  <r>
    <s v="ORD11783"/>
    <x v="1766"/>
    <s v="CUST1012"/>
    <s v="Customer 012"/>
    <x v="0"/>
    <s v="Odisha"/>
    <x v="0"/>
    <s v="Stationery"/>
    <x v="10"/>
    <n v="5"/>
    <n v="280"/>
    <x v="4"/>
    <n v="1330"/>
    <n v="800"/>
    <n v="530"/>
  </r>
  <r>
    <s v="ORD13645"/>
    <x v="1767"/>
    <s v="CUST1480"/>
    <s v="Customer 480"/>
    <x v="2"/>
    <s v="Rajasthan"/>
    <x v="0"/>
    <s v="Accessories"/>
    <x v="0"/>
    <n v="3"/>
    <n v="650"/>
    <x v="2"/>
    <n v="1950"/>
    <n v="1170"/>
    <n v="780"/>
  </r>
  <r>
    <s v="ORD13948"/>
    <x v="1768"/>
    <s v="CUST1185"/>
    <s v="Customer 185"/>
    <x v="2"/>
    <s v="Maharashtra"/>
    <x v="3"/>
    <s v="Tables"/>
    <x v="16"/>
    <n v="5"/>
    <n v="6200"/>
    <x v="0"/>
    <n v="27900"/>
    <n v="21500"/>
    <n v="6400"/>
  </r>
  <r>
    <s v="ORD10720"/>
    <x v="1769"/>
    <s v="CUST1300"/>
    <s v="Customer 300"/>
    <x v="2"/>
    <s v="Gujarat"/>
    <x v="2"/>
    <s v="Accessories"/>
    <x v="8"/>
    <n v="5"/>
    <n v="1800"/>
    <x v="4"/>
    <n v="8550"/>
    <n v="5500"/>
    <n v="3050"/>
  </r>
  <r>
    <s v="ORD11546"/>
    <x v="1770"/>
    <s v="CUST1296"/>
    <s v="Customer 296"/>
    <x v="2"/>
    <s v="Gujarat"/>
    <x v="2"/>
    <s v="Monitors"/>
    <x v="11"/>
    <n v="5"/>
    <n v="10500"/>
    <x v="5"/>
    <n v="42000"/>
    <n v="38000"/>
    <n v="4000"/>
  </r>
  <r>
    <s v="ORD10516"/>
    <x v="1771"/>
    <s v="CUST1053"/>
    <s v="Customer 053"/>
    <x v="3"/>
    <s v="Delhi"/>
    <x v="0"/>
    <s v="Stationery"/>
    <x v="15"/>
    <n v="1"/>
    <n v="450"/>
    <x v="3"/>
    <n v="382.5"/>
    <n v="260"/>
    <n v="122.5"/>
  </r>
  <r>
    <s v="ORD11906"/>
    <x v="1772"/>
    <s v="CUST1123"/>
    <s v="Customer 123"/>
    <x v="2"/>
    <s v="Maharashtra"/>
    <x v="0"/>
    <s v="Paper"/>
    <x v="3"/>
    <n v="5"/>
    <n v="520"/>
    <x v="1"/>
    <n v="1950"/>
    <n v="1650"/>
    <n v="300"/>
  </r>
  <r>
    <s v="ORD13165"/>
    <x v="1773"/>
    <s v="CUST1065"/>
    <s v="Customer 065"/>
    <x v="2"/>
    <s v="Goa"/>
    <x v="1"/>
    <s v="Appliances"/>
    <x v="7"/>
    <n v="5"/>
    <n v="2400"/>
    <x v="2"/>
    <n v="12000"/>
    <n v="8250"/>
    <n v="3750"/>
  </r>
  <r>
    <s v="ORD10273"/>
    <x v="1774"/>
    <s v="CUST1076"/>
    <s v="Customer 076"/>
    <x v="3"/>
    <s v="Punjab"/>
    <x v="1"/>
    <s v="Kitchen"/>
    <x v="4"/>
    <n v="1"/>
    <n v="6800"/>
    <x v="2"/>
    <n v="6800"/>
    <n v="4700"/>
    <n v="2100"/>
  </r>
  <r>
    <s v="ORD12887"/>
    <x v="1775"/>
    <s v="CUST1467"/>
    <s v="Customer 467"/>
    <x v="1"/>
    <s v="Telangana"/>
    <x v="3"/>
    <s v="Chairs"/>
    <x v="12"/>
    <n v="5"/>
    <n v="7500"/>
    <x v="0"/>
    <n v="33750"/>
    <n v="26000"/>
    <n v="7750"/>
  </r>
  <r>
    <s v="ORD10387"/>
    <x v="1776"/>
    <s v="CUST1034"/>
    <s v="Customer 034"/>
    <x v="0"/>
    <s v="Bihar"/>
    <x v="1"/>
    <s v="Kitchen"/>
    <x v="4"/>
    <n v="1"/>
    <n v="6800"/>
    <x v="1"/>
    <n v="5100"/>
    <n v="4700"/>
    <n v="400"/>
  </r>
  <r>
    <s v="ORD11858"/>
    <x v="1777"/>
    <s v="CUST1293"/>
    <s v="Customer 293"/>
    <x v="2"/>
    <s v="Gujarat"/>
    <x v="0"/>
    <s v="Stationery"/>
    <x v="15"/>
    <n v="1"/>
    <n v="450"/>
    <x v="3"/>
    <n v="382.5"/>
    <n v="260"/>
    <n v="122.5"/>
  </r>
  <r>
    <s v="ORD11780"/>
    <x v="1778"/>
    <s v="CUST1343"/>
    <s v="Customer 343"/>
    <x v="0"/>
    <s v="Bihar"/>
    <x v="0"/>
    <s v="Stationery"/>
    <x v="10"/>
    <n v="4"/>
    <n v="280"/>
    <x v="4"/>
    <n v="1064"/>
    <n v="640"/>
    <n v="424"/>
  </r>
  <r>
    <s v="ORD13549"/>
    <x v="1779"/>
    <s v="CUST1154"/>
    <s v="Customer 154"/>
    <x v="3"/>
    <s v="Punjab"/>
    <x v="2"/>
    <s v="Monitors"/>
    <x v="11"/>
    <n v="5"/>
    <n v="10500"/>
    <x v="0"/>
    <n v="47250"/>
    <n v="38000"/>
    <n v="9250"/>
  </r>
  <r>
    <s v="ORD12362"/>
    <x v="1780"/>
    <s v="CUST1376"/>
    <s v="Customer 376"/>
    <x v="2"/>
    <s v="Gujarat"/>
    <x v="3"/>
    <s v="Tables"/>
    <x v="16"/>
    <n v="4"/>
    <n v="6200"/>
    <x v="4"/>
    <n v="23560"/>
    <n v="17200"/>
    <n v="6360"/>
  </r>
  <r>
    <s v="ORD11285"/>
    <x v="1781"/>
    <s v="CUST1191"/>
    <s v="Customer 191"/>
    <x v="1"/>
    <s v="Kerala"/>
    <x v="3"/>
    <s v="Storage"/>
    <x v="14"/>
    <n v="2"/>
    <n v="4800"/>
    <x v="4"/>
    <n v="9120"/>
    <n v="6600"/>
    <n v="2520"/>
  </r>
  <r>
    <s v="ORD10577"/>
    <x v="1782"/>
    <s v="CUST1463"/>
    <s v="Customer 463"/>
    <x v="3"/>
    <s v="Punjab"/>
    <x v="2"/>
    <s v="Accessories"/>
    <x v="9"/>
    <n v="2"/>
    <n v="850"/>
    <x v="3"/>
    <n v="1445"/>
    <n v="1120"/>
    <n v="325"/>
  </r>
  <r>
    <s v="ORD10407"/>
    <x v="1783"/>
    <s v="CUST1217"/>
    <s v="Customer 217"/>
    <x v="2"/>
    <s v="Gujarat"/>
    <x v="2"/>
    <s v="Audio"/>
    <x v="5"/>
    <n v="3"/>
    <n v="2200"/>
    <x v="0"/>
    <n v="5940"/>
    <n v="4350"/>
    <n v="1590"/>
  </r>
  <r>
    <s v="ORD13550"/>
    <x v="1784"/>
    <s v="CUST1320"/>
    <s v="Customer 320"/>
    <x v="2"/>
    <s v="Goa"/>
    <x v="0"/>
    <s v="Stationery"/>
    <x v="18"/>
    <n v="5"/>
    <n v="300"/>
    <x v="0"/>
    <n v="1350"/>
    <n v="850"/>
    <n v="500"/>
  </r>
  <r>
    <s v="ORD10650"/>
    <x v="1785"/>
    <s v="CUST1425"/>
    <s v="Customer 425"/>
    <x v="3"/>
    <s v="Haryana"/>
    <x v="0"/>
    <s v="Paper"/>
    <x v="3"/>
    <n v="1"/>
    <n v="520"/>
    <x v="4"/>
    <n v="494"/>
    <n v="330"/>
    <n v="164"/>
  </r>
  <r>
    <s v="ORD10359"/>
    <x v="1786"/>
    <s v="CUST1046"/>
    <s v="Customer 046"/>
    <x v="0"/>
    <s v="Jharkhand"/>
    <x v="1"/>
    <s v="Kitchen"/>
    <x v="4"/>
    <n v="1"/>
    <n v="6800"/>
    <x v="2"/>
    <n v="6800"/>
    <n v="4700"/>
    <n v="2100"/>
  </r>
  <r>
    <s v="ORD13980"/>
    <x v="1787"/>
    <s v="CUST1076"/>
    <s v="Customer 076"/>
    <x v="2"/>
    <s v="Rajasthan"/>
    <x v="1"/>
    <s v="Kitchen"/>
    <x v="1"/>
    <n v="5"/>
    <n v="1900"/>
    <x v="4"/>
    <n v="9025"/>
    <n v="6250"/>
    <n v="2775"/>
  </r>
  <r>
    <s v="ORD12698"/>
    <x v="1788"/>
    <s v="CUST1209"/>
    <s v="Customer 209"/>
    <x v="2"/>
    <s v="Gujarat"/>
    <x v="0"/>
    <s v="Accessories"/>
    <x v="0"/>
    <n v="1"/>
    <n v="650"/>
    <x v="0"/>
    <n v="585"/>
    <n v="390"/>
    <n v="195"/>
  </r>
  <r>
    <s v="ORD11348"/>
    <x v="1789"/>
    <s v="CUST1351"/>
    <s v="Customer 351"/>
    <x v="2"/>
    <s v="Gujarat"/>
    <x v="1"/>
    <s v="Kitchen"/>
    <x v="4"/>
    <n v="2"/>
    <n v="6800"/>
    <x v="2"/>
    <n v="13600"/>
    <n v="9400"/>
    <n v="4200"/>
  </r>
  <r>
    <s v="ORD10150"/>
    <x v="1790"/>
    <s v="CUST1030"/>
    <s v="Customer 030"/>
    <x v="1"/>
    <s v="Andhra Pradesh"/>
    <x v="2"/>
    <s v="Audio"/>
    <x v="17"/>
    <n v="4"/>
    <n v="2800"/>
    <x v="5"/>
    <n v="8960"/>
    <n v="7200"/>
    <n v="1760"/>
  </r>
  <r>
    <s v="ORD13651"/>
    <x v="1791"/>
    <s v="CUST1061"/>
    <s v="Customer 061"/>
    <x v="0"/>
    <s v="Bihar"/>
    <x v="3"/>
    <s v="Storage"/>
    <x v="6"/>
    <n v="2"/>
    <n v="5600"/>
    <x v="3"/>
    <n v="9520"/>
    <n v="7800"/>
    <n v="1720"/>
  </r>
  <r>
    <s v="ORD11342"/>
    <x v="1792"/>
    <s v="CUST1069"/>
    <s v="Customer 069"/>
    <x v="3"/>
    <s v="Punjab"/>
    <x v="2"/>
    <s v="Accessories"/>
    <x v="13"/>
    <n v="5"/>
    <n v="1400"/>
    <x v="0"/>
    <n v="6300"/>
    <n v="4500"/>
    <n v="1800"/>
  </r>
  <r>
    <s v="ORD13160"/>
    <x v="1793"/>
    <s v="CUST1437"/>
    <s v="Customer 437"/>
    <x v="1"/>
    <s v="Karnataka"/>
    <x v="2"/>
    <s v="Accessories"/>
    <x v="13"/>
    <n v="3"/>
    <n v="1400"/>
    <x v="4"/>
    <n v="3990"/>
    <n v="2700"/>
    <n v="1290"/>
  </r>
  <r>
    <s v="ORD10358"/>
    <x v="1794"/>
    <s v="CUST1446"/>
    <s v="Customer 446"/>
    <x v="2"/>
    <s v="Gujarat"/>
    <x v="2"/>
    <s v="Accessories"/>
    <x v="13"/>
    <n v="2"/>
    <n v="1400"/>
    <x v="4"/>
    <n v="2660"/>
    <n v="1800"/>
    <n v="860"/>
  </r>
  <r>
    <s v="ORD12214"/>
    <x v="1795"/>
    <s v="CUST1058"/>
    <s v="Customer 058"/>
    <x v="1"/>
    <s v="Telangana"/>
    <x v="0"/>
    <s v="Stationery"/>
    <x v="18"/>
    <n v="5"/>
    <n v="300"/>
    <x v="5"/>
    <n v="1200"/>
    <n v="850"/>
    <n v="350"/>
  </r>
  <r>
    <s v="ORD12579"/>
    <x v="1796"/>
    <s v="CUST1485"/>
    <s v="Customer 485"/>
    <x v="2"/>
    <s v="Rajasthan"/>
    <x v="2"/>
    <s v="Accessories"/>
    <x v="8"/>
    <n v="1"/>
    <n v="1800"/>
    <x v="2"/>
    <n v="1800"/>
    <n v="1100"/>
    <n v="700"/>
  </r>
  <r>
    <s v="ORD10135"/>
    <x v="1797"/>
    <s v="CUST1398"/>
    <s v="Customer 398"/>
    <x v="2"/>
    <s v="Rajasthan"/>
    <x v="2"/>
    <s v="Monitors"/>
    <x v="11"/>
    <n v="2"/>
    <n v="10500"/>
    <x v="1"/>
    <n v="15750"/>
    <n v="15200"/>
    <n v="550"/>
  </r>
  <r>
    <s v="ORD11398"/>
    <x v="1798"/>
    <s v="CUST1327"/>
    <s v="Customer 327"/>
    <x v="1"/>
    <s v="Telangana"/>
    <x v="1"/>
    <s v="Appliances"/>
    <x v="7"/>
    <n v="4"/>
    <n v="2400"/>
    <x v="2"/>
    <n v="9600"/>
    <n v="6600"/>
    <n v="3000"/>
  </r>
  <r>
    <s v="ORD11595"/>
    <x v="1799"/>
    <s v="CUST1352"/>
    <s v="Customer 352"/>
    <x v="1"/>
    <s v="Andhra Pradesh"/>
    <x v="3"/>
    <s v="Chairs"/>
    <x v="12"/>
    <n v="2"/>
    <n v="7500"/>
    <x v="0"/>
    <n v="13500"/>
    <n v="10400"/>
    <n v="3100"/>
  </r>
  <r>
    <s v="ORD13527"/>
    <x v="1800"/>
    <s v="CUST1067"/>
    <s v="Customer 067"/>
    <x v="1"/>
    <s v="Telangana"/>
    <x v="2"/>
    <s v="Audio"/>
    <x v="5"/>
    <n v="4"/>
    <n v="2200"/>
    <x v="0"/>
    <n v="7920"/>
    <n v="5800"/>
    <n v="2120"/>
  </r>
  <r>
    <s v="ORD10141"/>
    <x v="1801"/>
    <s v="CUST1492"/>
    <s v="Customer 492"/>
    <x v="0"/>
    <s v="Odisha"/>
    <x v="2"/>
    <s v="Accessories"/>
    <x v="8"/>
    <n v="3"/>
    <n v="1800"/>
    <x v="3"/>
    <n v="4590"/>
    <n v="3300"/>
    <n v="1290"/>
  </r>
  <r>
    <s v="ORD12893"/>
    <x v="1802"/>
    <s v="CUST1183"/>
    <s v="Customer 183"/>
    <x v="2"/>
    <s v="Rajasthan"/>
    <x v="1"/>
    <s v="Kitchen"/>
    <x v="1"/>
    <n v="2"/>
    <n v="1900"/>
    <x v="2"/>
    <n v="3800"/>
    <n v="2500"/>
    <n v="1300"/>
  </r>
  <r>
    <s v="ORD12645"/>
    <x v="1803"/>
    <s v="CUST1227"/>
    <s v="Customer 227"/>
    <x v="1"/>
    <s v="Kerala"/>
    <x v="0"/>
    <s v="Stationery"/>
    <x v="15"/>
    <n v="5"/>
    <n v="450"/>
    <x v="3"/>
    <n v="1912.5"/>
    <n v="1300"/>
    <n v="612.5"/>
  </r>
  <r>
    <s v="ORD12372"/>
    <x v="1804"/>
    <s v="CUST1412"/>
    <s v="Customer 412"/>
    <x v="1"/>
    <s v="Kerala"/>
    <x v="2"/>
    <s v="Accessories"/>
    <x v="13"/>
    <n v="3"/>
    <n v="1400"/>
    <x v="2"/>
    <n v="4200"/>
    <n v="2700"/>
    <n v="1500"/>
  </r>
  <r>
    <s v="ORD11169"/>
    <x v="1805"/>
    <s v="CUST1500"/>
    <s v="Customer 500"/>
    <x v="1"/>
    <s v="Karnataka"/>
    <x v="2"/>
    <s v="Audio"/>
    <x v="5"/>
    <n v="3"/>
    <n v="2200"/>
    <x v="5"/>
    <n v="5280"/>
    <n v="4350"/>
    <n v="930"/>
  </r>
  <r>
    <s v="ORD12218"/>
    <x v="1806"/>
    <s v="CUST1500"/>
    <s v="Customer 500"/>
    <x v="1"/>
    <s v="Karnataka"/>
    <x v="2"/>
    <s v="Monitors"/>
    <x v="11"/>
    <n v="3"/>
    <n v="10500"/>
    <x v="3"/>
    <n v="26775"/>
    <n v="22800"/>
    <n v="3975"/>
  </r>
  <r>
    <s v="ORD11496"/>
    <x v="1807"/>
    <s v="CUST1216"/>
    <s v="Customer 216"/>
    <x v="3"/>
    <s v="Haryana"/>
    <x v="2"/>
    <s v="Audio"/>
    <x v="5"/>
    <n v="5"/>
    <n v="2200"/>
    <x v="0"/>
    <n v="9900"/>
    <n v="7250"/>
    <n v="2650"/>
  </r>
  <r>
    <s v="ORD12056"/>
    <x v="1808"/>
    <s v="CUST1184"/>
    <s v="Customer 184"/>
    <x v="3"/>
    <s v="Punjab"/>
    <x v="2"/>
    <s v="Audio"/>
    <x v="5"/>
    <n v="2"/>
    <n v="2200"/>
    <x v="2"/>
    <n v="4400"/>
    <n v="2900"/>
    <n v="1500"/>
  </r>
  <r>
    <s v="ORD11171"/>
    <x v="1809"/>
    <s v="CUST1315"/>
    <s v="Customer 315"/>
    <x v="0"/>
    <s v="Bihar"/>
    <x v="2"/>
    <s v="Accessories"/>
    <x v="9"/>
    <n v="4"/>
    <n v="850"/>
    <x v="3"/>
    <n v="2890"/>
    <n v="2240"/>
    <n v="650"/>
  </r>
  <r>
    <s v="ORD11840"/>
    <x v="1810"/>
    <s v="CUST1277"/>
    <s v="Customer 277"/>
    <x v="1"/>
    <s v="Kerala"/>
    <x v="1"/>
    <s v="Kitchen"/>
    <x v="4"/>
    <n v="1"/>
    <n v="6800"/>
    <x v="4"/>
    <n v="6460"/>
    <n v="4700"/>
    <n v="1760"/>
  </r>
  <r>
    <s v="ORD11260"/>
    <x v="1811"/>
    <s v="CUST1402"/>
    <s v="Customer 402"/>
    <x v="1"/>
    <s v="Telangana"/>
    <x v="3"/>
    <s v="Storage"/>
    <x v="14"/>
    <n v="1"/>
    <n v="4800"/>
    <x v="4"/>
    <n v="4560"/>
    <n v="3300"/>
    <n v="1260"/>
  </r>
  <r>
    <s v="ORD12633"/>
    <x v="1812"/>
    <s v="CUST1457"/>
    <s v="Customer 457"/>
    <x v="1"/>
    <s v="Andhra Pradesh"/>
    <x v="1"/>
    <s v="Appliances"/>
    <x v="7"/>
    <n v="2"/>
    <n v="2400"/>
    <x v="4"/>
    <n v="4560"/>
    <n v="3300"/>
    <n v="1260"/>
  </r>
  <r>
    <s v="ORD11367"/>
    <x v="1813"/>
    <s v="CUST1151"/>
    <s v="Customer 151"/>
    <x v="3"/>
    <s v="Delhi"/>
    <x v="0"/>
    <s v="Stationery"/>
    <x v="18"/>
    <n v="4"/>
    <n v="300"/>
    <x v="4"/>
    <n v="1140"/>
    <n v="680"/>
    <n v="460"/>
  </r>
  <r>
    <s v="ORD13954"/>
    <x v="1814"/>
    <s v="CUST1232"/>
    <s v="Customer 232"/>
    <x v="1"/>
    <s v="Andhra Pradesh"/>
    <x v="1"/>
    <s v="Kitchen"/>
    <x v="2"/>
    <n v="4"/>
    <n v="4200"/>
    <x v="4"/>
    <n v="15960"/>
    <n v="11600"/>
    <n v="4360"/>
  </r>
  <r>
    <s v="ORD10960"/>
    <x v="1815"/>
    <s v="CUST1206"/>
    <s v="Customer 206"/>
    <x v="0"/>
    <s v="Odisha"/>
    <x v="0"/>
    <s v="Stationery"/>
    <x v="10"/>
    <n v="2"/>
    <n v="280"/>
    <x v="4"/>
    <n v="532"/>
    <n v="320"/>
    <n v="212"/>
  </r>
  <r>
    <s v="ORD12782"/>
    <x v="1816"/>
    <s v="CUST1468"/>
    <s v="Customer 468"/>
    <x v="0"/>
    <s v="Odisha"/>
    <x v="0"/>
    <s v="Accessories"/>
    <x v="0"/>
    <n v="3"/>
    <n v="650"/>
    <x v="0"/>
    <n v="1755"/>
    <n v="1170"/>
    <n v="585"/>
  </r>
  <r>
    <s v="ORD11854"/>
    <x v="1817"/>
    <s v="CUST1081"/>
    <s v="Customer 081"/>
    <x v="1"/>
    <s v="Karnataka"/>
    <x v="2"/>
    <s v="Audio"/>
    <x v="17"/>
    <n v="5"/>
    <n v="2800"/>
    <x v="5"/>
    <n v="11200"/>
    <n v="9000"/>
    <n v="2200"/>
  </r>
  <r>
    <s v="ORD10471"/>
    <x v="1818"/>
    <s v="CUST1370"/>
    <s v="Customer 370"/>
    <x v="2"/>
    <s v="Maharashtra"/>
    <x v="3"/>
    <s v="Storage"/>
    <x v="6"/>
    <n v="4"/>
    <n v="5600"/>
    <x v="0"/>
    <n v="20160"/>
    <n v="15600"/>
    <n v="4560"/>
  </r>
  <r>
    <s v="ORD13510"/>
    <x v="1819"/>
    <s v="CUST1175"/>
    <s v="Customer 175"/>
    <x v="2"/>
    <s v="Gujarat"/>
    <x v="2"/>
    <s v="Accessories"/>
    <x v="13"/>
    <n v="3"/>
    <n v="1400"/>
    <x v="5"/>
    <n v="3360"/>
    <n v="2700"/>
    <n v="660"/>
  </r>
  <r>
    <s v="ORD12137"/>
    <x v="1820"/>
    <s v="CUST1273"/>
    <s v="Customer 273"/>
    <x v="2"/>
    <s v="Gujarat"/>
    <x v="0"/>
    <s v="Stationery"/>
    <x v="15"/>
    <n v="4"/>
    <n v="450"/>
    <x v="2"/>
    <n v="1800"/>
    <n v="1040"/>
    <n v="760"/>
  </r>
  <r>
    <s v="ORD12920"/>
    <x v="1821"/>
    <s v="CUST1190"/>
    <s v="Customer 190"/>
    <x v="1"/>
    <s v="Telangana"/>
    <x v="2"/>
    <s v="Audio"/>
    <x v="5"/>
    <n v="1"/>
    <n v="2200"/>
    <x v="0"/>
    <n v="1980"/>
    <n v="1450"/>
    <n v="530"/>
  </r>
  <r>
    <s v="ORD12849"/>
    <x v="1822"/>
    <s v="CUST1140"/>
    <s v="Customer 140"/>
    <x v="1"/>
    <s v="Tamil Nadu"/>
    <x v="0"/>
    <s v="Stationery"/>
    <x v="10"/>
    <n v="3"/>
    <n v="280"/>
    <x v="4"/>
    <n v="798"/>
    <n v="480"/>
    <n v="318"/>
  </r>
  <r>
    <s v="ORD11166"/>
    <x v="1823"/>
    <s v="CUST1053"/>
    <s v="Customer 053"/>
    <x v="3"/>
    <s v="Haryana"/>
    <x v="3"/>
    <s v="Storage"/>
    <x v="14"/>
    <n v="1"/>
    <n v="4800"/>
    <x v="0"/>
    <n v="4320"/>
    <n v="3300"/>
    <n v="1020"/>
  </r>
  <r>
    <s v="ORD10612"/>
    <x v="1824"/>
    <s v="CUST1232"/>
    <s v="Customer 232"/>
    <x v="3"/>
    <s v="Delhi"/>
    <x v="0"/>
    <s v="Paper"/>
    <x v="3"/>
    <n v="4"/>
    <n v="520"/>
    <x v="3"/>
    <n v="1768"/>
    <n v="1320"/>
    <n v="448"/>
  </r>
  <r>
    <s v="ORD12337"/>
    <x v="1825"/>
    <s v="CUST1228"/>
    <s v="Customer 228"/>
    <x v="1"/>
    <s v="Kerala"/>
    <x v="0"/>
    <s v="Stationery"/>
    <x v="15"/>
    <n v="1"/>
    <n v="450"/>
    <x v="0"/>
    <n v="405"/>
    <n v="260"/>
    <n v="145"/>
  </r>
  <r>
    <s v="ORD12663"/>
    <x v="1826"/>
    <s v="CUST1075"/>
    <s v="Customer 075"/>
    <x v="2"/>
    <s v="Maharashtra"/>
    <x v="1"/>
    <s v="Appliances"/>
    <x v="7"/>
    <n v="3"/>
    <n v="2400"/>
    <x v="0"/>
    <n v="6480"/>
    <n v="4950"/>
    <n v="1530"/>
  </r>
  <r>
    <s v="ORD12529"/>
    <x v="1827"/>
    <s v="CUST1044"/>
    <s v="Customer 044"/>
    <x v="1"/>
    <s v="Telangana"/>
    <x v="2"/>
    <s v="Monitors"/>
    <x v="11"/>
    <n v="3"/>
    <n v="10500"/>
    <x v="0"/>
    <n v="28350"/>
    <n v="22800"/>
    <n v="5550"/>
  </r>
  <r>
    <s v="ORD11355"/>
    <x v="1828"/>
    <s v="CUST1110"/>
    <s v="Customer 110"/>
    <x v="2"/>
    <s v="Rajasthan"/>
    <x v="0"/>
    <s v="Stationery"/>
    <x v="15"/>
    <n v="5"/>
    <n v="450"/>
    <x v="1"/>
    <n v="1687.5"/>
    <n v="1300"/>
    <n v="387.5"/>
  </r>
  <r>
    <s v="ORD10275"/>
    <x v="1829"/>
    <s v="CUST1210"/>
    <s v="Customer 210"/>
    <x v="3"/>
    <s v="Haryana"/>
    <x v="2"/>
    <s v="Audio"/>
    <x v="5"/>
    <n v="4"/>
    <n v="2200"/>
    <x v="4"/>
    <n v="8360"/>
    <n v="5800"/>
    <n v="2560"/>
  </r>
  <r>
    <s v="ORD12467"/>
    <x v="1830"/>
    <s v="CUST1151"/>
    <s v="Customer 151"/>
    <x v="1"/>
    <s v="Telangana"/>
    <x v="3"/>
    <s v="Tables"/>
    <x v="16"/>
    <n v="4"/>
    <n v="6200"/>
    <x v="3"/>
    <n v="21080"/>
    <n v="17200"/>
    <n v="3880"/>
  </r>
  <r>
    <s v="ORD10593"/>
    <x v="1831"/>
    <s v="CUST1120"/>
    <s v="Customer 120"/>
    <x v="2"/>
    <s v="Gujarat"/>
    <x v="1"/>
    <s v="Kitchen"/>
    <x v="2"/>
    <n v="5"/>
    <n v="4200"/>
    <x v="0"/>
    <n v="18900"/>
    <n v="14500"/>
    <n v="4400"/>
  </r>
  <r>
    <s v="ORD12289"/>
    <x v="1832"/>
    <s v="CUST1469"/>
    <s v="Customer 469"/>
    <x v="0"/>
    <s v="Jharkhand"/>
    <x v="3"/>
    <s v="Storage"/>
    <x v="6"/>
    <n v="5"/>
    <n v="5600"/>
    <x v="3"/>
    <n v="23800"/>
    <n v="19500"/>
    <n v="4300"/>
  </r>
  <r>
    <s v="ORD13083"/>
    <x v="1833"/>
    <s v="CUST1139"/>
    <s v="Customer 139"/>
    <x v="1"/>
    <s v="Telangana"/>
    <x v="2"/>
    <s v="Accessories"/>
    <x v="8"/>
    <n v="1"/>
    <n v="1800"/>
    <x v="4"/>
    <n v="1710"/>
    <n v="1100"/>
    <n v="610"/>
  </r>
  <r>
    <s v="ORD10955"/>
    <x v="1834"/>
    <s v="CUST1393"/>
    <s v="Customer 393"/>
    <x v="2"/>
    <s v="Gujarat"/>
    <x v="3"/>
    <s v="Chairs"/>
    <x v="12"/>
    <n v="4"/>
    <n v="7500"/>
    <x v="3"/>
    <n v="25500"/>
    <n v="20800"/>
    <n v="4700"/>
  </r>
  <r>
    <s v="ORD10998"/>
    <x v="1835"/>
    <s v="CUST1181"/>
    <s v="Customer 181"/>
    <x v="1"/>
    <s v="Karnataka"/>
    <x v="3"/>
    <s v="Chairs"/>
    <x v="12"/>
    <n v="5"/>
    <n v="7500"/>
    <x v="0"/>
    <n v="33750"/>
    <n v="26000"/>
    <n v="7750"/>
  </r>
  <r>
    <s v="ORD11978"/>
    <x v="1836"/>
    <s v="CUST1172"/>
    <s v="Customer 172"/>
    <x v="1"/>
    <s v="Tamil Nadu"/>
    <x v="1"/>
    <s v="Kitchen"/>
    <x v="4"/>
    <n v="3"/>
    <n v="6800"/>
    <x v="4"/>
    <n v="19380"/>
    <n v="14100"/>
    <n v="5280"/>
  </r>
  <r>
    <s v="ORD13538"/>
    <x v="1837"/>
    <s v="CUST1067"/>
    <s v="Customer 067"/>
    <x v="2"/>
    <s v="Rajasthan"/>
    <x v="2"/>
    <s v="Audio"/>
    <x v="5"/>
    <n v="2"/>
    <n v="2200"/>
    <x v="0"/>
    <n v="3960"/>
    <n v="2900"/>
    <n v="1060"/>
  </r>
  <r>
    <s v="ORD11573"/>
    <x v="1838"/>
    <s v="CUST1368"/>
    <s v="Customer 368"/>
    <x v="1"/>
    <s v="Tamil Nadu"/>
    <x v="3"/>
    <s v="Tables"/>
    <x v="16"/>
    <n v="3"/>
    <n v="6200"/>
    <x v="5"/>
    <n v="14880"/>
    <n v="12900"/>
    <n v="1980"/>
  </r>
  <r>
    <s v="ORD11324"/>
    <x v="1839"/>
    <s v="CUST1444"/>
    <s v="Customer 444"/>
    <x v="3"/>
    <s v="Uttar Pradesh"/>
    <x v="0"/>
    <s v="Paper"/>
    <x v="3"/>
    <n v="5"/>
    <n v="520"/>
    <x v="0"/>
    <n v="2340"/>
    <n v="1650"/>
    <n v="690"/>
  </r>
  <r>
    <s v="ORD12331"/>
    <x v="1840"/>
    <s v="CUST1033"/>
    <s v="Customer 033"/>
    <x v="1"/>
    <s v="Tamil Nadu"/>
    <x v="3"/>
    <s v="Chairs"/>
    <x v="12"/>
    <n v="5"/>
    <n v="7500"/>
    <x v="2"/>
    <n v="37500"/>
    <n v="26000"/>
    <n v="11500"/>
  </r>
  <r>
    <s v="ORD12064"/>
    <x v="1841"/>
    <s v="CUST1360"/>
    <s v="Customer 360"/>
    <x v="2"/>
    <s v="Maharashtra"/>
    <x v="2"/>
    <s v="Audio"/>
    <x v="5"/>
    <n v="1"/>
    <n v="2200"/>
    <x v="2"/>
    <n v="2200"/>
    <n v="1450"/>
    <n v="750"/>
  </r>
  <r>
    <s v="ORD11842"/>
    <x v="1842"/>
    <s v="CUST1049"/>
    <s v="Customer 049"/>
    <x v="2"/>
    <s v="Rajasthan"/>
    <x v="2"/>
    <s v="Audio"/>
    <x v="17"/>
    <n v="1"/>
    <n v="2800"/>
    <x v="1"/>
    <n v="2100"/>
    <n v="1800"/>
    <n v="300"/>
  </r>
  <r>
    <s v="ORD13865"/>
    <x v="1843"/>
    <s v="CUST1316"/>
    <s v="Customer 316"/>
    <x v="3"/>
    <s v="Uttar Pradesh"/>
    <x v="3"/>
    <s v="Chairs"/>
    <x v="12"/>
    <n v="1"/>
    <n v="7500"/>
    <x v="3"/>
    <n v="6375"/>
    <n v="5200"/>
    <n v="1175"/>
  </r>
  <r>
    <s v="ORD12873"/>
    <x v="1844"/>
    <s v="CUST1410"/>
    <s v="Customer 410"/>
    <x v="3"/>
    <s v="Uttar Pradesh"/>
    <x v="0"/>
    <s v="Accessories"/>
    <x v="0"/>
    <n v="3"/>
    <n v="650"/>
    <x v="0"/>
    <n v="1755"/>
    <n v="1170"/>
    <n v="585"/>
  </r>
  <r>
    <s v="ORD11720"/>
    <x v="1845"/>
    <s v="CUST1259"/>
    <s v="Customer 259"/>
    <x v="2"/>
    <s v="Maharashtra"/>
    <x v="2"/>
    <s v="Audio"/>
    <x v="17"/>
    <n v="5"/>
    <n v="2800"/>
    <x v="4"/>
    <n v="13300"/>
    <n v="9000"/>
    <n v="4300"/>
  </r>
  <r>
    <s v="ORD10242"/>
    <x v="1846"/>
    <s v="CUST1293"/>
    <s v="Customer 293"/>
    <x v="1"/>
    <s v="Tamil Nadu"/>
    <x v="1"/>
    <s v="Kitchen"/>
    <x v="2"/>
    <n v="2"/>
    <n v="4200"/>
    <x v="2"/>
    <n v="8400"/>
    <n v="5800"/>
    <n v="2600"/>
  </r>
  <r>
    <s v="ORD10205"/>
    <x v="1847"/>
    <s v="CUST1229"/>
    <s v="Customer 229"/>
    <x v="1"/>
    <s v="Kerala"/>
    <x v="2"/>
    <s v="Accessories"/>
    <x v="8"/>
    <n v="1"/>
    <n v="1800"/>
    <x v="2"/>
    <n v="1800"/>
    <n v="1100"/>
    <n v="700"/>
  </r>
  <r>
    <s v="ORD12489"/>
    <x v="1848"/>
    <s v="CUST1263"/>
    <s v="Customer 263"/>
    <x v="1"/>
    <s v="Tamil Nadu"/>
    <x v="1"/>
    <s v="Kitchen"/>
    <x v="4"/>
    <n v="5"/>
    <n v="6800"/>
    <x v="0"/>
    <n v="30600"/>
    <n v="23500"/>
    <n v="7100"/>
  </r>
  <r>
    <s v="ORD11917"/>
    <x v="1849"/>
    <s v="CUST1142"/>
    <s v="Customer 142"/>
    <x v="2"/>
    <s v="Maharashtra"/>
    <x v="0"/>
    <s v="Stationery"/>
    <x v="18"/>
    <n v="2"/>
    <n v="300"/>
    <x v="2"/>
    <n v="600"/>
    <n v="340"/>
    <n v="260"/>
  </r>
  <r>
    <s v="ORD12151"/>
    <x v="1850"/>
    <s v="CUST1165"/>
    <s v="Customer 165"/>
    <x v="1"/>
    <s v="Karnataka"/>
    <x v="3"/>
    <s v="Storage"/>
    <x v="14"/>
    <n v="4"/>
    <n v="4800"/>
    <x v="0"/>
    <n v="17280"/>
    <n v="13200"/>
    <n v="4080"/>
  </r>
  <r>
    <s v="ORD13283"/>
    <x v="1851"/>
    <s v="CUST1485"/>
    <s v="Customer 485"/>
    <x v="0"/>
    <s v="Bihar"/>
    <x v="3"/>
    <s v="Tables"/>
    <x v="16"/>
    <n v="2"/>
    <n v="6200"/>
    <x v="1"/>
    <n v="9300"/>
    <n v="8600"/>
    <n v="700"/>
  </r>
  <r>
    <s v="ORD10068"/>
    <x v="1852"/>
    <s v="CUST1186"/>
    <s v="Customer 186"/>
    <x v="0"/>
    <s v="West Bengal"/>
    <x v="3"/>
    <s v="Chairs"/>
    <x v="12"/>
    <n v="2"/>
    <n v="7500"/>
    <x v="0"/>
    <n v="13500"/>
    <n v="10400"/>
    <n v="3100"/>
  </r>
  <r>
    <s v="ORD12724"/>
    <x v="1853"/>
    <s v="CUST1189"/>
    <s v="Customer 189"/>
    <x v="2"/>
    <s v="Rajasthan"/>
    <x v="2"/>
    <s v="Accessories"/>
    <x v="9"/>
    <n v="1"/>
    <n v="850"/>
    <x v="2"/>
    <n v="850"/>
    <n v="560"/>
    <n v="290"/>
  </r>
  <r>
    <s v="ORD12896"/>
    <x v="1854"/>
    <s v="CUST1269"/>
    <s v="Customer 269"/>
    <x v="2"/>
    <s v="Gujarat"/>
    <x v="1"/>
    <s v="Kitchen"/>
    <x v="1"/>
    <n v="2"/>
    <n v="1900"/>
    <x v="3"/>
    <n v="3230"/>
    <n v="2500"/>
    <n v="730"/>
  </r>
  <r>
    <s v="ORD10855"/>
    <x v="1855"/>
    <s v="CUST1144"/>
    <s v="Customer 144"/>
    <x v="3"/>
    <s v="Delhi"/>
    <x v="3"/>
    <s v="Chairs"/>
    <x v="12"/>
    <n v="2"/>
    <n v="7500"/>
    <x v="3"/>
    <n v="12750"/>
    <n v="10400"/>
    <n v="2350"/>
  </r>
  <r>
    <s v="ORD13811"/>
    <x v="1856"/>
    <s v="CUST1115"/>
    <s v="Customer 115"/>
    <x v="2"/>
    <s v="Gujarat"/>
    <x v="1"/>
    <s v="Kitchen"/>
    <x v="1"/>
    <n v="5"/>
    <n v="1900"/>
    <x v="3"/>
    <n v="8075"/>
    <n v="6250"/>
    <n v="1825"/>
  </r>
  <r>
    <s v="ORD12443"/>
    <x v="1857"/>
    <s v="CUST1005"/>
    <s v="Customer 005"/>
    <x v="0"/>
    <s v="Odisha"/>
    <x v="1"/>
    <s v="Appliances"/>
    <x v="7"/>
    <n v="2"/>
    <n v="2400"/>
    <x v="0"/>
    <n v="4320"/>
    <n v="3300"/>
    <n v="1020"/>
  </r>
  <r>
    <s v="ORD13734"/>
    <x v="1858"/>
    <s v="CUST1467"/>
    <s v="Customer 467"/>
    <x v="0"/>
    <s v="West Bengal"/>
    <x v="2"/>
    <s v="Audio"/>
    <x v="17"/>
    <n v="2"/>
    <n v="2800"/>
    <x v="2"/>
    <n v="5600"/>
    <n v="3600"/>
    <n v="2000"/>
  </r>
  <r>
    <s v="ORD13005"/>
    <x v="1859"/>
    <s v="CUST1353"/>
    <s v="Customer 353"/>
    <x v="1"/>
    <s v="Kerala"/>
    <x v="0"/>
    <s v="Accessories"/>
    <x v="0"/>
    <n v="1"/>
    <n v="650"/>
    <x v="3"/>
    <n v="552.5"/>
    <n v="390"/>
    <n v="162.5"/>
  </r>
  <r>
    <s v="ORD13289"/>
    <x v="1860"/>
    <s v="CUST1087"/>
    <s v="Customer 087"/>
    <x v="1"/>
    <s v="Telangana"/>
    <x v="3"/>
    <s v="Chairs"/>
    <x v="12"/>
    <n v="4"/>
    <n v="7500"/>
    <x v="4"/>
    <n v="28500"/>
    <n v="20800"/>
    <n v="7700"/>
  </r>
  <r>
    <s v="ORD12573"/>
    <x v="1861"/>
    <s v="CUST1366"/>
    <s v="Customer 366"/>
    <x v="1"/>
    <s v="Karnataka"/>
    <x v="3"/>
    <s v="Chairs"/>
    <x v="12"/>
    <n v="5"/>
    <n v="7500"/>
    <x v="0"/>
    <n v="33750"/>
    <n v="26000"/>
    <n v="7750"/>
  </r>
  <r>
    <s v="ORD13578"/>
    <x v="1862"/>
    <s v="CUST1429"/>
    <s v="Customer 429"/>
    <x v="3"/>
    <s v="Haryana"/>
    <x v="2"/>
    <s v="Accessories"/>
    <x v="9"/>
    <n v="5"/>
    <n v="850"/>
    <x v="3"/>
    <n v="3612.5"/>
    <n v="2800"/>
    <n v="812.5"/>
  </r>
  <r>
    <s v="ORD10203"/>
    <x v="1863"/>
    <s v="CUST1248"/>
    <s v="Customer 248"/>
    <x v="0"/>
    <s v="Bihar"/>
    <x v="2"/>
    <s v="Accessories"/>
    <x v="8"/>
    <n v="3"/>
    <n v="1800"/>
    <x v="4"/>
    <n v="5130"/>
    <n v="3300"/>
    <n v="1830"/>
  </r>
  <r>
    <s v="ORD13634"/>
    <x v="1864"/>
    <s v="CUST1381"/>
    <s v="Customer 381"/>
    <x v="1"/>
    <s v="Kerala"/>
    <x v="2"/>
    <s v="Audio"/>
    <x v="17"/>
    <n v="4"/>
    <n v="2800"/>
    <x v="3"/>
    <n v="9520"/>
    <n v="7200"/>
    <n v="2320"/>
  </r>
  <r>
    <s v="ORD10272"/>
    <x v="1865"/>
    <s v="CUST1012"/>
    <s v="Customer 012"/>
    <x v="2"/>
    <s v="Maharashtra"/>
    <x v="2"/>
    <s v="Audio"/>
    <x v="17"/>
    <n v="4"/>
    <n v="2800"/>
    <x v="1"/>
    <n v="8400"/>
    <n v="7200"/>
    <n v="1200"/>
  </r>
  <r>
    <s v="ORD11623"/>
    <x v="1866"/>
    <s v="CUST1463"/>
    <s v="Customer 463"/>
    <x v="2"/>
    <s v="Goa"/>
    <x v="1"/>
    <s v="Kitchen"/>
    <x v="1"/>
    <n v="1"/>
    <n v="1900"/>
    <x v="5"/>
    <n v="1520"/>
    <n v="1250"/>
    <n v="270"/>
  </r>
  <r>
    <s v="ORD11650"/>
    <x v="1867"/>
    <s v="CUST1419"/>
    <s v="Customer 419"/>
    <x v="3"/>
    <s v="Haryana"/>
    <x v="3"/>
    <s v="Storage"/>
    <x v="14"/>
    <n v="1"/>
    <n v="4800"/>
    <x v="2"/>
    <n v="4800"/>
    <n v="3300"/>
    <n v="1500"/>
  </r>
  <r>
    <s v="ORD10105"/>
    <x v="1868"/>
    <s v="CUST1399"/>
    <s v="Customer 399"/>
    <x v="2"/>
    <s v="Maharashtra"/>
    <x v="0"/>
    <s v="Paper"/>
    <x v="3"/>
    <n v="4"/>
    <n v="520"/>
    <x v="4"/>
    <n v="1976"/>
    <n v="1320"/>
    <n v="656"/>
  </r>
  <r>
    <s v="ORD12997"/>
    <x v="1869"/>
    <s v="CUST1151"/>
    <s v="Customer 151"/>
    <x v="1"/>
    <s v="Kerala"/>
    <x v="3"/>
    <s v="Tables"/>
    <x v="16"/>
    <n v="2"/>
    <n v="6200"/>
    <x v="5"/>
    <n v="9920"/>
    <n v="8600"/>
    <n v="1320"/>
  </r>
  <r>
    <s v="ORD12025"/>
    <x v="1870"/>
    <s v="CUST1037"/>
    <s v="Customer 037"/>
    <x v="3"/>
    <s v="Haryana"/>
    <x v="2"/>
    <s v="Accessories"/>
    <x v="8"/>
    <n v="5"/>
    <n v="1800"/>
    <x v="5"/>
    <n v="7200"/>
    <n v="5500"/>
    <n v="1700"/>
  </r>
  <r>
    <s v="ORD12531"/>
    <x v="1871"/>
    <s v="CUST1458"/>
    <s v="Customer 458"/>
    <x v="3"/>
    <s v="Delhi"/>
    <x v="0"/>
    <s v="Stationery"/>
    <x v="15"/>
    <n v="5"/>
    <n v="450"/>
    <x v="0"/>
    <n v="2025"/>
    <n v="1300"/>
    <n v="725"/>
  </r>
  <r>
    <s v="ORD11643"/>
    <x v="1872"/>
    <s v="CUST1224"/>
    <s v="Customer 224"/>
    <x v="3"/>
    <s v="Uttar Pradesh"/>
    <x v="1"/>
    <s v="Kitchen"/>
    <x v="4"/>
    <n v="4"/>
    <n v="6800"/>
    <x v="4"/>
    <n v="25840"/>
    <n v="18800"/>
    <n v="7040"/>
  </r>
  <r>
    <s v="ORD13990"/>
    <x v="1873"/>
    <s v="CUST1238"/>
    <s v="Customer 238"/>
    <x v="2"/>
    <s v="Maharashtra"/>
    <x v="0"/>
    <s v="Paper"/>
    <x v="3"/>
    <n v="1"/>
    <n v="520"/>
    <x v="2"/>
    <n v="520"/>
    <n v="330"/>
    <n v="190"/>
  </r>
  <r>
    <s v="ORD11594"/>
    <x v="1874"/>
    <s v="CUST1010"/>
    <s v="Customer 010"/>
    <x v="1"/>
    <s v="Telangana"/>
    <x v="0"/>
    <s v="Stationery"/>
    <x v="18"/>
    <n v="3"/>
    <n v="300"/>
    <x v="4"/>
    <n v="855"/>
    <n v="510"/>
    <n v="345"/>
  </r>
  <r>
    <s v="ORD13438"/>
    <x v="1875"/>
    <s v="CUST1330"/>
    <s v="Customer 330"/>
    <x v="1"/>
    <s v="Telangana"/>
    <x v="2"/>
    <s v="Audio"/>
    <x v="17"/>
    <n v="2"/>
    <n v="2800"/>
    <x v="2"/>
    <n v="5600"/>
    <n v="3600"/>
    <n v="2000"/>
  </r>
  <r>
    <s v="ORD11383"/>
    <x v="1876"/>
    <s v="CUST1174"/>
    <s v="Customer 174"/>
    <x v="0"/>
    <s v="Jharkhand"/>
    <x v="3"/>
    <s v="Storage"/>
    <x v="6"/>
    <n v="4"/>
    <n v="5600"/>
    <x v="0"/>
    <n v="20160"/>
    <n v="15600"/>
    <n v="4560"/>
  </r>
  <r>
    <s v="ORD11332"/>
    <x v="1877"/>
    <s v="CUST1359"/>
    <s v="Customer 359"/>
    <x v="1"/>
    <s v="Telangana"/>
    <x v="2"/>
    <s v="Audio"/>
    <x v="5"/>
    <n v="1"/>
    <n v="2200"/>
    <x v="3"/>
    <n v="1870"/>
    <n v="1450"/>
    <n v="420"/>
  </r>
  <r>
    <s v="ORD10628"/>
    <x v="1878"/>
    <s v="CUST1184"/>
    <s v="Customer 184"/>
    <x v="1"/>
    <s v="Tamil Nadu"/>
    <x v="1"/>
    <s v="Kitchen"/>
    <x v="2"/>
    <n v="5"/>
    <n v="4200"/>
    <x v="4"/>
    <n v="19950"/>
    <n v="14500"/>
    <n v="5450"/>
  </r>
  <r>
    <s v="ORD13188"/>
    <x v="1879"/>
    <s v="CUST1202"/>
    <s v="Customer 202"/>
    <x v="2"/>
    <s v="Rajasthan"/>
    <x v="3"/>
    <s v="Chairs"/>
    <x v="12"/>
    <n v="3"/>
    <n v="7500"/>
    <x v="5"/>
    <n v="18000"/>
    <n v="15600"/>
    <n v="2400"/>
  </r>
  <r>
    <s v="ORD10037"/>
    <x v="1880"/>
    <s v="CUST1430"/>
    <s v="Customer 430"/>
    <x v="0"/>
    <s v="Bihar"/>
    <x v="3"/>
    <s v="Storage"/>
    <x v="14"/>
    <n v="4"/>
    <n v="4800"/>
    <x v="0"/>
    <n v="17280"/>
    <n v="13200"/>
    <n v="4080"/>
  </r>
  <r>
    <s v="ORD11150"/>
    <x v="1881"/>
    <s v="CUST1427"/>
    <s v="Customer 427"/>
    <x v="1"/>
    <s v="Kerala"/>
    <x v="2"/>
    <s v="Audio"/>
    <x v="17"/>
    <n v="5"/>
    <n v="2800"/>
    <x v="4"/>
    <n v="13300"/>
    <n v="9000"/>
    <n v="4300"/>
  </r>
  <r>
    <s v="ORD12347"/>
    <x v="1882"/>
    <s v="CUST1164"/>
    <s v="Customer 164"/>
    <x v="3"/>
    <s v="Delhi"/>
    <x v="3"/>
    <s v="Chairs"/>
    <x v="12"/>
    <n v="2"/>
    <n v="7500"/>
    <x v="3"/>
    <n v="12750"/>
    <n v="10400"/>
    <n v="2350"/>
  </r>
  <r>
    <s v="ORD10933"/>
    <x v="1883"/>
    <s v="CUST1129"/>
    <s v="Customer 129"/>
    <x v="2"/>
    <s v="Gujarat"/>
    <x v="2"/>
    <s v="Audio"/>
    <x v="5"/>
    <n v="1"/>
    <n v="2200"/>
    <x v="0"/>
    <n v="1980"/>
    <n v="1450"/>
    <n v="530"/>
  </r>
  <r>
    <s v="ORD13773"/>
    <x v="1884"/>
    <s v="CUST1264"/>
    <s v="Customer 264"/>
    <x v="1"/>
    <s v="Telangana"/>
    <x v="3"/>
    <s v="Storage"/>
    <x v="14"/>
    <n v="3"/>
    <n v="4800"/>
    <x v="0"/>
    <n v="12960"/>
    <n v="9900"/>
    <n v="3060"/>
  </r>
  <r>
    <s v="ORD11896"/>
    <x v="1885"/>
    <s v="CUST1426"/>
    <s v="Customer 426"/>
    <x v="2"/>
    <s v="Goa"/>
    <x v="1"/>
    <s v="Kitchen"/>
    <x v="4"/>
    <n v="2"/>
    <n v="6800"/>
    <x v="5"/>
    <n v="10880"/>
    <n v="9400"/>
    <n v="1480"/>
  </r>
  <r>
    <s v="ORD13355"/>
    <x v="1886"/>
    <s v="CUST1488"/>
    <s v="Customer 488"/>
    <x v="0"/>
    <s v="Bihar"/>
    <x v="3"/>
    <s v="Storage"/>
    <x v="14"/>
    <n v="1"/>
    <n v="4800"/>
    <x v="2"/>
    <n v="4800"/>
    <n v="3300"/>
    <n v="1500"/>
  </r>
  <r>
    <s v="ORD13031"/>
    <x v="1887"/>
    <s v="CUST1367"/>
    <s v="Customer 367"/>
    <x v="1"/>
    <s v="Telangana"/>
    <x v="3"/>
    <s v="Chairs"/>
    <x v="12"/>
    <n v="4"/>
    <n v="7500"/>
    <x v="1"/>
    <n v="22500"/>
    <n v="20800"/>
    <n v="1700"/>
  </r>
  <r>
    <s v="ORD12526"/>
    <x v="1888"/>
    <s v="CUST1162"/>
    <s v="Customer 162"/>
    <x v="2"/>
    <s v="Goa"/>
    <x v="3"/>
    <s v="Chairs"/>
    <x v="12"/>
    <n v="1"/>
    <n v="7500"/>
    <x v="3"/>
    <n v="6375"/>
    <n v="5200"/>
    <n v="1175"/>
  </r>
  <r>
    <s v="ORD11823"/>
    <x v="1889"/>
    <s v="CUST1151"/>
    <s v="Customer 151"/>
    <x v="2"/>
    <s v="Maharashtra"/>
    <x v="3"/>
    <s v="Chairs"/>
    <x v="12"/>
    <n v="3"/>
    <n v="7500"/>
    <x v="2"/>
    <n v="22500"/>
    <n v="15600"/>
    <n v="6900"/>
  </r>
  <r>
    <s v="ORD11777"/>
    <x v="1890"/>
    <s v="CUST1167"/>
    <s v="Customer 167"/>
    <x v="3"/>
    <s v="Uttar Pradesh"/>
    <x v="2"/>
    <s v="Accessories"/>
    <x v="8"/>
    <n v="5"/>
    <n v="1800"/>
    <x v="4"/>
    <n v="8550"/>
    <n v="5500"/>
    <n v="3050"/>
  </r>
  <r>
    <s v="ORD10362"/>
    <x v="1891"/>
    <s v="CUST1446"/>
    <s v="Customer 446"/>
    <x v="1"/>
    <s v="Tamil Nadu"/>
    <x v="1"/>
    <s v="Kitchen"/>
    <x v="2"/>
    <n v="5"/>
    <n v="4200"/>
    <x v="3"/>
    <n v="17850"/>
    <n v="14500"/>
    <n v="3350"/>
  </r>
  <r>
    <s v="ORD11006"/>
    <x v="1892"/>
    <s v="CUST1461"/>
    <s v="Customer 461"/>
    <x v="3"/>
    <s v="Haryana"/>
    <x v="0"/>
    <s v="Paper"/>
    <x v="3"/>
    <n v="1"/>
    <n v="520"/>
    <x v="3"/>
    <n v="442"/>
    <n v="330"/>
    <n v="112"/>
  </r>
  <r>
    <s v="ORD13897"/>
    <x v="1893"/>
    <s v="CUST1267"/>
    <s v="Customer 267"/>
    <x v="1"/>
    <s v="Andhra Pradesh"/>
    <x v="3"/>
    <s v="Storage"/>
    <x v="6"/>
    <n v="1"/>
    <n v="5600"/>
    <x v="4"/>
    <n v="5320"/>
    <n v="3900"/>
    <n v="1420"/>
  </r>
  <r>
    <s v="ORD12829"/>
    <x v="1894"/>
    <s v="CUST1314"/>
    <s v="Customer 314"/>
    <x v="3"/>
    <s v="Haryana"/>
    <x v="0"/>
    <s v="Accessories"/>
    <x v="0"/>
    <n v="3"/>
    <n v="650"/>
    <x v="0"/>
    <n v="1755"/>
    <n v="1170"/>
    <n v="585"/>
  </r>
  <r>
    <s v="ORD13570"/>
    <x v="1895"/>
    <s v="CUST1124"/>
    <s v="Customer 124"/>
    <x v="0"/>
    <s v="Odisha"/>
    <x v="0"/>
    <s v="Stationery"/>
    <x v="18"/>
    <n v="3"/>
    <n v="300"/>
    <x v="5"/>
    <n v="720"/>
    <n v="510"/>
    <n v="210"/>
  </r>
  <r>
    <s v="ORD10865"/>
    <x v="1896"/>
    <s v="CUST1424"/>
    <s v="Customer 424"/>
    <x v="1"/>
    <s v="Karnataka"/>
    <x v="2"/>
    <s v="Accessories"/>
    <x v="9"/>
    <n v="3"/>
    <n v="850"/>
    <x v="3"/>
    <n v="2167.5"/>
    <n v="1680"/>
    <n v="487.5"/>
  </r>
  <r>
    <s v="ORD12299"/>
    <x v="1897"/>
    <s v="CUST1111"/>
    <s v="Customer 111"/>
    <x v="2"/>
    <s v="Gujarat"/>
    <x v="0"/>
    <s v="Stationery"/>
    <x v="10"/>
    <n v="4"/>
    <n v="280"/>
    <x v="1"/>
    <n v="840"/>
    <n v="640"/>
    <n v="200"/>
  </r>
  <r>
    <s v="ORD11756"/>
    <x v="1898"/>
    <s v="CUST1160"/>
    <s v="Customer 160"/>
    <x v="1"/>
    <s v="Karnataka"/>
    <x v="3"/>
    <s v="Chairs"/>
    <x v="12"/>
    <n v="1"/>
    <n v="7500"/>
    <x v="3"/>
    <n v="6375"/>
    <n v="5200"/>
    <n v="1175"/>
  </r>
  <r>
    <s v="ORD10352"/>
    <x v="1899"/>
    <s v="CUST1023"/>
    <s v="Customer 023"/>
    <x v="3"/>
    <s v="Uttar Pradesh"/>
    <x v="1"/>
    <s v="Kitchen"/>
    <x v="2"/>
    <n v="4"/>
    <n v="4200"/>
    <x v="3"/>
    <n v="14280"/>
    <n v="11600"/>
    <n v="2680"/>
  </r>
  <r>
    <s v="ORD10839"/>
    <x v="1900"/>
    <s v="CUST1008"/>
    <s v="Customer 008"/>
    <x v="1"/>
    <s v="Telangana"/>
    <x v="2"/>
    <s v="Audio"/>
    <x v="17"/>
    <n v="4"/>
    <n v="2800"/>
    <x v="2"/>
    <n v="11200"/>
    <n v="7200"/>
    <n v="4000"/>
  </r>
  <r>
    <s v="ORD13071"/>
    <x v="1901"/>
    <s v="CUST1212"/>
    <s v="Customer 212"/>
    <x v="1"/>
    <s v="Telangana"/>
    <x v="1"/>
    <s v="Kitchen"/>
    <x v="1"/>
    <n v="1"/>
    <n v="1900"/>
    <x v="5"/>
    <n v="1520"/>
    <n v="1250"/>
    <n v="270"/>
  </r>
  <r>
    <s v="ORD10583"/>
    <x v="1902"/>
    <s v="CUST1054"/>
    <s v="Customer 054"/>
    <x v="1"/>
    <s v="Andhra Pradesh"/>
    <x v="3"/>
    <s v="Chairs"/>
    <x v="12"/>
    <n v="4"/>
    <n v="7500"/>
    <x v="4"/>
    <n v="28500"/>
    <n v="20800"/>
    <n v="7700"/>
  </r>
  <r>
    <s v="ORD13743"/>
    <x v="1903"/>
    <s v="CUST1470"/>
    <s v="Customer 470"/>
    <x v="3"/>
    <s v="Uttar Pradesh"/>
    <x v="1"/>
    <s v="Kitchen"/>
    <x v="2"/>
    <n v="4"/>
    <n v="4200"/>
    <x v="2"/>
    <n v="16800"/>
    <n v="11600"/>
    <n v="5200"/>
  </r>
  <r>
    <s v="ORD12250"/>
    <x v="1904"/>
    <s v="CUST1212"/>
    <s v="Customer 212"/>
    <x v="3"/>
    <s v="Punjab"/>
    <x v="1"/>
    <s v="Appliances"/>
    <x v="7"/>
    <n v="2"/>
    <n v="2400"/>
    <x v="0"/>
    <n v="4320"/>
    <n v="3300"/>
    <n v="1020"/>
  </r>
  <r>
    <s v="ORD13699"/>
    <x v="1905"/>
    <s v="CUST1145"/>
    <s v="Customer 145"/>
    <x v="3"/>
    <s v="Delhi"/>
    <x v="0"/>
    <s v="Paper"/>
    <x v="3"/>
    <n v="5"/>
    <n v="520"/>
    <x v="0"/>
    <n v="2340"/>
    <n v="1650"/>
    <n v="690"/>
  </r>
  <r>
    <s v="ORD13775"/>
    <x v="1906"/>
    <s v="CUST1216"/>
    <s v="Customer 216"/>
    <x v="1"/>
    <s v="Karnataka"/>
    <x v="2"/>
    <s v="Audio"/>
    <x v="17"/>
    <n v="3"/>
    <n v="2800"/>
    <x v="0"/>
    <n v="7560"/>
    <n v="5400"/>
    <n v="2160"/>
  </r>
  <r>
    <s v="ORD13535"/>
    <x v="1907"/>
    <s v="CUST1044"/>
    <s v="Customer 044"/>
    <x v="3"/>
    <s v="Delhi"/>
    <x v="2"/>
    <s v="Accessories"/>
    <x v="9"/>
    <n v="4"/>
    <n v="850"/>
    <x v="0"/>
    <n v="3060"/>
    <n v="2240"/>
    <n v="820"/>
  </r>
  <r>
    <s v="ORD10760"/>
    <x v="1908"/>
    <s v="CUST1365"/>
    <s v="Customer 365"/>
    <x v="2"/>
    <s v="Gujarat"/>
    <x v="2"/>
    <s v="Accessories"/>
    <x v="13"/>
    <n v="2"/>
    <n v="1400"/>
    <x v="4"/>
    <n v="2660"/>
    <n v="1800"/>
    <n v="860"/>
  </r>
  <r>
    <s v="ORD11460"/>
    <x v="1909"/>
    <s v="CUST1259"/>
    <s v="Customer 259"/>
    <x v="3"/>
    <s v="Haryana"/>
    <x v="1"/>
    <s v="Kitchen"/>
    <x v="4"/>
    <n v="5"/>
    <n v="6800"/>
    <x v="4"/>
    <n v="32300"/>
    <n v="23500"/>
    <n v="8800"/>
  </r>
  <r>
    <s v="ORD13800"/>
    <x v="1910"/>
    <s v="CUST1028"/>
    <s v="Customer 028"/>
    <x v="1"/>
    <s v="Karnataka"/>
    <x v="2"/>
    <s v="Audio"/>
    <x v="17"/>
    <n v="3"/>
    <n v="2800"/>
    <x v="4"/>
    <n v="7980"/>
    <n v="5400"/>
    <n v="2580"/>
  </r>
  <r>
    <s v="ORD12399"/>
    <x v="1911"/>
    <s v="CUST1126"/>
    <s v="Customer 126"/>
    <x v="1"/>
    <s v="Telangana"/>
    <x v="1"/>
    <s v="Kitchen"/>
    <x v="2"/>
    <n v="1"/>
    <n v="4200"/>
    <x v="2"/>
    <n v="4200"/>
    <n v="2900"/>
    <n v="1300"/>
  </r>
  <r>
    <s v="ORD12205"/>
    <x v="1912"/>
    <s v="CUST1228"/>
    <s v="Customer 228"/>
    <x v="3"/>
    <s v="Uttar Pradesh"/>
    <x v="0"/>
    <s v="Stationery"/>
    <x v="18"/>
    <n v="1"/>
    <n v="300"/>
    <x v="3"/>
    <n v="255"/>
    <n v="170"/>
    <n v="85"/>
  </r>
  <r>
    <s v="ORD12010"/>
    <x v="1913"/>
    <s v="CUST1317"/>
    <s v="Customer 317"/>
    <x v="2"/>
    <s v="Rajasthan"/>
    <x v="2"/>
    <s v="Audio"/>
    <x v="5"/>
    <n v="3"/>
    <n v="2200"/>
    <x v="2"/>
    <n v="6600"/>
    <n v="4350"/>
    <n v="2250"/>
  </r>
  <r>
    <s v="ORD10251"/>
    <x v="1914"/>
    <s v="CUST1090"/>
    <s v="Customer 090"/>
    <x v="2"/>
    <s v="Maharashtra"/>
    <x v="3"/>
    <s v="Chairs"/>
    <x v="12"/>
    <n v="4"/>
    <n v="7500"/>
    <x v="4"/>
    <n v="28500"/>
    <n v="20800"/>
    <n v="7700"/>
  </r>
  <r>
    <s v="ORD11536"/>
    <x v="1915"/>
    <s v="CUST1016"/>
    <s v="Customer 016"/>
    <x v="3"/>
    <s v="Punjab"/>
    <x v="3"/>
    <s v="Tables"/>
    <x v="16"/>
    <n v="4"/>
    <n v="6200"/>
    <x v="5"/>
    <n v="19840"/>
    <n v="17200"/>
    <n v="2640"/>
  </r>
  <r>
    <s v="ORD13480"/>
    <x v="1916"/>
    <s v="CUST1390"/>
    <s v="Customer 390"/>
    <x v="0"/>
    <s v="Odisha"/>
    <x v="1"/>
    <s v="Kitchen"/>
    <x v="4"/>
    <n v="3"/>
    <n v="6800"/>
    <x v="2"/>
    <n v="20400"/>
    <n v="14100"/>
    <n v="6300"/>
  </r>
  <r>
    <s v="ORD12513"/>
    <x v="1917"/>
    <s v="CUST1482"/>
    <s v="Customer 482"/>
    <x v="0"/>
    <s v="Odisha"/>
    <x v="2"/>
    <s v="Audio"/>
    <x v="5"/>
    <n v="1"/>
    <n v="2200"/>
    <x v="3"/>
    <n v="1870"/>
    <n v="1450"/>
    <n v="420"/>
  </r>
  <r>
    <s v="ORD10985"/>
    <x v="1918"/>
    <s v="CUST1294"/>
    <s v="Customer 294"/>
    <x v="1"/>
    <s v="Karnataka"/>
    <x v="0"/>
    <s v="Accessories"/>
    <x v="0"/>
    <n v="3"/>
    <n v="650"/>
    <x v="3"/>
    <n v="1657.5"/>
    <n v="1170"/>
    <n v="487.5"/>
  </r>
  <r>
    <s v="ORD10182"/>
    <x v="1919"/>
    <s v="CUST1077"/>
    <s v="Customer 077"/>
    <x v="0"/>
    <s v="West Bengal"/>
    <x v="0"/>
    <s v="Stationery"/>
    <x v="10"/>
    <n v="2"/>
    <n v="280"/>
    <x v="4"/>
    <n v="532"/>
    <n v="320"/>
    <n v="212"/>
  </r>
  <r>
    <s v="ORD10226"/>
    <x v="1920"/>
    <s v="CUST1153"/>
    <s v="Customer 153"/>
    <x v="1"/>
    <s v="Karnataka"/>
    <x v="2"/>
    <s v="Monitors"/>
    <x v="11"/>
    <n v="4"/>
    <n v="10500"/>
    <x v="3"/>
    <n v="35700"/>
    <n v="30400"/>
    <n v="5300"/>
  </r>
  <r>
    <s v="ORD13566"/>
    <x v="1921"/>
    <s v="CUST1131"/>
    <s v="Customer 131"/>
    <x v="1"/>
    <s v="Kerala"/>
    <x v="3"/>
    <s v="Storage"/>
    <x v="14"/>
    <n v="2"/>
    <n v="4800"/>
    <x v="3"/>
    <n v="8160"/>
    <n v="6600"/>
    <n v="1560"/>
  </r>
  <r>
    <s v="ORD13949"/>
    <x v="1922"/>
    <s v="CUST1485"/>
    <s v="Customer 485"/>
    <x v="1"/>
    <s v="Karnataka"/>
    <x v="3"/>
    <s v="Storage"/>
    <x v="6"/>
    <n v="5"/>
    <n v="5600"/>
    <x v="0"/>
    <n v="25200"/>
    <n v="19500"/>
    <n v="5700"/>
  </r>
  <r>
    <s v="ORD13795"/>
    <x v="1923"/>
    <s v="CUST1446"/>
    <s v="Customer 446"/>
    <x v="3"/>
    <s v="Delhi"/>
    <x v="0"/>
    <s v="Stationery"/>
    <x v="10"/>
    <n v="1"/>
    <n v="280"/>
    <x v="0"/>
    <n v="252"/>
    <n v="160"/>
    <n v="92"/>
  </r>
  <r>
    <s v="ORD12915"/>
    <x v="1924"/>
    <s v="CUST1204"/>
    <s v="Customer 204"/>
    <x v="1"/>
    <s v="Telangana"/>
    <x v="1"/>
    <s v="Kitchen"/>
    <x v="1"/>
    <n v="3"/>
    <n v="1900"/>
    <x v="0"/>
    <n v="5130"/>
    <n v="3750"/>
    <n v="1380"/>
  </r>
  <r>
    <s v="ORD11369"/>
    <x v="1925"/>
    <s v="CUST1482"/>
    <s v="Customer 482"/>
    <x v="1"/>
    <s v="Kerala"/>
    <x v="0"/>
    <s v="Stationery"/>
    <x v="15"/>
    <n v="1"/>
    <n v="450"/>
    <x v="5"/>
    <n v="360"/>
    <n v="260"/>
    <n v="100"/>
  </r>
  <r>
    <s v="ORD13506"/>
    <x v="1926"/>
    <s v="CUST1445"/>
    <s v="Customer 445"/>
    <x v="1"/>
    <s v="Andhra Pradesh"/>
    <x v="2"/>
    <s v="Accessories"/>
    <x v="8"/>
    <n v="5"/>
    <n v="1800"/>
    <x v="2"/>
    <n v="9000"/>
    <n v="5500"/>
    <n v="3500"/>
  </r>
  <r>
    <s v="ORD11943"/>
    <x v="1927"/>
    <s v="CUST1438"/>
    <s v="Customer 438"/>
    <x v="1"/>
    <s v="Andhra Pradesh"/>
    <x v="0"/>
    <s v="Paper"/>
    <x v="3"/>
    <n v="3"/>
    <n v="520"/>
    <x v="2"/>
    <n v="1560"/>
    <n v="990"/>
    <n v="570"/>
  </r>
  <r>
    <s v="ORD12253"/>
    <x v="1928"/>
    <s v="CUST1122"/>
    <s v="Customer 122"/>
    <x v="1"/>
    <s v="Andhra Pradesh"/>
    <x v="1"/>
    <s v="Appliances"/>
    <x v="7"/>
    <n v="4"/>
    <n v="2400"/>
    <x v="4"/>
    <n v="9120"/>
    <n v="6600"/>
    <n v="2520"/>
  </r>
  <r>
    <s v="ORD12743"/>
    <x v="1929"/>
    <s v="CUST1257"/>
    <s v="Customer 257"/>
    <x v="3"/>
    <s v="Delhi"/>
    <x v="2"/>
    <s v="Accessories"/>
    <x v="8"/>
    <n v="2"/>
    <n v="1800"/>
    <x v="4"/>
    <n v="3420"/>
    <n v="2200"/>
    <n v="1220"/>
  </r>
  <r>
    <s v="ORD10178"/>
    <x v="1930"/>
    <s v="CUST1081"/>
    <s v="Customer 081"/>
    <x v="3"/>
    <s v="Punjab"/>
    <x v="0"/>
    <s v="Stationery"/>
    <x v="15"/>
    <n v="4"/>
    <n v="450"/>
    <x v="0"/>
    <n v="1620"/>
    <n v="1040"/>
    <n v="580"/>
  </r>
  <r>
    <s v="ORD13259"/>
    <x v="1931"/>
    <s v="CUST1283"/>
    <s v="Customer 283"/>
    <x v="2"/>
    <s v="Gujarat"/>
    <x v="3"/>
    <s v="Storage"/>
    <x v="14"/>
    <n v="2"/>
    <n v="4800"/>
    <x v="4"/>
    <n v="9120"/>
    <n v="6600"/>
    <n v="2520"/>
  </r>
  <r>
    <s v="ORD13864"/>
    <x v="1932"/>
    <s v="CUST1306"/>
    <s v="Customer 306"/>
    <x v="3"/>
    <s v="Haryana"/>
    <x v="0"/>
    <s v="Stationery"/>
    <x v="10"/>
    <n v="3"/>
    <n v="280"/>
    <x v="4"/>
    <n v="798"/>
    <n v="480"/>
    <n v="318"/>
  </r>
  <r>
    <s v="ORD10146"/>
    <x v="1933"/>
    <s v="CUST1427"/>
    <s v="Customer 427"/>
    <x v="0"/>
    <s v="West Bengal"/>
    <x v="0"/>
    <s v="Paper"/>
    <x v="3"/>
    <n v="3"/>
    <n v="520"/>
    <x v="4"/>
    <n v="1482"/>
    <n v="990"/>
    <n v="492"/>
  </r>
  <r>
    <s v="ORD10525"/>
    <x v="1934"/>
    <s v="CUST1160"/>
    <s v="Customer 160"/>
    <x v="0"/>
    <s v="Bihar"/>
    <x v="2"/>
    <s v="Audio"/>
    <x v="17"/>
    <n v="5"/>
    <n v="2800"/>
    <x v="0"/>
    <n v="12600"/>
    <n v="9000"/>
    <n v="3600"/>
  </r>
  <r>
    <s v="ORD12921"/>
    <x v="1935"/>
    <s v="CUST1163"/>
    <s v="Customer 163"/>
    <x v="1"/>
    <s v="Kerala"/>
    <x v="3"/>
    <s v="Tables"/>
    <x v="16"/>
    <n v="5"/>
    <n v="6200"/>
    <x v="0"/>
    <n v="27900"/>
    <n v="21500"/>
    <n v="6400"/>
  </r>
  <r>
    <s v="ORD11578"/>
    <x v="1936"/>
    <s v="CUST1400"/>
    <s v="Customer 400"/>
    <x v="1"/>
    <s v="Telangana"/>
    <x v="0"/>
    <s v="Accessories"/>
    <x v="0"/>
    <n v="4"/>
    <n v="650"/>
    <x v="3"/>
    <n v="2210"/>
    <n v="1560"/>
    <n v="650"/>
  </r>
  <r>
    <s v="ORD12265"/>
    <x v="1937"/>
    <s v="CUST1053"/>
    <s v="Customer 053"/>
    <x v="3"/>
    <s v="Uttar Pradesh"/>
    <x v="2"/>
    <s v="Accessories"/>
    <x v="9"/>
    <n v="5"/>
    <n v="850"/>
    <x v="3"/>
    <n v="3612.5"/>
    <n v="2800"/>
    <n v="812.5"/>
  </r>
  <r>
    <s v="ORD10601"/>
    <x v="1938"/>
    <s v="CUST1309"/>
    <s v="Customer 309"/>
    <x v="1"/>
    <s v="Andhra Pradesh"/>
    <x v="3"/>
    <s v="Storage"/>
    <x v="14"/>
    <n v="4"/>
    <n v="4800"/>
    <x v="5"/>
    <n v="15360"/>
    <n v="13200"/>
    <n v="2160"/>
  </r>
  <r>
    <s v="ORD13593"/>
    <x v="1939"/>
    <s v="CUST1493"/>
    <s v="Customer 493"/>
    <x v="2"/>
    <s v="Maharashtra"/>
    <x v="1"/>
    <s v="Kitchen"/>
    <x v="2"/>
    <n v="2"/>
    <n v="4200"/>
    <x v="2"/>
    <n v="8400"/>
    <n v="5800"/>
    <n v="2600"/>
  </r>
  <r>
    <s v="ORD12877"/>
    <x v="1940"/>
    <s v="CUST1333"/>
    <s v="Customer 333"/>
    <x v="1"/>
    <s v="Tamil Nadu"/>
    <x v="2"/>
    <s v="Accessories"/>
    <x v="13"/>
    <n v="3"/>
    <n v="1400"/>
    <x v="5"/>
    <n v="3360"/>
    <n v="2700"/>
    <n v="660"/>
  </r>
  <r>
    <s v="ORD10162"/>
    <x v="1941"/>
    <s v="CUST1333"/>
    <s v="Customer 333"/>
    <x v="1"/>
    <s v="Tamil Nadu"/>
    <x v="3"/>
    <s v="Storage"/>
    <x v="6"/>
    <n v="2"/>
    <n v="5600"/>
    <x v="3"/>
    <n v="9520"/>
    <n v="7800"/>
    <n v="1720"/>
  </r>
  <r>
    <s v="ORD10322"/>
    <x v="1942"/>
    <s v="CUST1054"/>
    <s v="Customer 054"/>
    <x v="1"/>
    <s v="Telangana"/>
    <x v="3"/>
    <s v="Chairs"/>
    <x v="12"/>
    <n v="1"/>
    <n v="7500"/>
    <x v="0"/>
    <n v="6750"/>
    <n v="5200"/>
    <n v="1550"/>
  </r>
  <r>
    <s v="ORD13294"/>
    <x v="1943"/>
    <s v="CUST1145"/>
    <s v="Customer 145"/>
    <x v="2"/>
    <s v="Maharashtra"/>
    <x v="3"/>
    <s v="Storage"/>
    <x v="14"/>
    <n v="3"/>
    <n v="4800"/>
    <x v="2"/>
    <n v="14400"/>
    <n v="9900"/>
    <n v="4500"/>
  </r>
  <r>
    <s v="ORD12440"/>
    <x v="1944"/>
    <s v="CUST1034"/>
    <s v="Customer 034"/>
    <x v="1"/>
    <s v="Tamil Nadu"/>
    <x v="3"/>
    <s v="Storage"/>
    <x v="14"/>
    <n v="3"/>
    <n v="4800"/>
    <x v="2"/>
    <n v="14400"/>
    <n v="9900"/>
    <n v="4500"/>
  </r>
  <r>
    <s v="ORD12355"/>
    <x v="1945"/>
    <s v="CUST1155"/>
    <s v="Customer 155"/>
    <x v="0"/>
    <s v="Jharkhand"/>
    <x v="3"/>
    <s v="Storage"/>
    <x v="6"/>
    <n v="3"/>
    <n v="5600"/>
    <x v="2"/>
    <n v="16800"/>
    <n v="11700"/>
    <n v="5100"/>
  </r>
  <r>
    <s v="ORD10997"/>
    <x v="1946"/>
    <s v="CUST1264"/>
    <s v="Customer 264"/>
    <x v="2"/>
    <s v="Maharashtra"/>
    <x v="1"/>
    <s v="Appliances"/>
    <x v="7"/>
    <n v="1"/>
    <n v="2400"/>
    <x v="0"/>
    <n v="2160"/>
    <n v="1650"/>
    <n v="510"/>
  </r>
  <r>
    <s v="ORD10970"/>
    <x v="1947"/>
    <s v="CUST1019"/>
    <s v="Customer 019"/>
    <x v="1"/>
    <s v="Andhra Pradesh"/>
    <x v="3"/>
    <s v="Storage"/>
    <x v="14"/>
    <n v="5"/>
    <n v="4800"/>
    <x v="4"/>
    <n v="22800"/>
    <n v="16500"/>
    <n v="6300"/>
  </r>
  <r>
    <s v="ORD12268"/>
    <x v="1948"/>
    <s v="CUST1364"/>
    <s v="Customer 364"/>
    <x v="3"/>
    <s v="Punjab"/>
    <x v="2"/>
    <s v="Audio"/>
    <x v="17"/>
    <n v="1"/>
    <n v="2800"/>
    <x v="3"/>
    <n v="2380"/>
    <n v="1800"/>
    <n v="580"/>
  </r>
  <r>
    <s v="ORD12448"/>
    <x v="1949"/>
    <s v="CUST1324"/>
    <s v="Customer 324"/>
    <x v="2"/>
    <s v="Maharashtra"/>
    <x v="2"/>
    <s v="Accessories"/>
    <x v="13"/>
    <n v="2"/>
    <n v="1400"/>
    <x v="4"/>
    <n v="2660"/>
    <n v="1800"/>
    <n v="860"/>
  </r>
  <r>
    <s v="ORD11239"/>
    <x v="1950"/>
    <s v="CUST1149"/>
    <s v="Customer 149"/>
    <x v="1"/>
    <s v="Tamil Nadu"/>
    <x v="0"/>
    <s v="Stationery"/>
    <x v="10"/>
    <n v="1"/>
    <n v="280"/>
    <x v="0"/>
    <n v="252"/>
    <n v="160"/>
    <n v="92"/>
  </r>
  <r>
    <s v="ORD13653"/>
    <x v="1951"/>
    <s v="CUST1205"/>
    <s v="Customer 205"/>
    <x v="2"/>
    <s v="Rajasthan"/>
    <x v="0"/>
    <s v="Stationery"/>
    <x v="15"/>
    <n v="2"/>
    <n v="450"/>
    <x v="4"/>
    <n v="855"/>
    <n v="520"/>
    <n v="335"/>
  </r>
  <r>
    <s v="ORD12715"/>
    <x v="1952"/>
    <s v="CUST1254"/>
    <s v="Customer 254"/>
    <x v="2"/>
    <s v="Gujarat"/>
    <x v="0"/>
    <s v="Paper"/>
    <x v="3"/>
    <n v="4"/>
    <n v="520"/>
    <x v="3"/>
    <n v="1768"/>
    <n v="1320"/>
    <n v="448"/>
  </r>
  <r>
    <s v="ORD12130"/>
    <x v="1953"/>
    <s v="CUST1161"/>
    <s v="Customer 161"/>
    <x v="0"/>
    <s v="Odisha"/>
    <x v="3"/>
    <s v="Tables"/>
    <x v="16"/>
    <n v="5"/>
    <n v="6200"/>
    <x v="2"/>
    <n v="31000"/>
    <n v="21500"/>
    <n v="9500"/>
  </r>
  <r>
    <s v="ORD13941"/>
    <x v="1954"/>
    <s v="CUST1273"/>
    <s v="Customer 273"/>
    <x v="3"/>
    <s v="Punjab"/>
    <x v="3"/>
    <s v="Storage"/>
    <x v="6"/>
    <n v="2"/>
    <n v="5600"/>
    <x v="3"/>
    <n v="9520"/>
    <n v="7800"/>
    <n v="1720"/>
  </r>
  <r>
    <s v="ORD11094"/>
    <x v="1955"/>
    <s v="CUST1197"/>
    <s v="Customer 197"/>
    <x v="0"/>
    <s v="West Bengal"/>
    <x v="2"/>
    <s v="Accessories"/>
    <x v="8"/>
    <n v="2"/>
    <n v="1800"/>
    <x v="3"/>
    <n v="3060"/>
    <n v="2200"/>
    <n v="860"/>
  </r>
  <r>
    <s v="ORD12876"/>
    <x v="1956"/>
    <s v="CUST1258"/>
    <s v="Customer 258"/>
    <x v="2"/>
    <s v="Gujarat"/>
    <x v="0"/>
    <s v="Paper"/>
    <x v="3"/>
    <n v="3"/>
    <n v="520"/>
    <x v="0"/>
    <n v="1404"/>
    <n v="990"/>
    <n v="414"/>
  </r>
  <r>
    <s v="ORD10225"/>
    <x v="1957"/>
    <s v="CUST1361"/>
    <s v="Customer 361"/>
    <x v="0"/>
    <s v="Odisha"/>
    <x v="2"/>
    <s v="Monitors"/>
    <x v="11"/>
    <n v="5"/>
    <n v="10500"/>
    <x v="0"/>
    <n v="47250"/>
    <n v="38000"/>
    <n v="9250"/>
  </r>
  <r>
    <s v="ORD11476"/>
    <x v="1958"/>
    <s v="CUST1152"/>
    <s v="Customer 152"/>
    <x v="2"/>
    <s v="Goa"/>
    <x v="1"/>
    <s v="Appliances"/>
    <x v="7"/>
    <n v="5"/>
    <n v="2400"/>
    <x v="5"/>
    <n v="9600"/>
    <n v="8250"/>
    <n v="1350"/>
  </r>
  <r>
    <s v="ORD10209"/>
    <x v="1959"/>
    <s v="CUST1132"/>
    <s v="Customer 132"/>
    <x v="1"/>
    <s v="Telangana"/>
    <x v="0"/>
    <s v="Stationery"/>
    <x v="15"/>
    <n v="3"/>
    <n v="450"/>
    <x v="2"/>
    <n v="1350"/>
    <n v="780"/>
    <n v="570"/>
  </r>
  <r>
    <s v="ORD13543"/>
    <x v="1960"/>
    <s v="CUST1043"/>
    <s v="Customer 043"/>
    <x v="2"/>
    <s v="Maharashtra"/>
    <x v="3"/>
    <s v="Storage"/>
    <x v="6"/>
    <n v="4"/>
    <n v="5600"/>
    <x v="2"/>
    <n v="22400"/>
    <n v="15600"/>
    <n v="6800"/>
  </r>
  <r>
    <s v="ORD10731"/>
    <x v="1961"/>
    <s v="CUST1365"/>
    <s v="Customer 365"/>
    <x v="1"/>
    <s v="Andhra Pradesh"/>
    <x v="2"/>
    <s v="Accessories"/>
    <x v="13"/>
    <n v="4"/>
    <n v="1400"/>
    <x v="5"/>
    <n v="4480"/>
    <n v="3600"/>
    <n v="880"/>
  </r>
  <r>
    <s v="ORD10282"/>
    <x v="1962"/>
    <s v="CUST1244"/>
    <s v="Customer 244"/>
    <x v="1"/>
    <s v="Tamil Nadu"/>
    <x v="0"/>
    <s v="Paper"/>
    <x v="3"/>
    <n v="3"/>
    <n v="520"/>
    <x v="4"/>
    <n v="1482"/>
    <n v="990"/>
    <n v="492"/>
  </r>
  <r>
    <s v="ORD12559"/>
    <x v="1963"/>
    <s v="CUST1016"/>
    <s v="Customer 016"/>
    <x v="1"/>
    <s v="Kerala"/>
    <x v="0"/>
    <s v="Paper"/>
    <x v="3"/>
    <n v="3"/>
    <n v="520"/>
    <x v="3"/>
    <n v="1326"/>
    <n v="990"/>
    <n v="336"/>
  </r>
  <r>
    <s v="ORD11484"/>
    <x v="1964"/>
    <s v="CUST1057"/>
    <s v="Customer 057"/>
    <x v="2"/>
    <s v="Gujarat"/>
    <x v="0"/>
    <s v="Stationery"/>
    <x v="15"/>
    <n v="4"/>
    <n v="450"/>
    <x v="5"/>
    <n v="1440"/>
    <n v="1040"/>
    <n v="400"/>
  </r>
  <r>
    <s v="ORD12468"/>
    <x v="1965"/>
    <s v="CUST1340"/>
    <s v="Customer 340"/>
    <x v="2"/>
    <s v="Gujarat"/>
    <x v="2"/>
    <s v="Audio"/>
    <x v="17"/>
    <n v="4"/>
    <n v="2800"/>
    <x v="4"/>
    <n v="10640"/>
    <n v="7200"/>
    <n v="3440"/>
  </r>
  <r>
    <s v="ORD13149"/>
    <x v="1966"/>
    <s v="CUST1495"/>
    <s v="Customer 495"/>
    <x v="0"/>
    <s v="West Bengal"/>
    <x v="2"/>
    <s v="Audio"/>
    <x v="5"/>
    <n v="4"/>
    <n v="2200"/>
    <x v="3"/>
    <n v="7480"/>
    <n v="5800"/>
    <n v="1680"/>
  </r>
  <r>
    <s v="ORD13515"/>
    <x v="1967"/>
    <s v="CUST1132"/>
    <s v="Customer 132"/>
    <x v="1"/>
    <s v="Kerala"/>
    <x v="2"/>
    <s v="Audio"/>
    <x v="5"/>
    <n v="3"/>
    <n v="2200"/>
    <x v="0"/>
    <n v="5940"/>
    <n v="4350"/>
    <n v="1590"/>
  </r>
  <r>
    <s v="ORD10389"/>
    <x v="1968"/>
    <s v="CUST1446"/>
    <s v="Customer 446"/>
    <x v="3"/>
    <s v="Uttar Pradesh"/>
    <x v="3"/>
    <s v="Tables"/>
    <x v="16"/>
    <n v="3"/>
    <n v="6200"/>
    <x v="3"/>
    <n v="15810"/>
    <n v="12900"/>
    <n v="2910"/>
  </r>
  <r>
    <s v="ORD12850"/>
    <x v="1969"/>
    <s v="CUST1181"/>
    <s v="Customer 181"/>
    <x v="3"/>
    <s v="Haryana"/>
    <x v="3"/>
    <s v="Tables"/>
    <x v="16"/>
    <n v="5"/>
    <n v="6200"/>
    <x v="4"/>
    <n v="29450"/>
    <n v="21500"/>
    <n v="7950"/>
  </r>
  <r>
    <s v="ORD12330"/>
    <x v="1970"/>
    <s v="CUST1074"/>
    <s v="Customer 074"/>
    <x v="0"/>
    <s v="Jharkhand"/>
    <x v="1"/>
    <s v="Kitchen"/>
    <x v="2"/>
    <n v="4"/>
    <n v="4200"/>
    <x v="3"/>
    <n v="14280"/>
    <n v="11600"/>
    <n v="2680"/>
  </r>
  <r>
    <s v="ORD13150"/>
    <x v="1971"/>
    <s v="CUST1055"/>
    <s v="Customer 055"/>
    <x v="1"/>
    <s v="Tamil Nadu"/>
    <x v="0"/>
    <s v="Stationery"/>
    <x v="10"/>
    <n v="3"/>
    <n v="280"/>
    <x v="2"/>
    <n v="840"/>
    <n v="480"/>
    <n v="360"/>
  </r>
  <r>
    <s v="ORD13084"/>
    <x v="1972"/>
    <s v="CUST1121"/>
    <s v="Customer 121"/>
    <x v="1"/>
    <s v="Karnataka"/>
    <x v="0"/>
    <s v="Stationery"/>
    <x v="18"/>
    <n v="1"/>
    <n v="300"/>
    <x v="5"/>
    <n v="240"/>
    <n v="170"/>
    <n v="70"/>
  </r>
  <r>
    <s v="ORD11569"/>
    <x v="1973"/>
    <s v="CUST1455"/>
    <s v="Customer 455"/>
    <x v="3"/>
    <s v="Haryana"/>
    <x v="2"/>
    <s v="Accessories"/>
    <x v="8"/>
    <n v="4"/>
    <n v="1800"/>
    <x v="1"/>
    <n v="5400"/>
    <n v="4400"/>
    <n v="1000"/>
  </r>
  <r>
    <s v="ORD12417"/>
    <x v="1974"/>
    <s v="CUST1310"/>
    <s v="Customer 310"/>
    <x v="2"/>
    <s v="Rajasthan"/>
    <x v="3"/>
    <s v="Chairs"/>
    <x v="12"/>
    <n v="2"/>
    <n v="7500"/>
    <x v="5"/>
    <n v="12000"/>
    <n v="10400"/>
    <n v="1600"/>
  </r>
  <r>
    <s v="ORD13226"/>
    <x v="1975"/>
    <s v="CUST1386"/>
    <s v="Customer 386"/>
    <x v="2"/>
    <s v="Goa"/>
    <x v="2"/>
    <s v="Audio"/>
    <x v="17"/>
    <n v="2"/>
    <n v="2800"/>
    <x v="2"/>
    <n v="5600"/>
    <n v="3600"/>
    <n v="2000"/>
  </r>
  <r>
    <s v="ORD13528"/>
    <x v="1976"/>
    <s v="CUST1046"/>
    <s v="Customer 046"/>
    <x v="1"/>
    <s v="Karnataka"/>
    <x v="0"/>
    <s v="Paper"/>
    <x v="3"/>
    <n v="3"/>
    <n v="520"/>
    <x v="5"/>
    <n v="1248"/>
    <n v="990"/>
    <n v="258"/>
  </r>
  <r>
    <s v="ORD13058"/>
    <x v="1977"/>
    <s v="CUST1074"/>
    <s v="Customer 074"/>
    <x v="2"/>
    <s v="Gujarat"/>
    <x v="2"/>
    <s v="Audio"/>
    <x v="17"/>
    <n v="3"/>
    <n v="2800"/>
    <x v="4"/>
    <n v="7980"/>
    <n v="5400"/>
    <n v="2580"/>
  </r>
  <r>
    <s v="ORD10323"/>
    <x v="1978"/>
    <s v="CUST1308"/>
    <s v="Customer 308"/>
    <x v="1"/>
    <s v="Tamil Nadu"/>
    <x v="2"/>
    <s v="Accessories"/>
    <x v="9"/>
    <n v="1"/>
    <n v="850"/>
    <x v="3"/>
    <n v="722.5"/>
    <n v="560"/>
    <n v="162.5"/>
  </r>
  <r>
    <s v="ORD11985"/>
    <x v="1979"/>
    <s v="CUST1319"/>
    <s v="Customer 319"/>
    <x v="1"/>
    <s v="Telangana"/>
    <x v="0"/>
    <s v="Stationery"/>
    <x v="10"/>
    <n v="4"/>
    <n v="280"/>
    <x v="3"/>
    <n v="952"/>
    <n v="640"/>
    <n v="312"/>
  </r>
  <r>
    <s v="ORD11328"/>
    <x v="1980"/>
    <s v="CUST1043"/>
    <s v="Customer 043"/>
    <x v="3"/>
    <s v="Uttar Pradesh"/>
    <x v="2"/>
    <s v="Monitors"/>
    <x v="11"/>
    <n v="3"/>
    <n v="10500"/>
    <x v="2"/>
    <n v="31500"/>
    <n v="22800"/>
    <n v="8700"/>
  </r>
  <r>
    <s v="ORD12588"/>
    <x v="1981"/>
    <s v="CUST1161"/>
    <s v="Customer 161"/>
    <x v="0"/>
    <s v="West Bengal"/>
    <x v="1"/>
    <s v="Kitchen"/>
    <x v="1"/>
    <n v="2"/>
    <n v="1900"/>
    <x v="0"/>
    <n v="3420"/>
    <n v="2500"/>
    <n v="920"/>
  </r>
  <r>
    <s v="ORD11511"/>
    <x v="1982"/>
    <s v="CUST1167"/>
    <s v="Customer 167"/>
    <x v="0"/>
    <s v="Jharkhand"/>
    <x v="0"/>
    <s v="Stationery"/>
    <x v="15"/>
    <n v="2"/>
    <n v="450"/>
    <x v="4"/>
    <n v="855"/>
    <n v="520"/>
    <n v="335"/>
  </r>
  <r>
    <s v="ORD10083"/>
    <x v="1983"/>
    <s v="CUST1081"/>
    <s v="Customer 081"/>
    <x v="3"/>
    <s v="Uttar Pradesh"/>
    <x v="2"/>
    <s v="Monitors"/>
    <x v="11"/>
    <n v="3"/>
    <n v="10500"/>
    <x v="1"/>
    <n v="23625"/>
    <n v="22800"/>
    <n v="825"/>
  </r>
  <r>
    <s v="ORD11121"/>
    <x v="1984"/>
    <s v="CUST1007"/>
    <s v="Customer 007"/>
    <x v="1"/>
    <s v="Tamil Nadu"/>
    <x v="0"/>
    <s v="Stationery"/>
    <x v="10"/>
    <n v="1"/>
    <n v="280"/>
    <x v="4"/>
    <n v="266"/>
    <n v="160"/>
    <n v="106"/>
  </r>
  <r>
    <s v="ORD11405"/>
    <x v="1985"/>
    <s v="CUST1089"/>
    <s v="Customer 089"/>
    <x v="0"/>
    <s v="Odisha"/>
    <x v="0"/>
    <s v="Paper"/>
    <x v="3"/>
    <n v="5"/>
    <n v="520"/>
    <x v="0"/>
    <n v="2340"/>
    <n v="1650"/>
    <n v="690"/>
  </r>
  <r>
    <s v="ORD12088"/>
    <x v="1986"/>
    <s v="CUST1332"/>
    <s v="Customer 332"/>
    <x v="2"/>
    <s v="Maharashtra"/>
    <x v="1"/>
    <s v="Kitchen"/>
    <x v="4"/>
    <n v="1"/>
    <n v="6800"/>
    <x v="4"/>
    <n v="6460"/>
    <n v="4700"/>
    <n v="1760"/>
  </r>
  <r>
    <s v="ORD10215"/>
    <x v="1987"/>
    <s v="CUST1369"/>
    <s v="Customer 369"/>
    <x v="0"/>
    <s v="West Bengal"/>
    <x v="2"/>
    <s v="Accessories"/>
    <x v="9"/>
    <n v="1"/>
    <n v="850"/>
    <x v="5"/>
    <n v="680"/>
    <n v="560"/>
    <n v="120"/>
  </r>
  <r>
    <s v="ORD10767"/>
    <x v="1988"/>
    <s v="CUST1307"/>
    <s v="Customer 307"/>
    <x v="2"/>
    <s v="Gujarat"/>
    <x v="0"/>
    <s v="Stationery"/>
    <x v="18"/>
    <n v="1"/>
    <n v="300"/>
    <x v="4"/>
    <n v="285"/>
    <n v="170"/>
    <n v="115"/>
  </r>
  <r>
    <s v="ORD13129"/>
    <x v="1989"/>
    <s v="CUST1253"/>
    <s v="Customer 253"/>
    <x v="0"/>
    <s v="West Bengal"/>
    <x v="2"/>
    <s v="Accessories"/>
    <x v="13"/>
    <n v="1"/>
    <n v="1400"/>
    <x v="0"/>
    <n v="1260"/>
    <n v="900"/>
    <n v="360"/>
  </r>
  <r>
    <s v="ORD10199"/>
    <x v="1990"/>
    <s v="CUST1170"/>
    <s v="Customer 170"/>
    <x v="1"/>
    <s v="Karnataka"/>
    <x v="3"/>
    <s v="Tables"/>
    <x v="16"/>
    <n v="2"/>
    <n v="6200"/>
    <x v="5"/>
    <n v="9920"/>
    <n v="8600"/>
    <n v="1320"/>
  </r>
  <r>
    <s v="ORD12123"/>
    <x v="1991"/>
    <s v="CUST1292"/>
    <s v="Customer 292"/>
    <x v="0"/>
    <s v="Jharkhand"/>
    <x v="2"/>
    <s v="Accessories"/>
    <x v="8"/>
    <n v="4"/>
    <n v="1800"/>
    <x v="1"/>
    <n v="5400"/>
    <n v="4400"/>
    <n v="1000"/>
  </r>
  <r>
    <s v="ORD13477"/>
    <x v="1992"/>
    <s v="CUST1274"/>
    <s v="Customer 274"/>
    <x v="1"/>
    <s v="Karnataka"/>
    <x v="2"/>
    <s v="Audio"/>
    <x v="5"/>
    <n v="5"/>
    <n v="2200"/>
    <x v="3"/>
    <n v="9350"/>
    <n v="7250"/>
    <n v="2100"/>
  </r>
  <r>
    <s v="ORD13498"/>
    <x v="1993"/>
    <s v="CUST1239"/>
    <s v="Customer 239"/>
    <x v="1"/>
    <s v="Karnataka"/>
    <x v="1"/>
    <s v="Kitchen"/>
    <x v="1"/>
    <n v="3"/>
    <n v="1900"/>
    <x v="4"/>
    <n v="5415"/>
    <n v="3750"/>
    <n v="1665"/>
  </r>
  <r>
    <s v="ORD13735"/>
    <x v="1994"/>
    <s v="CUST1162"/>
    <s v="Customer 162"/>
    <x v="1"/>
    <s v="Andhra Pradesh"/>
    <x v="1"/>
    <s v="Kitchen"/>
    <x v="2"/>
    <n v="1"/>
    <n v="4200"/>
    <x v="5"/>
    <n v="3360"/>
    <n v="2900"/>
    <n v="460"/>
  </r>
  <r>
    <s v="ORD13133"/>
    <x v="1995"/>
    <s v="CUST1381"/>
    <s v="Customer 381"/>
    <x v="1"/>
    <s v="Andhra Pradesh"/>
    <x v="2"/>
    <s v="Audio"/>
    <x v="5"/>
    <n v="4"/>
    <n v="2200"/>
    <x v="4"/>
    <n v="8360"/>
    <n v="5800"/>
    <n v="2560"/>
  </r>
  <r>
    <s v="ORD13177"/>
    <x v="1996"/>
    <s v="CUST1308"/>
    <s v="Customer 308"/>
    <x v="1"/>
    <s v="Telangana"/>
    <x v="3"/>
    <s v="Storage"/>
    <x v="6"/>
    <n v="3"/>
    <n v="5600"/>
    <x v="2"/>
    <n v="16800"/>
    <n v="11700"/>
    <n v="5100"/>
  </r>
  <r>
    <s v="ORD12894"/>
    <x v="1997"/>
    <s v="CUST1457"/>
    <s v="Customer 457"/>
    <x v="1"/>
    <s v="Telangana"/>
    <x v="3"/>
    <s v="Storage"/>
    <x v="6"/>
    <n v="2"/>
    <n v="5600"/>
    <x v="5"/>
    <n v="8960"/>
    <n v="7800"/>
    <n v="1160"/>
  </r>
  <r>
    <s v="ORD11737"/>
    <x v="1998"/>
    <s v="CUST1252"/>
    <s v="Customer 252"/>
    <x v="1"/>
    <s v="Kerala"/>
    <x v="2"/>
    <s v="Audio"/>
    <x v="5"/>
    <n v="3"/>
    <n v="2200"/>
    <x v="3"/>
    <n v="5610"/>
    <n v="4350"/>
    <n v="1260"/>
  </r>
  <r>
    <s v="ORD13646"/>
    <x v="1999"/>
    <s v="CUST1265"/>
    <s v="Customer 265"/>
    <x v="1"/>
    <s v="Karnataka"/>
    <x v="2"/>
    <s v="Accessories"/>
    <x v="13"/>
    <n v="3"/>
    <n v="1400"/>
    <x v="0"/>
    <n v="3780"/>
    <n v="2700"/>
    <n v="1080"/>
  </r>
  <r>
    <s v="ORD11122"/>
    <x v="2000"/>
    <s v="CUST1043"/>
    <s v="Customer 043"/>
    <x v="1"/>
    <s v="Kerala"/>
    <x v="1"/>
    <s v="Kitchen"/>
    <x v="2"/>
    <n v="4"/>
    <n v="4200"/>
    <x v="4"/>
    <n v="15960"/>
    <n v="11600"/>
    <n v="4360"/>
  </r>
  <r>
    <s v="ORD12691"/>
    <x v="2001"/>
    <s v="CUST1365"/>
    <s v="Customer 365"/>
    <x v="2"/>
    <s v="Goa"/>
    <x v="1"/>
    <s v="Appliances"/>
    <x v="7"/>
    <n v="5"/>
    <n v="2400"/>
    <x v="5"/>
    <n v="9600"/>
    <n v="8250"/>
    <n v="1350"/>
  </r>
  <r>
    <s v="ORD10945"/>
    <x v="2002"/>
    <s v="CUST1065"/>
    <s v="Customer 065"/>
    <x v="1"/>
    <s v="Telangana"/>
    <x v="0"/>
    <s v="Accessories"/>
    <x v="0"/>
    <n v="3"/>
    <n v="650"/>
    <x v="0"/>
    <n v="1755"/>
    <n v="1170"/>
    <n v="585"/>
  </r>
  <r>
    <s v="ORD10057"/>
    <x v="2003"/>
    <s v="CUST1274"/>
    <s v="Customer 274"/>
    <x v="0"/>
    <s v="Bihar"/>
    <x v="0"/>
    <s v="Stationery"/>
    <x v="10"/>
    <n v="4"/>
    <n v="280"/>
    <x v="2"/>
    <n v="1120"/>
    <n v="640"/>
    <n v="480"/>
  </r>
  <r>
    <s v="ORD12106"/>
    <x v="2004"/>
    <s v="CUST1138"/>
    <s v="Customer 138"/>
    <x v="1"/>
    <s v="Karnataka"/>
    <x v="2"/>
    <s v="Accessories"/>
    <x v="9"/>
    <n v="4"/>
    <n v="850"/>
    <x v="0"/>
    <n v="3060"/>
    <n v="2240"/>
    <n v="820"/>
  </r>
  <r>
    <s v="ORD12690"/>
    <x v="2005"/>
    <s v="CUST1492"/>
    <s v="Customer 492"/>
    <x v="3"/>
    <s v="Punjab"/>
    <x v="1"/>
    <s v="Kitchen"/>
    <x v="1"/>
    <n v="1"/>
    <n v="1900"/>
    <x v="0"/>
    <n v="1710"/>
    <n v="1250"/>
    <n v="460"/>
  </r>
  <r>
    <s v="ORD10114"/>
    <x v="2006"/>
    <s v="CUST1230"/>
    <s v="Customer 230"/>
    <x v="2"/>
    <s v="Maharashtra"/>
    <x v="0"/>
    <s v="Paper"/>
    <x v="3"/>
    <n v="5"/>
    <n v="520"/>
    <x v="4"/>
    <n v="2470"/>
    <n v="1650"/>
    <n v="820"/>
  </r>
  <r>
    <s v="ORD11614"/>
    <x v="2007"/>
    <s v="CUST1347"/>
    <s v="Customer 347"/>
    <x v="0"/>
    <s v="Bihar"/>
    <x v="2"/>
    <s v="Accessories"/>
    <x v="8"/>
    <n v="4"/>
    <n v="1800"/>
    <x v="4"/>
    <n v="6840"/>
    <n v="4400"/>
    <n v="2440"/>
  </r>
  <r>
    <s v="ORD12207"/>
    <x v="2008"/>
    <s v="CUST1068"/>
    <s v="Customer 068"/>
    <x v="1"/>
    <s v="Andhra Pradesh"/>
    <x v="3"/>
    <s v="Chairs"/>
    <x v="12"/>
    <n v="4"/>
    <n v="7500"/>
    <x v="1"/>
    <n v="22500"/>
    <n v="20800"/>
    <n v="1700"/>
  </r>
  <r>
    <s v="ORD11095"/>
    <x v="2009"/>
    <s v="CUST1165"/>
    <s v="Customer 165"/>
    <x v="2"/>
    <s v="Maharashtra"/>
    <x v="2"/>
    <s v="Accessories"/>
    <x v="13"/>
    <n v="5"/>
    <n v="1400"/>
    <x v="4"/>
    <n v="6650"/>
    <n v="4500"/>
    <n v="2150"/>
  </r>
  <r>
    <s v="ORD13455"/>
    <x v="2010"/>
    <s v="CUST1410"/>
    <s v="Customer 410"/>
    <x v="0"/>
    <s v="Odisha"/>
    <x v="0"/>
    <s v="Accessories"/>
    <x v="0"/>
    <n v="2"/>
    <n v="650"/>
    <x v="5"/>
    <n v="1040"/>
    <n v="780"/>
    <n v="260"/>
  </r>
  <r>
    <s v="ORD13467"/>
    <x v="2011"/>
    <s v="CUST1270"/>
    <s v="Customer 270"/>
    <x v="3"/>
    <s v="Haryana"/>
    <x v="3"/>
    <s v="Storage"/>
    <x v="14"/>
    <n v="3"/>
    <n v="4800"/>
    <x v="3"/>
    <n v="12240"/>
    <n v="9900"/>
    <n v="2340"/>
  </r>
  <r>
    <s v="ORD11003"/>
    <x v="2012"/>
    <s v="CUST1280"/>
    <s v="Customer 280"/>
    <x v="1"/>
    <s v="Tamil Nadu"/>
    <x v="3"/>
    <s v="Tables"/>
    <x v="16"/>
    <n v="4"/>
    <n v="6200"/>
    <x v="1"/>
    <n v="18600"/>
    <n v="17200"/>
    <n v="1400"/>
  </r>
  <r>
    <s v="ORD13961"/>
    <x v="2013"/>
    <s v="CUST1474"/>
    <s v="Customer 474"/>
    <x v="1"/>
    <s v="Telangana"/>
    <x v="3"/>
    <s v="Storage"/>
    <x v="6"/>
    <n v="4"/>
    <n v="5600"/>
    <x v="4"/>
    <n v="21280"/>
    <n v="15600"/>
    <n v="5680"/>
  </r>
  <r>
    <s v="ORD13074"/>
    <x v="2014"/>
    <s v="CUST1392"/>
    <s v="Customer 392"/>
    <x v="2"/>
    <s v="Goa"/>
    <x v="2"/>
    <s v="Monitors"/>
    <x v="11"/>
    <n v="4"/>
    <n v="10500"/>
    <x v="3"/>
    <n v="35700"/>
    <n v="30400"/>
    <n v="5300"/>
  </r>
  <r>
    <s v="ORD10424"/>
    <x v="2015"/>
    <s v="CUST1291"/>
    <s v="Customer 291"/>
    <x v="1"/>
    <s v="Telangana"/>
    <x v="1"/>
    <s v="Kitchen"/>
    <x v="1"/>
    <n v="3"/>
    <n v="1900"/>
    <x v="0"/>
    <n v="5130"/>
    <n v="3750"/>
    <n v="1380"/>
  </r>
  <r>
    <s v="ORD10054"/>
    <x v="2016"/>
    <s v="CUST1234"/>
    <s v="Customer 234"/>
    <x v="3"/>
    <s v="Delhi"/>
    <x v="0"/>
    <s v="Stationery"/>
    <x v="18"/>
    <n v="5"/>
    <n v="300"/>
    <x v="2"/>
    <n v="1500"/>
    <n v="850"/>
    <n v="650"/>
  </r>
  <r>
    <s v="ORD11638"/>
    <x v="2017"/>
    <s v="CUST1311"/>
    <s v="Customer 311"/>
    <x v="1"/>
    <s v="Tamil Nadu"/>
    <x v="0"/>
    <s v="Paper"/>
    <x v="3"/>
    <n v="5"/>
    <n v="520"/>
    <x v="5"/>
    <n v="2080"/>
    <n v="1650"/>
    <n v="430"/>
  </r>
  <r>
    <s v="ORD11987"/>
    <x v="2018"/>
    <s v="CUST1414"/>
    <s v="Customer 414"/>
    <x v="1"/>
    <s v="Karnataka"/>
    <x v="1"/>
    <s v="Kitchen"/>
    <x v="1"/>
    <n v="1"/>
    <n v="1900"/>
    <x v="3"/>
    <n v="1615"/>
    <n v="1250"/>
    <n v="365"/>
  </r>
  <r>
    <s v="ORD13643"/>
    <x v="2019"/>
    <s v="CUST1465"/>
    <s v="Customer 465"/>
    <x v="3"/>
    <s v="Haryana"/>
    <x v="3"/>
    <s v="Chairs"/>
    <x v="12"/>
    <n v="5"/>
    <n v="7500"/>
    <x v="0"/>
    <n v="33750"/>
    <n v="26000"/>
    <n v="7750"/>
  </r>
  <r>
    <s v="ORD12613"/>
    <x v="2020"/>
    <s v="CUST1091"/>
    <s v="Customer 091"/>
    <x v="3"/>
    <s v="Delhi"/>
    <x v="1"/>
    <s v="Kitchen"/>
    <x v="1"/>
    <n v="5"/>
    <n v="1900"/>
    <x v="4"/>
    <n v="9025"/>
    <n v="6250"/>
    <n v="2775"/>
  </r>
  <r>
    <s v="ORD12593"/>
    <x v="2021"/>
    <s v="CUST1267"/>
    <s v="Customer 267"/>
    <x v="3"/>
    <s v="Haryana"/>
    <x v="0"/>
    <s v="Accessories"/>
    <x v="0"/>
    <n v="1"/>
    <n v="650"/>
    <x v="0"/>
    <n v="585"/>
    <n v="390"/>
    <n v="195"/>
  </r>
  <r>
    <s v="ORD13216"/>
    <x v="2022"/>
    <s v="CUST1133"/>
    <s v="Customer 133"/>
    <x v="2"/>
    <s v="Maharashtra"/>
    <x v="2"/>
    <s v="Accessories"/>
    <x v="8"/>
    <n v="1"/>
    <n v="1800"/>
    <x v="3"/>
    <n v="1530"/>
    <n v="1100"/>
    <n v="430"/>
  </r>
  <r>
    <s v="ORD11244"/>
    <x v="2023"/>
    <s v="CUST1245"/>
    <s v="Customer 245"/>
    <x v="1"/>
    <s v="Karnataka"/>
    <x v="2"/>
    <s v="Monitors"/>
    <x v="11"/>
    <n v="3"/>
    <n v="10500"/>
    <x v="3"/>
    <n v="26775"/>
    <n v="22800"/>
    <n v="3975"/>
  </r>
  <r>
    <s v="ORD12625"/>
    <x v="2024"/>
    <s v="CUST1461"/>
    <s v="Customer 461"/>
    <x v="1"/>
    <s v="Tamil Nadu"/>
    <x v="3"/>
    <s v="Tables"/>
    <x v="16"/>
    <n v="4"/>
    <n v="6200"/>
    <x v="0"/>
    <n v="22320"/>
    <n v="17200"/>
    <n v="5120"/>
  </r>
  <r>
    <s v="ORD11198"/>
    <x v="2025"/>
    <s v="CUST1491"/>
    <s v="Customer 491"/>
    <x v="1"/>
    <s v="Tamil Nadu"/>
    <x v="2"/>
    <s v="Audio"/>
    <x v="17"/>
    <n v="5"/>
    <n v="2800"/>
    <x v="3"/>
    <n v="11900"/>
    <n v="9000"/>
    <n v="2900"/>
  </r>
  <r>
    <s v="ORD12107"/>
    <x v="2026"/>
    <s v="CUST1383"/>
    <s v="Customer 383"/>
    <x v="3"/>
    <s v="Uttar Pradesh"/>
    <x v="2"/>
    <s v="Accessories"/>
    <x v="9"/>
    <n v="1"/>
    <n v="850"/>
    <x v="0"/>
    <n v="765"/>
    <n v="560"/>
    <n v="205"/>
  </r>
  <r>
    <s v="ORD10715"/>
    <x v="2027"/>
    <s v="CUST1461"/>
    <s v="Customer 461"/>
    <x v="3"/>
    <s v="Punjab"/>
    <x v="2"/>
    <s v="Accessories"/>
    <x v="9"/>
    <n v="2"/>
    <n v="850"/>
    <x v="0"/>
    <n v="1530"/>
    <n v="1120"/>
    <n v="410"/>
  </r>
  <r>
    <s v="ORD11874"/>
    <x v="2028"/>
    <s v="CUST1471"/>
    <s v="Customer 471"/>
    <x v="1"/>
    <s v="Andhra Pradesh"/>
    <x v="2"/>
    <s v="Accessories"/>
    <x v="13"/>
    <n v="4"/>
    <n v="1400"/>
    <x v="4"/>
    <n v="5320"/>
    <n v="3600"/>
    <n v="1720"/>
  </r>
  <r>
    <s v="ORD10713"/>
    <x v="2029"/>
    <s v="CUST1364"/>
    <s v="Customer 364"/>
    <x v="1"/>
    <s v="Karnataka"/>
    <x v="0"/>
    <s v="Stationery"/>
    <x v="10"/>
    <n v="3"/>
    <n v="280"/>
    <x v="2"/>
    <n v="840"/>
    <n v="480"/>
    <n v="360"/>
  </r>
  <r>
    <s v="ORD13999"/>
    <x v="2030"/>
    <s v="CUST1366"/>
    <s v="Customer 366"/>
    <x v="3"/>
    <s v="Haryana"/>
    <x v="0"/>
    <s v="Paper"/>
    <x v="3"/>
    <n v="2"/>
    <n v="520"/>
    <x v="0"/>
    <n v="936"/>
    <n v="660"/>
    <n v="276"/>
  </r>
  <r>
    <s v="ORD13769"/>
    <x v="2031"/>
    <s v="CUST1404"/>
    <s v="Customer 404"/>
    <x v="1"/>
    <s v="Tamil Nadu"/>
    <x v="2"/>
    <s v="Audio"/>
    <x v="17"/>
    <n v="4"/>
    <n v="2800"/>
    <x v="1"/>
    <n v="8400"/>
    <n v="7200"/>
    <n v="1200"/>
  </r>
  <r>
    <s v="ORD13264"/>
    <x v="2032"/>
    <s v="CUST1431"/>
    <s v="Customer 431"/>
    <x v="0"/>
    <s v="Bihar"/>
    <x v="2"/>
    <s v="Accessories"/>
    <x v="8"/>
    <n v="5"/>
    <n v="1800"/>
    <x v="4"/>
    <n v="8550"/>
    <n v="5500"/>
    <n v="3050"/>
  </r>
  <r>
    <s v="ORD10393"/>
    <x v="2033"/>
    <s v="CUST1184"/>
    <s v="Customer 184"/>
    <x v="1"/>
    <s v="Kerala"/>
    <x v="3"/>
    <s v="Storage"/>
    <x v="14"/>
    <n v="2"/>
    <n v="4800"/>
    <x v="4"/>
    <n v="9120"/>
    <n v="6600"/>
    <n v="2520"/>
  </r>
  <r>
    <s v="ORD10233"/>
    <x v="2034"/>
    <s v="CUST1010"/>
    <s v="Customer 010"/>
    <x v="1"/>
    <s v="Kerala"/>
    <x v="1"/>
    <s v="Kitchen"/>
    <x v="1"/>
    <n v="1"/>
    <n v="1900"/>
    <x v="3"/>
    <n v="1615"/>
    <n v="1250"/>
    <n v="365"/>
  </r>
  <r>
    <s v="ORD12389"/>
    <x v="2035"/>
    <s v="CUST1478"/>
    <s v="Customer 478"/>
    <x v="3"/>
    <s v="Punjab"/>
    <x v="2"/>
    <s v="Audio"/>
    <x v="17"/>
    <n v="4"/>
    <n v="2800"/>
    <x v="0"/>
    <n v="10080"/>
    <n v="7200"/>
    <n v="2880"/>
  </r>
  <r>
    <s v="ORD12950"/>
    <x v="2036"/>
    <s v="CUST1260"/>
    <s v="Customer 260"/>
    <x v="3"/>
    <s v="Punjab"/>
    <x v="2"/>
    <s v="Audio"/>
    <x v="5"/>
    <n v="3"/>
    <n v="2200"/>
    <x v="2"/>
    <n v="6600"/>
    <n v="4350"/>
    <n v="2250"/>
  </r>
  <r>
    <s v="ORD13136"/>
    <x v="2037"/>
    <s v="CUST1008"/>
    <s v="Customer 008"/>
    <x v="2"/>
    <s v="Goa"/>
    <x v="1"/>
    <s v="Kitchen"/>
    <x v="1"/>
    <n v="3"/>
    <n v="1900"/>
    <x v="0"/>
    <n v="5130"/>
    <n v="3750"/>
    <n v="1380"/>
  </r>
  <r>
    <s v="ORD11678"/>
    <x v="2038"/>
    <s v="CUST1210"/>
    <s v="Customer 210"/>
    <x v="2"/>
    <s v="Rajasthan"/>
    <x v="0"/>
    <s v="Stationery"/>
    <x v="10"/>
    <n v="2"/>
    <n v="280"/>
    <x v="0"/>
    <n v="504"/>
    <n v="320"/>
    <n v="184"/>
  </r>
  <r>
    <s v="ORD11047"/>
    <x v="2039"/>
    <s v="CUST1120"/>
    <s v="Customer 120"/>
    <x v="2"/>
    <s v="Rajasthan"/>
    <x v="2"/>
    <s v="Monitors"/>
    <x v="11"/>
    <n v="5"/>
    <n v="10500"/>
    <x v="0"/>
    <n v="47250"/>
    <n v="38000"/>
    <n v="9250"/>
  </r>
  <r>
    <s v="ORD10200"/>
    <x v="2040"/>
    <s v="CUST1481"/>
    <s v="Customer 481"/>
    <x v="2"/>
    <s v="Maharashtra"/>
    <x v="2"/>
    <s v="Audio"/>
    <x v="17"/>
    <n v="5"/>
    <n v="2800"/>
    <x v="2"/>
    <n v="14000"/>
    <n v="9000"/>
    <n v="5000"/>
  </r>
  <r>
    <s v="ORD12180"/>
    <x v="2041"/>
    <s v="CUST1229"/>
    <s v="Customer 229"/>
    <x v="0"/>
    <s v="Odisha"/>
    <x v="0"/>
    <s v="Stationery"/>
    <x v="18"/>
    <n v="4"/>
    <n v="300"/>
    <x v="3"/>
    <n v="1020"/>
    <n v="680"/>
    <n v="340"/>
  </r>
  <r>
    <s v="ORD11132"/>
    <x v="2042"/>
    <s v="CUST1336"/>
    <s v="Customer 336"/>
    <x v="0"/>
    <s v="Bihar"/>
    <x v="0"/>
    <s v="Stationery"/>
    <x v="15"/>
    <n v="4"/>
    <n v="450"/>
    <x v="5"/>
    <n v="1440"/>
    <n v="1040"/>
    <n v="400"/>
  </r>
  <r>
    <s v="ORD11871"/>
    <x v="2043"/>
    <s v="CUST1022"/>
    <s v="Customer 022"/>
    <x v="1"/>
    <s v="Tamil Nadu"/>
    <x v="2"/>
    <s v="Accessories"/>
    <x v="9"/>
    <n v="3"/>
    <n v="850"/>
    <x v="0"/>
    <n v="2295"/>
    <n v="1680"/>
    <n v="615"/>
  </r>
  <r>
    <s v="ORD13019"/>
    <x v="2044"/>
    <s v="CUST1299"/>
    <s v="Customer 299"/>
    <x v="2"/>
    <s v="Maharashtra"/>
    <x v="2"/>
    <s v="Accessories"/>
    <x v="13"/>
    <n v="4"/>
    <n v="1400"/>
    <x v="4"/>
    <n v="5320"/>
    <n v="3600"/>
    <n v="1720"/>
  </r>
  <r>
    <s v="ORD12739"/>
    <x v="2045"/>
    <s v="CUST1247"/>
    <s v="Customer 247"/>
    <x v="1"/>
    <s v="Andhra Pradesh"/>
    <x v="0"/>
    <s v="Stationery"/>
    <x v="10"/>
    <n v="4"/>
    <n v="280"/>
    <x v="3"/>
    <n v="952"/>
    <n v="640"/>
    <n v="312"/>
  </r>
  <r>
    <s v="ORD11418"/>
    <x v="2046"/>
    <s v="CUST1220"/>
    <s v="Customer 220"/>
    <x v="3"/>
    <s v="Haryana"/>
    <x v="0"/>
    <s v="Paper"/>
    <x v="3"/>
    <n v="4"/>
    <n v="520"/>
    <x v="4"/>
    <n v="1976"/>
    <n v="1320"/>
    <n v="656"/>
  </r>
  <r>
    <s v="ORD13319"/>
    <x v="2047"/>
    <s v="CUST1128"/>
    <s v="Customer 128"/>
    <x v="1"/>
    <s v="Kerala"/>
    <x v="0"/>
    <s v="Paper"/>
    <x v="3"/>
    <n v="2"/>
    <n v="520"/>
    <x v="3"/>
    <n v="884"/>
    <n v="660"/>
    <n v="224"/>
  </r>
  <r>
    <s v="ORD10155"/>
    <x v="2048"/>
    <s v="CUST1218"/>
    <s v="Customer 218"/>
    <x v="2"/>
    <s v="Goa"/>
    <x v="0"/>
    <s v="Paper"/>
    <x v="3"/>
    <n v="5"/>
    <n v="520"/>
    <x v="0"/>
    <n v="2340"/>
    <n v="1650"/>
    <n v="690"/>
  </r>
  <r>
    <s v="ORD12232"/>
    <x v="2049"/>
    <s v="CUST1035"/>
    <s v="Customer 035"/>
    <x v="1"/>
    <s v="Andhra Pradesh"/>
    <x v="0"/>
    <s v="Stationery"/>
    <x v="18"/>
    <n v="5"/>
    <n v="300"/>
    <x v="5"/>
    <n v="1200"/>
    <n v="850"/>
    <n v="350"/>
  </r>
  <r>
    <s v="ORD12585"/>
    <x v="2050"/>
    <s v="CUST1176"/>
    <s v="Customer 176"/>
    <x v="3"/>
    <s v="Delhi"/>
    <x v="3"/>
    <s v="Tables"/>
    <x v="16"/>
    <n v="3"/>
    <n v="6200"/>
    <x v="3"/>
    <n v="15810"/>
    <n v="12900"/>
    <n v="2910"/>
  </r>
  <r>
    <s v="ORD10640"/>
    <x v="2051"/>
    <s v="CUST1475"/>
    <s v="Customer 475"/>
    <x v="1"/>
    <s v="Telangana"/>
    <x v="2"/>
    <s v="Accessories"/>
    <x v="8"/>
    <n v="2"/>
    <n v="1800"/>
    <x v="1"/>
    <n v="2700"/>
    <n v="2200"/>
    <n v="500"/>
  </r>
  <r>
    <s v="ORD11434"/>
    <x v="2052"/>
    <s v="CUST1282"/>
    <s v="Customer 282"/>
    <x v="1"/>
    <s v="Telangana"/>
    <x v="3"/>
    <s v="Storage"/>
    <x v="14"/>
    <n v="3"/>
    <n v="4800"/>
    <x v="2"/>
    <n v="14400"/>
    <n v="9900"/>
    <n v="4500"/>
  </r>
  <r>
    <s v="ORD12952"/>
    <x v="2053"/>
    <s v="CUST1255"/>
    <s v="Customer 255"/>
    <x v="3"/>
    <s v="Haryana"/>
    <x v="1"/>
    <s v="Kitchen"/>
    <x v="4"/>
    <n v="4"/>
    <n v="6800"/>
    <x v="5"/>
    <n v="21760"/>
    <n v="18800"/>
    <n v="2960"/>
  </r>
  <r>
    <s v="ORD10570"/>
    <x v="2054"/>
    <s v="CUST1286"/>
    <s v="Customer 286"/>
    <x v="0"/>
    <s v="Jharkhand"/>
    <x v="0"/>
    <s v="Accessories"/>
    <x v="0"/>
    <n v="4"/>
    <n v="650"/>
    <x v="0"/>
    <n v="2340"/>
    <n v="1560"/>
    <n v="780"/>
  </r>
  <r>
    <s v="ORD13182"/>
    <x v="2055"/>
    <s v="CUST1098"/>
    <s v="Customer 098"/>
    <x v="1"/>
    <s v="Karnataka"/>
    <x v="2"/>
    <s v="Accessories"/>
    <x v="9"/>
    <n v="4"/>
    <n v="850"/>
    <x v="2"/>
    <n v="3400"/>
    <n v="2240"/>
    <n v="1160"/>
  </r>
  <r>
    <s v="ORD13494"/>
    <x v="2056"/>
    <s v="CUST1372"/>
    <s v="Customer 372"/>
    <x v="1"/>
    <s v="Kerala"/>
    <x v="2"/>
    <s v="Accessories"/>
    <x v="8"/>
    <n v="5"/>
    <n v="1800"/>
    <x v="5"/>
    <n v="7200"/>
    <n v="5500"/>
    <n v="1700"/>
  </r>
  <r>
    <s v="ORD11454"/>
    <x v="2057"/>
    <s v="CUST1124"/>
    <s v="Customer 124"/>
    <x v="1"/>
    <s v="Tamil Nadu"/>
    <x v="0"/>
    <s v="Stationery"/>
    <x v="18"/>
    <n v="5"/>
    <n v="300"/>
    <x v="4"/>
    <n v="1425"/>
    <n v="850"/>
    <n v="575"/>
  </r>
  <r>
    <s v="ORD11051"/>
    <x v="2058"/>
    <s v="CUST1255"/>
    <s v="Customer 255"/>
    <x v="0"/>
    <s v="West Bengal"/>
    <x v="2"/>
    <s v="Accessories"/>
    <x v="9"/>
    <n v="2"/>
    <n v="850"/>
    <x v="0"/>
    <n v="1530"/>
    <n v="1120"/>
    <n v="410"/>
  </r>
  <r>
    <s v="ORD11216"/>
    <x v="2059"/>
    <s v="CUST1058"/>
    <s v="Customer 058"/>
    <x v="3"/>
    <s v="Delhi"/>
    <x v="0"/>
    <s v="Stationery"/>
    <x v="18"/>
    <n v="2"/>
    <n v="300"/>
    <x v="5"/>
    <n v="480"/>
    <n v="340"/>
    <n v="140"/>
  </r>
  <r>
    <s v="ORD13682"/>
    <x v="2060"/>
    <s v="CUST1017"/>
    <s v="Customer 017"/>
    <x v="1"/>
    <s v="Andhra Pradesh"/>
    <x v="3"/>
    <s v="Chairs"/>
    <x v="12"/>
    <n v="1"/>
    <n v="7500"/>
    <x v="5"/>
    <n v="6000"/>
    <n v="5200"/>
    <n v="800"/>
  </r>
  <r>
    <s v="ORD10327"/>
    <x v="2061"/>
    <s v="CUST1119"/>
    <s v="Customer 119"/>
    <x v="1"/>
    <s v="Tamil Nadu"/>
    <x v="0"/>
    <s v="Accessories"/>
    <x v="0"/>
    <n v="5"/>
    <n v="650"/>
    <x v="0"/>
    <n v="2925"/>
    <n v="1950"/>
    <n v="975"/>
  </r>
  <r>
    <s v="ORD10751"/>
    <x v="2062"/>
    <s v="CUST1481"/>
    <s v="Customer 481"/>
    <x v="1"/>
    <s v="Telangana"/>
    <x v="0"/>
    <s v="Paper"/>
    <x v="3"/>
    <n v="1"/>
    <n v="520"/>
    <x v="4"/>
    <n v="494"/>
    <n v="330"/>
    <n v="164"/>
  </r>
  <r>
    <s v="ORD12229"/>
    <x v="2063"/>
    <s v="CUST1145"/>
    <s v="Customer 145"/>
    <x v="2"/>
    <s v="Rajasthan"/>
    <x v="2"/>
    <s v="Audio"/>
    <x v="17"/>
    <n v="5"/>
    <n v="2800"/>
    <x v="4"/>
    <n v="13300"/>
    <n v="9000"/>
    <n v="4300"/>
  </r>
  <r>
    <s v="ORD10907"/>
    <x v="2064"/>
    <s v="CUST1206"/>
    <s v="Customer 206"/>
    <x v="0"/>
    <s v="Odisha"/>
    <x v="3"/>
    <s v="Tables"/>
    <x v="16"/>
    <n v="5"/>
    <n v="6200"/>
    <x v="2"/>
    <n v="31000"/>
    <n v="21500"/>
    <n v="9500"/>
  </r>
  <r>
    <s v="ORD13313"/>
    <x v="2065"/>
    <s v="CUST1465"/>
    <s v="Customer 465"/>
    <x v="1"/>
    <s v="Karnataka"/>
    <x v="0"/>
    <s v="Stationery"/>
    <x v="10"/>
    <n v="5"/>
    <n v="280"/>
    <x v="5"/>
    <n v="1120"/>
    <n v="800"/>
    <n v="320"/>
  </r>
  <r>
    <s v="ORD11857"/>
    <x v="2066"/>
    <s v="CUST1188"/>
    <s v="Customer 188"/>
    <x v="3"/>
    <s v="Delhi"/>
    <x v="0"/>
    <s v="Stationery"/>
    <x v="18"/>
    <n v="5"/>
    <n v="300"/>
    <x v="3"/>
    <n v="1275"/>
    <n v="850"/>
    <n v="425"/>
  </r>
  <r>
    <s v="ORD10443"/>
    <x v="2067"/>
    <s v="CUST1067"/>
    <s v="Customer 067"/>
    <x v="1"/>
    <s v="Andhra Pradesh"/>
    <x v="2"/>
    <s v="Audio"/>
    <x v="5"/>
    <n v="2"/>
    <n v="2200"/>
    <x v="2"/>
    <n v="4400"/>
    <n v="2900"/>
    <n v="1500"/>
  </r>
  <r>
    <s v="ORD12759"/>
    <x v="2068"/>
    <s v="CUST1180"/>
    <s v="Customer 180"/>
    <x v="1"/>
    <s v="Kerala"/>
    <x v="1"/>
    <s v="Kitchen"/>
    <x v="2"/>
    <n v="1"/>
    <n v="4200"/>
    <x v="4"/>
    <n v="3990"/>
    <n v="2900"/>
    <n v="1090"/>
  </r>
  <r>
    <s v="ORD11524"/>
    <x v="2069"/>
    <s v="CUST1076"/>
    <s v="Customer 076"/>
    <x v="1"/>
    <s v="Kerala"/>
    <x v="3"/>
    <s v="Storage"/>
    <x v="14"/>
    <n v="4"/>
    <n v="4800"/>
    <x v="0"/>
    <n v="17280"/>
    <n v="13200"/>
    <n v="4080"/>
  </r>
  <r>
    <s v="ORD13950"/>
    <x v="2070"/>
    <s v="CUST1088"/>
    <s v="Customer 088"/>
    <x v="2"/>
    <s v="Rajasthan"/>
    <x v="3"/>
    <s v="Chairs"/>
    <x v="12"/>
    <n v="5"/>
    <n v="7500"/>
    <x v="3"/>
    <n v="31875"/>
    <n v="26000"/>
    <n v="5875"/>
  </r>
  <r>
    <s v="ORD11633"/>
    <x v="2071"/>
    <s v="CUST1046"/>
    <s v="Customer 046"/>
    <x v="2"/>
    <s v="Rajasthan"/>
    <x v="2"/>
    <s v="Accessories"/>
    <x v="8"/>
    <n v="1"/>
    <n v="1800"/>
    <x v="0"/>
    <n v="1620"/>
    <n v="1100"/>
    <n v="520"/>
  </r>
  <r>
    <s v="ORD10774"/>
    <x v="2072"/>
    <s v="CUST1359"/>
    <s v="Customer 359"/>
    <x v="1"/>
    <s v="Karnataka"/>
    <x v="0"/>
    <s v="Stationery"/>
    <x v="15"/>
    <n v="2"/>
    <n v="450"/>
    <x v="0"/>
    <n v="810"/>
    <n v="520"/>
    <n v="290"/>
  </r>
  <r>
    <s v="ORD13348"/>
    <x v="2073"/>
    <s v="CUST1065"/>
    <s v="Customer 065"/>
    <x v="3"/>
    <s v="Punjab"/>
    <x v="2"/>
    <s v="Accessories"/>
    <x v="13"/>
    <n v="2"/>
    <n v="1400"/>
    <x v="5"/>
    <n v="2240"/>
    <n v="1800"/>
    <n v="440"/>
  </r>
  <r>
    <s v="ORD13484"/>
    <x v="2074"/>
    <s v="CUST1116"/>
    <s v="Customer 116"/>
    <x v="1"/>
    <s v="Kerala"/>
    <x v="0"/>
    <s v="Stationery"/>
    <x v="10"/>
    <n v="4"/>
    <n v="280"/>
    <x v="4"/>
    <n v="1064"/>
    <n v="640"/>
    <n v="424"/>
  </r>
  <r>
    <s v="ORD10611"/>
    <x v="2075"/>
    <s v="CUST1417"/>
    <s v="Customer 417"/>
    <x v="0"/>
    <s v="Jharkhand"/>
    <x v="2"/>
    <s v="Accessories"/>
    <x v="9"/>
    <n v="5"/>
    <n v="850"/>
    <x v="0"/>
    <n v="3825"/>
    <n v="2800"/>
    <n v="1025"/>
  </r>
  <r>
    <s v="ORD10540"/>
    <x v="2076"/>
    <s v="CUST1011"/>
    <s v="Customer 011"/>
    <x v="2"/>
    <s v="Maharashtra"/>
    <x v="2"/>
    <s v="Accessories"/>
    <x v="9"/>
    <n v="5"/>
    <n v="850"/>
    <x v="4"/>
    <n v="4037.5"/>
    <n v="2800"/>
    <n v="1237.5"/>
  </r>
  <r>
    <s v="ORD11930"/>
    <x v="2077"/>
    <s v="CUST1477"/>
    <s v="Customer 477"/>
    <x v="0"/>
    <s v="West Bengal"/>
    <x v="3"/>
    <s v="Tables"/>
    <x v="16"/>
    <n v="3"/>
    <n v="6200"/>
    <x v="1"/>
    <n v="13950"/>
    <n v="12900"/>
    <n v="1050"/>
  </r>
  <r>
    <s v="ORD13365"/>
    <x v="2078"/>
    <s v="CUST1081"/>
    <s v="Customer 081"/>
    <x v="0"/>
    <s v="Bihar"/>
    <x v="0"/>
    <s v="Stationery"/>
    <x v="15"/>
    <n v="5"/>
    <n v="450"/>
    <x v="3"/>
    <n v="1912.5"/>
    <n v="1300"/>
    <n v="612.5"/>
  </r>
  <r>
    <s v="ORD11346"/>
    <x v="2079"/>
    <s v="CUST1499"/>
    <s v="Customer 499"/>
    <x v="3"/>
    <s v="Haryana"/>
    <x v="0"/>
    <s v="Stationery"/>
    <x v="15"/>
    <n v="1"/>
    <n v="450"/>
    <x v="0"/>
    <n v="405"/>
    <n v="260"/>
    <n v="145"/>
  </r>
  <r>
    <s v="ORD13508"/>
    <x v="2080"/>
    <s v="CUST1406"/>
    <s v="Customer 406"/>
    <x v="1"/>
    <s v="Andhra Pradesh"/>
    <x v="2"/>
    <s v="Accessories"/>
    <x v="9"/>
    <n v="2"/>
    <n v="850"/>
    <x v="3"/>
    <n v="1445"/>
    <n v="1120"/>
    <n v="325"/>
  </r>
  <r>
    <s v="ORD10402"/>
    <x v="2081"/>
    <s v="CUST1389"/>
    <s v="Customer 389"/>
    <x v="3"/>
    <s v="Haryana"/>
    <x v="2"/>
    <s v="Accessories"/>
    <x v="8"/>
    <n v="2"/>
    <n v="1800"/>
    <x v="0"/>
    <n v="3240"/>
    <n v="2200"/>
    <n v="1040"/>
  </r>
  <r>
    <s v="ORD10087"/>
    <x v="2082"/>
    <s v="CUST1049"/>
    <s v="Customer 049"/>
    <x v="1"/>
    <s v="Andhra Pradesh"/>
    <x v="1"/>
    <s v="Kitchen"/>
    <x v="2"/>
    <n v="1"/>
    <n v="4200"/>
    <x v="4"/>
    <n v="3990"/>
    <n v="2900"/>
    <n v="1090"/>
  </r>
  <r>
    <s v="ORD10675"/>
    <x v="2083"/>
    <s v="CUST1311"/>
    <s v="Customer 311"/>
    <x v="2"/>
    <s v="Goa"/>
    <x v="2"/>
    <s v="Accessories"/>
    <x v="8"/>
    <n v="2"/>
    <n v="1800"/>
    <x v="1"/>
    <n v="2700"/>
    <n v="2200"/>
    <n v="500"/>
  </r>
  <r>
    <s v="ORD13464"/>
    <x v="2084"/>
    <s v="CUST1026"/>
    <s v="Customer 026"/>
    <x v="3"/>
    <s v="Punjab"/>
    <x v="2"/>
    <s v="Audio"/>
    <x v="5"/>
    <n v="1"/>
    <n v="2200"/>
    <x v="5"/>
    <n v="1760"/>
    <n v="1450"/>
    <n v="310"/>
  </r>
  <r>
    <s v="ORD10522"/>
    <x v="2085"/>
    <s v="CUST1074"/>
    <s v="Customer 074"/>
    <x v="2"/>
    <s v="Rajasthan"/>
    <x v="3"/>
    <s v="Tables"/>
    <x v="16"/>
    <n v="1"/>
    <n v="6200"/>
    <x v="2"/>
    <n v="6200"/>
    <n v="4300"/>
    <n v="1900"/>
  </r>
  <r>
    <s v="ORD11927"/>
    <x v="2086"/>
    <s v="CUST1180"/>
    <s v="Customer 180"/>
    <x v="2"/>
    <s v="Gujarat"/>
    <x v="0"/>
    <s v="Stationery"/>
    <x v="15"/>
    <n v="3"/>
    <n v="450"/>
    <x v="3"/>
    <n v="1147.5"/>
    <n v="780"/>
    <n v="367.5"/>
  </r>
  <r>
    <s v="ORD10235"/>
    <x v="2087"/>
    <s v="CUST1247"/>
    <s v="Customer 247"/>
    <x v="3"/>
    <s v="Haryana"/>
    <x v="1"/>
    <s v="Kitchen"/>
    <x v="2"/>
    <n v="1"/>
    <n v="4200"/>
    <x v="3"/>
    <n v="3570"/>
    <n v="2900"/>
    <n v="670"/>
  </r>
  <r>
    <s v="ORD13088"/>
    <x v="2088"/>
    <s v="CUST1089"/>
    <s v="Customer 089"/>
    <x v="1"/>
    <s v="Andhra Pradesh"/>
    <x v="0"/>
    <s v="Paper"/>
    <x v="3"/>
    <n v="2"/>
    <n v="520"/>
    <x v="4"/>
    <n v="988"/>
    <n v="660"/>
    <n v="328"/>
  </r>
  <r>
    <s v="ORD10473"/>
    <x v="2089"/>
    <s v="CUST1217"/>
    <s v="Customer 217"/>
    <x v="3"/>
    <s v="Haryana"/>
    <x v="3"/>
    <s v="Tables"/>
    <x v="16"/>
    <n v="2"/>
    <n v="6200"/>
    <x v="5"/>
    <n v="9920"/>
    <n v="8600"/>
    <n v="1320"/>
  </r>
  <r>
    <s v="ORD12450"/>
    <x v="2090"/>
    <s v="CUST1086"/>
    <s v="Customer 086"/>
    <x v="1"/>
    <s v="Telangana"/>
    <x v="2"/>
    <s v="Audio"/>
    <x v="17"/>
    <n v="4"/>
    <n v="2800"/>
    <x v="0"/>
    <n v="10080"/>
    <n v="7200"/>
    <n v="2880"/>
  </r>
  <r>
    <s v="ORD11738"/>
    <x v="2091"/>
    <s v="CUST1050"/>
    <s v="Customer 050"/>
    <x v="3"/>
    <s v="Haryana"/>
    <x v="2"/>
    <s v="Accessories"/>
    <x v="9"/>
    <n v="1"/>
    <n v="850"/>
    <x v="1"/>
    <n v="637.5"/>
    <n v="560"/>
    <n v="77.5"/>
  </r>
  <r>
    <s v="ORD13186"/>
    <x v="2092"/>
    <s v="CUST1475"/>
    <s v="Customer 475"/>
    <x v="3"/>
    <s v="Uttar Pradesh"/>
    <x v="3"/>
    <s v="Storage"/>
    <x v="14"/>
    <n v="1"/>
    <n v="4800"/>
    <x v="4"/>
    <n v="4560"/>
    <n v="3300"/>
    <n v="1260"/>
  </r>
  <r>
    <s v="ORD11400"/>
    <x v="2093"/>
    <s v="CUST1150"/>
    <s v="Customer 150"/>
    <x v="2"/>
    <s v="Goa"/>
    <x v="0"/>
    <s v="Stationery"/>
    <x v="10"/>
    <n v="5"/>
    <n v="280"/>
    <x v="0"/>
    <n v="1260"/>
    <n v="800"/>
    <n v="460"/>
  </r>
  <r>
    <s v="ORD10911"/>
    <x v="2094"/>
    <s v="CUST1386"/>
    <s v="Customer 386"/>
    <x v="3"/>
    <s v="Uttar Pradesh"/>
    <x v="3"/>
    <s v="Storage"/>
    <x v="6"/>
    <n v="5"/>
    <n v="5600"/>
    <x v="2"/>
    <n v="28000"/>
    <n v="19500"/>
    <n v="8500"/>
  </r>
  <r>
    <s v="ORD10347"/>
    <x v="2095"/>
    <s v="CUST1496"/>
    <s v="Customer 496"/>
    <x v="3"/>
    <s v="Uttar Pradesh"/>
    <x v="0"/>
    <s v="Paper"/>
    <x v="3"/>
    <n v="2"/>
    <n v="520"/>
    <x v="3"/>
    <n v="884"/>
    <n v="660"/>
    <n v="224"/>
  </r>
  <r>
    <s v="ORD12632"/>
    <x v="2096"/>
    <s v="CUST1341"/>
    <s v="Customer 341"/>
    <x v="2"/>
    <s v="Maharashtra"/>
    <x v="2"/>
    <s v="Accessories"/>
    <x v="13"/>
    <n v="5"/>
    <n v="1400"/>
    <x v="0"/>
    <n v="6300"/>
    <n v="4500"/>
    <n v="1800"/>
  </r>
  <r>
    <s v="ORD10338"/>
    <x v="2097"/>
    <s v="CUST1159"/>
    <s v="Customer 159"/>
    <x v="1"/>
    <s v="Karnataka"/>
    <x v="2"/>
    <s v="Accessories"/>
    <x v="13"/>
    <n v="2"/>
    <n v="1400"/>
    <x v="3"/>
    <n v="2380"/>
    <n v="1800"/>
    <n v="580"/>
  </r>
  <r>
    <s v="ORD12846"/>
    <x v="2098"/>
    <s v="CUST1229"/>
    <s v="Customer 229"/>
    <x v="1"/>
    <s v="Karnataka"/>
    <x v="1"/>
    <s v="Appliances"/>
    <x v="7"/>
    <n v="2"/>
    <n v="2400"/>
    <x v="3"/>
    <n v="4080"/>
    <n v="3300"/>
    <n v="780"/>
  </r>
  <r>
    <s v="ORD12437"/>
    <x v="2099"/>
    <s v="CUST1320"/>
    <s v="Customer 320"/>
    <x v="3"/>
    <s v="Uttar Pradesh"/>
    <x v="2"/>
    <s v="Audio"/>
    <x v="5"/>
    <n v="5"/>
    <n v="2200"/>
    <x v="5"/>
    <n v="8800"/>
    <n v="7250"/>
    <n v="1550"/>
  </r>
  <r>
    <s v="ORD12126"/>
    <x v="2100"/>
    <s v="CUST1128"/>
    <s v="Customer 128"/>
    <x v="1"/>
    <s v="Karnataka"/>
    <x v="2"/>
    <s v="Audio"/>
    <x v="17"/>
    <n v="5"/>
    <n v="2800"/>
    <x v="1"/>
    <n v="10500"/>
    <n v="9000"/>
    <n v="1500"/>
  </r>
  <r>
    <s v="ORD11109"/>
    <x v="2101"/>
    <s v="CUST1471"/>
    <s v="Customer 471"/>
    <x v="1"/>
    <s v="Andhra Pradesh"/>
    <x v="0"/>
    <s v="Stationery"/>
    <x v="10"/>
    <n v="2"/>
    <n v="280"/>
    <x v="5"/>
    <n v="448"/>
    <n v="320"/>
    <n v="128"/>
  </r>
  <r>
    <s v="ORD11488"/>
    <x v="2102"/>
    <s v="CUST1001"/>
    <s v="Customer 001"/>
    <x v="3"/>
    <s v="Delhi"/>
    <x v="3"/>
    <s v="Storage"/>
    <x v="14"/>
    <n v="4"/>
    <n v="4800"/>
    <x v="3"/>
    <n v="16320"/>
    <n v="13200"/>
    <n v="3120"/>
  </r>
  <r>
    <s v="ORD13607"/>
    <x v="2103"/>
    <s v="CUST1164"/>
    <s v="Customer 164"/>
    <x v="1"/>
    <s v="Telangana"/>
    <x v="0"/>
    <s v="Stationery"/>
    <x v="15"/>
    <n v="3"/>
    <n v="450"/>
    <x v="0"/>
    <n v="1215"/>
    <n v="780"/>
    <n v="435"/>
  </r>
  <r>
    <s v="ORD10267"/>
    <x v="2104"/>
    <s v="CUST1224"/>
    <s v="Customer 224"/>
    <x v="3"/>
    <s v="Punjab"/>
    <x v="1"/>
    <s v="Kitchen"/>
    <x v="1"/>
    <n v="4"/>
    <n v="1900"/>
    <x v="0"/>
    <n v="6840"/>
    <n v="5000"/>
    <n v="1840"/>
  </r>
  <r>
    <s v="ORD11271"/>
    <x v="2105"/>
    <s v="CUST1185"/>
    <s v="Customer 185"/>
    <x v="0"/>
    <s v="Odisha"/>
    <x v="2"/>
    <s v="Audio"/>
    <x v="17"/>
    <n v="1"/>
    <n v="2800"/>
    <x v="2"/>
    <n v="2800"/>
    <n v="1800"/>
    <n v="1000"/>
  </r>
  <r>
    <s v="ORD12163"/>
    <x v="2106"/>
    <s v="CUST1202"/>
    <s v="Customer 202"/>
    <x v="3"/>
    <s v="Punjab"/>
    <x v="3"/>
    <s v="Tables"/>
    <x v="16"/>
    <n v="2"/>
    <n v="6200"/>
    <x v="0"/>
    <n v="11160"/>
    <n v="8600"/>
    <n v="2560"/>
  </r>
  <r>
    <s v="ORD10107"/>
    <x v="2107"/>
    <s v="CUST1391"/>
    <s v="Customer 391"/>
    <x v="3"/>
    <s v="Uttar Pradesh"/>
    <x v="2"/>
    <s v="Accessories"/>
    <x v="13"/>
    <n v="3"/>
    <n v="1400"/>
    <x v="2"/>
    <n v="4200"/>
    <n v="2700"/>
    <n v="1500"/>
  </r>
  <r>
    <s v="ORD12971"/>
    <x v="2108"/>
    <s v="CUST1306"/>
    <s v="Customer 306"/>
    <x v="2"/>
    <s v="Maharashtra"/>
    <x v="3"/>
    <s v="Storage"/>
    <x v="14"/>
    <n v="2"/>
    <n v="4800"/>
    <x v="1"/>
    <n v="7200"/>
    <n v="6600"/>
    <n v="600"/>
  </r>
  <r>
    <s v="ORD12686"/>
    <x v="2109"/>
    <s v="CUST1241"/>
    <s v="Customer 241"/>
    <x v="1"/>
    <s v="Andhra Pradesh"/>
    <x v="3"/>
    <s v="Chairs"/>
    <x v="12"/>
    <n v="2"/>
    <n v="7500"/>
    <x v="4"/>
    <n v="14250"/>
    <n v="10400"/>
    <n v="3850"/>
  </r>
  <r>
    <s v="ORD10371"/>
    <x v="2110"/>
    <s v="CUST1168"/>
    <s v="Customer 168"/>
    <x v="2"/>
    <s v="Maharashtra"/>
    <x v="3"/>
    <s v="Storage"/>
    <x v="6"/>
    <n v="2"/>
    <n v="5600"/>
    <x v="3"/>
    <n v="9520"/>
    <n v="7800"/>
    <n v="1720"/>
  </r>
  <r>
    <s v="ORD11321"/>
    <x v="2111"/>
    <s v="CUST1058"/>
    <s v="Customer 058"/>
    <x v="1"/>
    <s v="Kerala"/>
    <x v="0"/>
    <s v="Paper"/>
    <x v="3"/>
    <n v="1"/>
    <n v="520"/>
    <x v="4"/>
    <n v="494"/>
    <n v="330"/>
    <n v="164"/>
  </r>
  <r>
    <s v="ORD12164"/>
    <x v="2112"/>
    <s v="CUST1457"/>
    <s v="Customer 457"/>
    <x v="1"/>
    <s v="Andhra Pradesh"/>
    <x v="3"/>
    <s v="Tables"/>
    <x v="16"/>
    <n v="2"/>
    <n v="6200"/>
    <x v="3"/>
    <n v="10540"/>
    <n v="8600"/>
    <n v="1940"/>
  </r>
  <r>
    <s v="ORD10248"/>
    <x v="2113"/>
    <s v="CUST1208"/>
    <s v="Customer 208"/>
    <x v="2"/>
    <s v="Gujarat"/>
    <x v="2"/>
    <s v="Accessories"/>
    <x v="8"/>
    <n v="1"/>
    <n v="1800"/>
    <x v="0"/>
    <n v="1620"/>
    <n v="1100"/>
    <n v="520"/>
  </r>
  <r>
    <s v="ORD13252"/>
    <x v="2114"/>
    <s v="CUST1374"/>
    <s v="Customer 374"/>
    <x v="1"/>
    <s v="Tamil Nadu"/>
    <x v="0"/>
    <s v="Accessories"/>
    <x v="0"/>
    <n v="4"/>
    <n v="650"/>
    <x v="0"/>
    <n v="2340"/>
    <n v="1560"/>
    <n v="780"/>
  </r>
  <r>
    <s v="ORD10354"/>
    <x v="2115"/>
    <s v="CUST1218"/>
    <s v="Customer 218"/>
    <x v="2"/>
    <s v="Goa"/>
    <x v="2"/>
    <s v="Audio"/>
    <x v="5"/>
    <n v="4"/>
    <n v="2200"/>
    <x v="0"/>
    <n v="7920"/>
    <n v="5800"/>
    <n v="2120"/>
  </r>
  <r>
    <s v="ORD11237"/>
    <x v="2116"/>
    <s v="CUST1003"/>
    <s v="Customer 003"/>
    <x v="0"/>
    <s v="Jharkhand"/>
    <x v="3"/>
    <s v="Tables"/>
    <x v="16"/>
    <n v="2"/>
    <n v="6200"/>
    <x v="3"/>
    <n v="10540"/>
    <n v="8600"/>
    <n v="1940"/>
  </r>
  <r>
    <s v="ORD12943"/>
    <x v="2117"/>
    <s v="CUST1382"/>
    <s v="Customer 382"/>
    <x v="2"/>
    <s v="Rajasthan"/>
    <x v="3"/>
    <s v="Storage"/>
    <x v="6"/>
    <n v="3"/>
    <n v="5600"/>
    <x v="1"/>
    <n v="12600"/>
    <n v="11700"/>
    <n v="900"/>
  </r>
  <r>
    <s v="ORD12679"/>
    <x v="2118"/>
    <s v="CUST1290"/>
    <s v="Customer 290"/>
    <x v="1"/>
    <s v="Telangana"/>
    <x v="2"/>
    <s v="Accessories"/>
    <x v="13"/>
    <n v="4"/>
    <n v="1400"/>
    <x v="0"/>
    <n v="5040"/>
    <n v="3600"/>
    <n v="1440"/>
  </r>
  <r>
    <s v="ORD13863"/>
    <x v="2119"/>
    <s v="CUST1124"/>
    <s v="Customer 124"/>
    <x v="2"/>
    <s v="Maharashtra"/>
    <x v="1"/>
    <s v="Appliances"/>
    <x v="7"/>
    <n v="2"/>
    <n v="2400"/>
    <x v="0"/>
    <n v="4320"/>
    <n v="3300"/>
    <n v="1020"/>
  </r>
  <r>
    <s v="ORD13199"/>
    <x v="2120"/>
    <s v="CUST1490"/>
    <s v="Customer 490"/>
    <x v="3"/>
    <s v="Punjab"/>
    <x v="2"/>
    <s v="Audio"/>
    <x v="17"/>
    <n v="4"/>
    <n v="2800"/>
    <x v="3"/>
    <n v="9520"/>
    <n v="7200"/>
    <n v="2320"/>
  </r>
  <r>
    <s v="ORD11256"/>
    <x v="2121"/>
    <s v="CUST1043"/>
    <s v="Customer 043"/>
    <x v="3"/>
    <s v="Haryana"/>
    <x v="2"/>
    <s v="Accessories"/>
    <x v="13"/>
    <n v="3"/>
    <n v="1400"/>
    <x v="2"/>
    <n v="4200"/>
    <n v="2700"/>
    <n v="1500"/>
  </r>
  <r>
    <s v="ORD13221"/>
    <x v="2122"/>
    <s v="CUST1350"/>
    <s v="Customer 350"/>
    <x v="1"/>
    <s v="Kerala"/>
    <x v="3"/>
    <s v="Storage"/>
    <x v="6"/>
    <n v="3"/>
    <n v="5600"/>
    <x v="2"/>
    <n v="16800"/>
    <n v="11700"/>
    <n v="5100"/>
  </r>
  <r>
    <s v="ORD11030"/>
    <x v="2123"/>
    <s v="CUST1168"/>
    <s v="Customer 168"/>
    <x v="1"/>
    <s v="Tamil Nadu"/>
    <x v="2"/>
    <s v="Audio"/>
    <x v="17"/>
    <n v="1"/>
    <n v="2800"/>
    <x v="5"/>
    <n v="2240"/>
    <n v="1800"/>
    <n v="440"/>
  </r>
  <r>
    <s v="ORD13175"/>
    <x v="2124"/>
    <s v="CUST1498"/>
    <s v="Customer 498"/>
    <x v="1"/>
    <s v="Telangana"/>
    <x v="0"/>
    <s v="Paper"/>
    <x v="3"/>
    <n v="5"/>
    <n v="520"/>
    <x v="2"/>
    <n v="2600"/>
    <n v="1650"/>
    <n v="950"/>
  </r>
  <r>
    <s v="ORD11742"/>
    <x v="2125"/>
    <s v="CUST1372"/>
    <s v="Customer 372"/>
    <x v="1"/>
    <s v="Telangana"/>
    <x v="3"/>
    <s v="Storage"/>
    <x v="6"/>
    <n v="5"/>
    <n v="5600"/>
    <x v="3"/>
    <n v="23800"/>
    <n v="19500"/>
    <n v="4300"/>
  </r>
  <r>
    <s v="ORD10334"/>
    <x v="2126"/>
    <s v="CUST1415"/>
    <s v="Customer 415"/>
    <x v="1"/>
    <s v="Telangana"/>
    <x v="0"/>
    <s v="Stationery"/>
    <x v="10"/>
    <n v="4"/>
    <n v="280"/>
    <x v="1"/>
    <n v="840"/>
    <n v="640"/>
    <n v="200"/>
  </r>
  <r>
    <s v="ORD13529"/>
    <x v="2127"/>
    <s v="CUST1094"/>
    <s v="Customer 094"/>
    <x v="0"/>
    <s v="Odisha"/>
    <x v="0"/>
    <s v="Paper"/>
    <x v="3"/>
    <n v="3"/>
    <n v="520"/>
    <x v="3"/>
    <n v="1326"/>
    <n v="990"/>
    <n v="336"/>
  </r>
  <r>
    <s v="ORD13561"/>
    <x v="2128"/>
    <s v="CUST1035"/>
    <s v="Customer 035"/>
    <x v="0"/>
    <s v="West Bengal"/>
    <x v="1"/>
    <s v="Kitchen"/>
    <x v="1"/>
    <n v="3"/>
    <n v="1900"/>
    <x v="4"/>
    <n v="5415"/>
    <n v="3750"/>
    <n v="1665"/>
  </r>
  <r>
    <s v="ORD10082"/>
    <x v="2129"/>
    <s v="CUST1219"/>
    <s v="Customer 219"/>
    <x v="1"/>
    <s v="Kerala"/>
    <x v="0"/>
    <s v="Stationery"/>
    <x v="15"/>
    <n v="5"/>
    <n v="450"/>
    <x v="3"/>
    <n v="1912.5"/>
    <n v="1300"/>
    <n v="612.5"/>
  </r>
  <r>
    <s v="ORD13707"/>
    <x v="2130"/>
    <s v="CUST1079"/>
    <s v="Customer 079"/>
    <x v="0"/>
    <s v="Jharkhand"/>
    <x v="3"/>
    <s v="Storage"/>
    <x v="14"/>
    <n v="4"/>
    <n v="4800"/>
    <x v="3"/>
    <n v="16320"/>
    <n v="13200"/>
    <n v="3120"/>
  </r>
  <r>
    <s v="ORD11092"/>
    <x v="2131"/>
    <s v="CUST1225"/>
    <s v="Customer 225"/>
    <x v="0"/>
    <s v="Jharkhand"/>
    <x v="3"/>
    <s v="Storage"/>
    <x v="6"/>
    <n v="3"/>
    <n v="5600"/>
    <x v="0"/>
    <n v="15120"/>
    <n v="11700"/>
    <n v="3420"/>
  </r>
  <r>
    <s v="ORD11441"/>
    <x v="2132"/>
    <s v="CUST1390"/>
    <s v="Customer 390"/>
    <x v="1"/>
    <s v="Andhra Pradesh"/>
    <x v="0"/>
    <s v="Stationery"/>
    <x v="18"/>
    <n v="2"/>
    <n v="300"/>
    <x v="2"/>
    <n v="600"/>
    <n v="340"/>
    <n v="260"/>
  </r>
  <r>
    <s v="ORD10762"/>
    <x v="2133"/>
    <s v="CUST1277"/>
    <s v="Customer 277"/>
    <x v="0"/>
    <s v="Bihar"/>
    <x v="2"/>
    <s v="Monitors"/>
    <x v="11"/>
    <n v="5"/>
    <n v="10500"/>
    <x v="2"/>
    <n v="52500"/>
    <n v="38000"/>
    <n v="14500"/>
  </r>
  <r>
    <s v="ORD10189"/>
    <x v="2134"/>
    <s v="CUST1120"/>
    <s v="Customer 120"/>
    <x v="1"/>
    <s v="Tamil Nadu"/>
    <x v="0"/>
    <s v="Paper"/>
    <x v="3"/>
    <n v="3"/>
    <n v="520"/>
    <x v="0"/>
    <n v="1404"/>
    <n v="990"/>
    <n v="414"/>
  </r>
  <r>
    <s v="ORD12788"/>
    <x v="2135"/>
    <s v="CUST1030"/>
    <s v="Customer 030"/>
    <x v="3"/>
    <s v="Haryana"/>
    <x v="2"/>
    <s v="Accessories"/>
    <x v="9"/>
    <n v="1"/>
    <n v="850"/>
    <x v="4"/>
    <n v="807.5"/>
    <n v="560"/>
    <n v="247.5"/>
  </r>
  <r>
    <s v="ORD13094"/>
    <x v="2136"/>
    <s v="CUST1121"/>
    <s v="Customer 121"/>
    <x v="1"/>
    <s v="Kerala"/>
    <x v="3"/>
    <s v="Storage"/>
    <x v="6"/>
    <n v="1"/>
    <n v="5600"/>
    <x v="3"/>
    <n v="4760"/>
    <n v="3900"/>
    <n v="860"/>
  </r>
  <r>
    <s v="ORD13482"/>
    <x v="2137"/>
    <s v="CUST1123"/>
    <s v="Customer 123"/>
    <x v="1"/>
    <s v="Kerala"/>
    <x v="0"/>
    <s v="Stationery"/>
    <x v="10"/>
    <n v="1"/>
    <n v="280"/>
    <x v="3"/>
    <n v="238"/>
    <n v="160"/>
    <n v="78"/>
  </r>
  <r>
    <s v="ORD12903"/>
    <x v="2138"/>
    <s v="CUST1432"/>
    <s v="Customer 432"/>
    <x v="1"/>
    <s v="Telangana"/>
    <x v="3"/>
    <s v="Storage"/>
    <x v="14"/>
    <n v="1"/>
    <n v="4800"/>
    <x v="2"/>
    <n v="4800"/>
    <n v="3300"/>
    <n v="1500"/>
  </r>
  <r>
    <s v="ORD11903"/>
    <x v="2139"/>
    <s v="CUST1360"/>
    <s v="Customer 360"/>
    <x v="3"/>
    <s v="Haryana"/>
    <x v="0"/>
    <s v="Paper"/>
    <x v="3"/>
    <n v="2"/>
    <n v="520"/>
    <x v="1"/>
    <n v="780"/>
    <n v="660"/>
    <n v="120"/>
  </r>
  <r>
    <s v="ORD13299"/>
    <x v="2140"/>
    <s v="CUST1270"/>
    <s v="Customer 270"/>
    <x v="1"/>
    <s v="Andhra Pradesh"/>
    <x v="0"/>
    <s v="Stationery"/>
    <x v="18"/>
    <n v="5"/>
    <n v="300"/>
    <x v="3"/>
    <n v="1275"/>
    <n v="850"/>
    <n v="425"/>
  </r>
  <r>
    <s v="ORD11562"/>
    <x v="2141"/>
    <s v="CUST1128"/>
    <s v="Customer 128"/>
    <x v="2"/>
    <s v="Gujarat"/>
    <x v="2"/>
    <s v="Accessories"/>
    <x v="9"/>
    <n v="4"/>
    <n v="850"/>
    <x v="3"/>
    <n v="2890"/>
    <n v="2240"/>
    <n v="650"/>
  </r>
  <r>
    <s v="ORD13827"/>
    <x v="2142"/>
    <s v="CUST1169"/>
    <s v="Customer 169"/>
    <x v="3"/>
    <s v="Punjab"/>
    <x v="3"/>
    <s v="Tables"/>
    <x v="16"/>
    <n v="1"/>
    <n v="6200"/>
    <x v="2"/>
    <n v="6200"/>
    <n v="4300"/>
    <n v="1900"/>
  </r>
  <r>
    <s v="ORD12189"/>
    <x v="2143"/>
    <s v="CUST1231"/>
    <s v="Customer 231"/>
    <x v="1"/>
    <s v="Andhra Pradesh"/>
    <x v="2"/>
    <s v="Audio"/>
    <x v="17"/>
    <n v="1"/>
    <n v="2800"/>
    <x v="3"/>
    <n v="2380"/>
    <n v="1800"/>
    <n v="580"/>
  </r>
  <r>
    <s v="ORD10348"/>
    <x v="2144"/>
    <s v="CUST1469"/>
    <s v="Customer 469"/>
    <x v="3"/>
    <s v="Punjab"/>
    <x v="2"/>
    <s v="Audio"/>
    <x v="17"/>
    <n v="1"/>
    <n v="2800"/>
    <x v="3"/>
    <n v="2380"/>
    <n v="1800"/>
    <n v="580"/>
  </r>
  <r>
    <s v="ORD11580"/>
    <x v="2145"/>
    <s v="CUST1301"/>
    <s v="Customer 301"/>
    <x v="1"/>
    <s v="Andhra Pradesh"/>
    <x v="2"/>
    <s v="Accessories"/>
    <x v="13"/>
    <n v="2"/>
    <n v="1400"/>
    <x v="4"/>
    <n v="2660"/>
    <n v="1800"/>
    <n v="860"/>
  </r>
  <r>
    <s v="ORD10050"/>
    <x v="2146"/>
    <s v="CUST1390"/>
    <s v="Customer 390"/>
    <x v="1"/>
    <s v="Andhra Pradesh"/>
    <x v="0"/>
    <s v="Accessories"/>
    <x v="0"/>
    <n v="5"/>
    <n v="650"/>
    <x v="0"/>
    <n v="2925"/>
    <n v="1950"/>
    <n v="975"/>
  </r>
  <r>
    <s v="ORD10507"/>
    <x v="2147"/>
    <s v="CUST1266"/>
    <s v="Customer 266"/>
    <x v="0"/>
    <s v="Odisha"/>
    <x v="0"/>
    <s v="Stationery"/>
    <x v="18"/>
    <n v="2"/>
    <n v="300"/>
    <x v="3"/>
    <n v="510"/>
    <n v="340"/>
    <n v="170"/>
  </r>
  <r>
    <s v="ORD13210"/>
    <x v="2148"/>
    <s v="CUST1118"/>
    <s v="Customer 118"/>
    <x v="1"/>
    <s v="Andhra Pradesh"/>
    <x v="2"/>
    <s v="Accessories"/>
    <x v="13"/>
    <n v="1"/>
    <n v="1400"/>
    <x v="2"/>
    <n v="1400"/>
    <n v="900"/>
    <n v="500"/>
  </r>
  <r>
    <s v="ORD11276"/>
    <x v="2149"/>
    <s v="CUST1357"/>
    <s v="Customer 357"/>
    <x v="3"/>
    <s v="Haryana"/>
    <x v="2"/>
    <s v="Monitors"/>
    <x v="11"/>
    <n v="5"/>
    <n v="10500"/>
    <x v="2"/>
    <n v="52500"/>
    <n v="38000"/>
    <n v="14500"/>
  </r>
  <r>
    <s v="ORD13489"/>
    <x v="2150"/>
    <s v="CUST1222"/>
    <s v="Customer 222"/>
    <x v="1"/>
    <s v="Karnataka"/>
    <x v="2"/>
    <s v="Accessories"/>
    <x v="8"/>
    <n v="5"/>
    <n v="1800"/>
    <x v="4"/>
    <n v="8550"/>
    <n v="5500"/>
    <n v="3050"/>
  </r>
  <r>
    <s v="ORD12810"/>
    <x v="2151"/>
    <s v="CUST1095"/>
    <s v="Customer 095"/>
    <x v="2"/>
    <s v="Goa"/>
    <x v="1"/>
    <s v="Kitchen"/>
    <x v="1"/>
    <n v="2"/>
    <n v="1900"/>
    <x v="4"/>
    <n v="3610"/>
    <n v="2500"/>
    <n v="1110"/>
  </r>
  <r>
    <s v="ORD13513"/>
    <x v="2152"/>
    <s v="CUST1065"/>
    <s v="Customer 065"/>
    <x v="2"/>
    <s v="Goa"/>
    <x v="0"/>
    <s v="Stationery"/>
    <x v="18"/>
    <n v="3"/>
    <n v="300"/>
    <x v="5"/>
    <n v="720"/>
    <n v="510"/>
    <n v="210"/>
  </r>
  <r>
    <s v="ORD10574"/>
    <x v="2153"/>
    <s v="CUST1025"/>
    <s v="Customer 025"/>
    <x v="3"/>
    <s v="Haryana"/>
    <x v="3"/>
    <s v="Storage"/>
    <x v="14"/>
    <n v="3"/>
    <n v="4800"/>
    <x v="3"/>
    <n v="12240"/>
    <n v="9900"/>
    <n v="2340"/>
  </r>
  <r>
    <s v="ORD10545"/>
    <x v="2154"/>
    <s v="CUST1416"/>
    <s v="Customer 416"/>
    <x v="2"/>
    <s v="Goa"/>
    <x v="3"/>
    <s v="Storage"/>
    <x v="6"/>
    <n v="1"/>
    <n v="5600"/>
    <x v="3"/>
    <n v="4760"/>
    <n v="3900"/>
    <n v="860"/>
  </r>
  <r>
    <s v="ORD10139"/>
    <x v="2155"/>
    <s v="CUST1174"/>
    <s v="Customer 174"/>
    <x v="3"/>
    <s v="Haryana"/>
    <x v="0"/>
    <s v="Stationery"/>
    <x v="18"/>
    <n v="3"/>
    <n v="300"/>
    <x v="0"/>
    <n v="810"/>
    <n v="510"/>
    <n v="300"/>
  </r>
  <r>
    <s v="ORD12309"/>
    <x v="2156"/>
    <s v="CUST1154"/>
    <s v="Customer 154"/>
    <x v="0"/>
    <s v="Jharkhand"/>
    <x v="0"/>
    <s v="Paper"/>
    <x v="3"/>
    <n v="3"/>
    <n v="520"/>
    <x v="5"/>
    <n v="1248"/>
    <n v="990"/>
    <n v="258"/>
  </r>
  <r>
    <s v="ORD11206"/>
    <x v="2157"/>
    <s v="CUST1452"/>
    <s v="Customer 452"/>
    <x v="1"/>
    <s v="Karnataka"/>
    <x v="1"/>
    <s v="Appliances"/>
    <x v="7"/>
    <n v="1"/>
    <n v="2400"/>
    <x v="3"/>
    <n v="2040"/>
    <n v="1650"/>
    <n v="390"/>
  </r>
  <r>
    <s v="ORD13015"/>
    <x v="2158"/>
    <s v="CUST1245"/>
    <s v="Customer 245"/>
    <x v="1"/>
    <s v="Telangana"/>
    <x v="1"/>
    <s v="Kitchen"/>
    <x v="2"/>
    <n v="1"/>
    <n v="4200"/>
    <x v="5"/>
    <n v="3360"/>
    <n v="2900"/>
    <n v="460"/>
  </r>
  <r>
    <s v="ORD13934"/>
    <x v="2159"/>
    <s v="CUST1365"/>
    <s v="Customer 365"/>
    <x v="1"/>
    <s v="Kerala"/>
    <x v="0"/>
    <s v="Stationery"/>
    <x v="10"/>
    <n v="5"/>
    <n v="280"/>
    <x v="4"/>
    <n v="1330"/>
    <n v="800"/>
    <n v="530"/>
  </r>
  <r>
    <s v="ORD10433"/>
    <x v="2160"/>
    <s v="CUST1413"/>
    <s v="Customer 413"/>
    <x v="2"/>
    <s v="Goa"/>
    <x v="1"/>
    <s v="Appliances"/>
    <x v="7"/>
    <n v="5"/>
    <n v="2400"/>
    <x v="0"/>
    <n v="10800"/>
    <n v="8250"/>
    <n v="2550"/>
  </r>
  <r>
    <s v="ORD12270"/>
    <x v="2161"/>
    <s v="CUST1489"/>
    <s v="Customer 489"/>
    <x v="3"/>
    <s v="Punjab"/>
    <x v="2"/>
    <s v="Accessories"/>
    <x v="9"/>
    <n v="2"/>
    <n v="850"/>
    <x v="4"/>
    <n v="1615"/>
    <n v="1120"/>
    <n v="495"/>
  </r>
  <r>
    <s v="ORD13395"/>
    <x v="2162"/>
    <s v="CUST1169"/>
    <s v="Customer 169"/>
    <x v="2"/>
    <s v="Goa"/>
    <x v="1"/>
    <s v="Kitchen"/>
    <x v="4"/>
    <n v="1"/>
    <n v="6800"/>
    <x v="0"/>
    <n v="6120"/>
    <n v="4700"/>
    <n v="1420"/>
  </r>
  <r>
    <s v="ORD10301"/>
    <x v="2163"/>
    <s v="CUST1182"/>
    <s v="Customer 182"/>
    <x v="0"/>
    <s v="Jharkhand"/>
    <x v="0"/>
    <s v="Stationery"/>
    <x v="10"/>
    <n v="4"/>
    <n v="280"/>
    <x v="3"/>
    <n v="952"/>
    <n v="640"/>
    <n v="312"/>
  </r>
  <r>
    <s v="ORD12924"/>
    <x v="2164"/>
    <s v="CUST1271"/>
    <s v="Customer 271"/>
    <x v="0"/>
    <s v="Bihar"/>
    <x v="3"/>
    <s v="Tables"/>
    <x v="16"/>
    <n v="2"/>
    <n v="6200"/>
    <x v="0"/>
    <n v="11160"/>
    <n v="8600"/>
    <n v="2560"/>
  </r>
  <r>
    <s v="ORD10600"/>
    <x v="2165"/>
    <s v="CUST1322"/>
    <s v="Customer 322"/>
    <x v="0"/>
    <s v="Jharkhand"/>
    <x v="3"/>
    <s v="Chairs"/>
    <x v="12"/>
    <n v="3"/>
    <n v="7500"/>
    <x v="0"/>
    <n v="20250"/>
    <n v="15600"/>
    <n v="4650"/>
  </r>
  <r>
    <s v="ORD13039"/>
    <x v="2166"/>
    <s v="CUST1142"/>
    <s v="Customer 142"/>
    <x v="0"/>
    <s v="Bihar"/>
    <x v="3"/>
    <s v="Storage"/>
    <x v="6"/>
    <n v="5"/>
    <n v="5600"/>
    <x v="4"/>
    <n v="26600"/>
    <n v="19500"/>
    <n v="7100"/>
  </r>
  <r>
    <s v="ORD12282"/>
    <x v="2167"/>
    <s v="CUST1177"/>
    <s v="Customer 177"/>
    <x v="1"/>
    <s v="Kerala"/>
    <x v="1"/>
    <s v="Kitchen"/>
    <x v="4"/>
    <n v="5"/>
    <n v="6800"/>
    <x v="0"/>
    <n v="30600"/>
    <n v="23500"/>
    <n v="7100"/>
  </r>
  <r>
    <s v="ORD13043"/>
    <x v="2168"/>
    <s v="CUST1165"/>
    <s v="Customer 165"/>
    <x v="1"/>
    <s v="Kerala"/>
    <x v="0"/>
    <s v="Stationery"/>
    <x v="18"/>
    <n v="2"/>
    <n v="300"/>
    <x v="5"/>
    <n v="480"/>
    <n v="340"/>
    <n v="140"/>
  </r>
  <r>
    <s v="ORD11774"/>
    <x v="2169"/>
    <s v="CUST1198"/>
    <s v="Customer 198"/>
    <x v="3"/>
    <s v="Punjab"/>
    <x v="3"/>
    <s v="Tables"/>
    <x v="16"/>
    <n v="4"/>
    <n v="6200"/>
    <x v="3"/>
    <n v="21080"/>
    <n v="17200"/>
    <n v="3880"/>
  </r>
  <r>
    <s v="ORD11526"/>
    <x v="2170"/>
    <s v="CUST1024"/>
    <s v="Customer 024"/>
    <x v="2"/>
    <s v="Rajasthan"/>
    <x v="0"/>
    <s v="Stationery"/>
    <x v="10"/>
    <n v="2"/>
    <n v="280"/>
    <x v="3"/>
    <n v="476"/>
    <n v="320"/>
    <n v="156"/>
  </r>
  <r>
    <s v="ORD12358"/>
    <x v="2171"/>
    <s v="CUST1110"/>
    <s v="Customer 110"/>
    <x v="1"/>
    <s v="Andhra Pradesh"/>
    <x v="0"/>
    <s v="Paper"/>
    <x v="3"/>
    <n v="5"/>
    <n v="520"/>
    <x v="1"/>
    <n v="1950"/>
    <n v="1650"/>
    <n v="300"/>
  </r>
  <r>
    <s v="ORD10129"/>
    <x v="2172"/>
    <s v="CUST1288"/>
    <s v="Customer 288"/>
    <x v="1"/>
    <s v="Andhra Pradesh"/>
    <x v="0"/>
    <s v="Stationery"/>
    <x v="15"/>
    <n v="4"/>
    <n v="450"/>
    <x v="1"/>
    <n v="1350"/>
    <n v="1040"/>
    <n v="310"/>
  </r>
  <r>
    <s v="ORD12009"/>
    <x v="2173"/>
    <s v="CUST1394"/>
    <s v="Customer 394"/>
    <x v="1"/>
    <s v="Tamil Nadu"/>
    <x v="2"/>
    <s v="Accessories"/>
    <x v="8"/>
    <n v="5"/>
    <n v="1800"/>
    <x v="3"/>
    <n v="7650"/>
    <n v="5500"/>
    <n v="2150"/>
  </r>
  <r>
    <s v="ORD11779"/>
    <x v="2174"/>
    <s v="CUST1154"/>
    <s v="Customer 154"/>
    <x v="3"/>
    <s v="Punjab"/>
    <x v="0"/>
    <s v="Stationery"/>
    <x v="10"/>
    <n v="2"/>
    <n v="280"/>
    <x v="2"/>
    <n v="560"/>
    <n v="320"/>
    <n v="240"/>
  </r>
  <r>
    <s v="ORD12301"/>
    <x v="2175"/>
    <s v="CUST1134"/>
    <s v="Customer 134"/>
    <x v="2"/>
    <s v="Maharashtra"/>
    <x v="2"/>
    <s v="Accessories"/>
    <x v="13"/>
    <n v="5"/>
    <n v="1400"/>
    <x v="1"/>
    <n v="5250"/>
    <n v="4500"/>
    <n v="750"/>
  </r>
  <r>
    <s v="ORD12675"/>
    <x v="2176"/>
    <s v="CUST1466"/>
    <s v="Customer 466"/>
    <x v="2"/>
    <s v="Rajasthan"/>
    <x v="1"/>
    <s v="Appliances"/>
    <x v="7"/>
    <n v="2"/>
    <n v="2400"/>
    <x v="0"/>
    <n v="4320"/>
    <n v="3300"/>
    <n v="1020"/>
  </r>
  <r>
    <s v="ORD12154"/>
    <x v="2177"/>
    <s v="CUST1273"/>
    <s v="Customer 273"/>
    <x v="2"/>
    <s v="Maharashtra"/>
    <x v="3"/>
    <s v="Tables"/>
    <x v="16"/>
    <n v="1"/>
    <n v="6200"/>
    <x v="5"/>
    <n v="4960"/>
    <n v="4300"/>
    <n v="660"/>
  </r>
  <r>
    <s v="ORD11882"/>
    <x v="2178"/>
    <s v="CUST1133"/>
    <s v="Customer 133"/>
    <x v="0"/>
    <s v="Bihar"/>
    <x v="2"/>
    <s v="Monitors"/>
    <x v="11"/>
    <n v="5"/>
    <n v="10500"/>
    <x v="4"/>
    <n v="49875"/>
    <n v="38000"/>
    <n v="11875"/>
  </r>
  <r>
    <s v="ORD13604"/>
    <x v="2179"/>
    <s v="CUST1312"/>
    <s v="Customer 312"/>
    <x v="0"/>
    <s v="Jharkhand"/>
    <x v="1"/>
    <s v="Appliances"/>
    <x v="7"/>
    <n v="5"/>
    <n v="2400"/>
    <x v="0"/>
    <n v="10800"/>
    <n v="8250"/>
    <n v="2550"/>
  </r>
  <r>
    <s v="ORD12371"/>
    <x v="2180"/>
    <s v="CUST1022"/>
    <s v="Customer 022"/>
    <x v="1"/>
    <s v="Tamil Nadu"/>
    <x v="2"/>
    <s v="Accessories"/>
    <x v="9"/>
    <n v="1"/>
    <n v="850"/>
    <x v="3"/>
    <n v="722.5"/>
    <n v="560"/>
    <n v="162.5"/>
  </r>
  <r>
    <s v="ORD13220"/>
    <x v="2181"/>
    <s v="CUST1217"/>
    <s v="Customer 217"/>
    <x v="1"/>
    <s v="Andhra Pradesh"/>
    <x v="0"/>
    <s v="Paper"/>
    <x v="3"/>
    <n v="3"/>
    <n v="520"/>
    <x v="0"/>
    <n v="1404"/>
    <n v="990"/>
    <n v="414"/>
  </r>
  <r>
    <s v="ORD11479"/>
    <x v="2182"/>
    <s v="CUST1116"/>
    <s v="Customer 116"/>
    <x v="0"/>
    <s v="Odisha"/>
    <x v="2"/>
    <s v="Monitors"/>
    <x v="11"/>
    <n v="5"/>
    <n v="10500"/>
    <x v="4"/>
    <n v="49875"/>
    <n v="38000"/>
    <n v="11875"/>
  </r>
  <r>
    <s v="ORD13130"/>
    <x v="2183"/>
    <s v="CUST1396"/>
    <s v="Customer 396"/>
    <x v="0"/>
    <s v="Odisha"/>
    <x v="0"/>
    <s v="Accessories"/>
    <x v="0"/>
    <n v="4"/>
    <n v="650"/>
    <x v="2"/>
    <n v="2600"/>
    <n v="1560"/>
    <n v="1040"/>
  </r>
  <r>
    <s v="ORD12272"/>
    <x v="2184"/>
    <s v="CUST1160"/>
    <s v="Customer 160"/>
    <x v="2"/>
    <s v="Goa"/>
    <x v="1"/>
    <s v="Appliances"/>
    <x v="7"/>
    <n v="5"/>
    <n v="2400"/>
    <x v="3"/>
    <n v="10200"/>
    <n v="8250"/>
    <n v="1950"/>
  </r>
  <r>
    <s v="ORD12668"/>
    <x v="2185"/>
    <s v="CUST1483"/>
    <s v="Customer 483"/>
    <x v="1"/>
    <s v="Telangana"/>
    <x v="2"/>
    <s v="Accessories"/>
    <x v="13"/>
    <n v="5"/>
    <n v="1400"/>
    <x v="1"/>
    <n v="5250"/>
    <n v="4500"/>
    <n v="750"/>
  </r>
  <r>
    <s v="ORD11664"/>
    <x v="2186"/>
    <s v="CUST1277"/>
    <s v="Customer 277"/>
    <x v="3"/>
    <s v="Haryana"/>
    <x v="1"/>
    <s v="Kitchen"/>
    <x v="4"/>
    <n v="4"/>
    <n v="6800"/>
    <x v="0"/>
    <n v="24480"/>
    <n v="18800"/>
    <n v="5680"/>
  </r>
  <r>
    <s v="ORD12108"/>
    <x v="2187"/>
    <s v="CUST1070"/>
    <s v="Customer 070"/>
    <x v="3"/>
    <s v="Punjab"/>
    <x v="1"/>
    <s v="Kitchen"/>
    <x v="2"/>
    <n v="2"/>
    <n v="4200"/>
    <x v="3"/>
    <n v="7140"/>
    <n v="5800"/>
    <n v="1340"/>
  </r>
  <r>
    <s v="ORD10844"/>
    <x v="2188"/>
    <s v="CUST1019"/>
    <s v="Customer 019"/>
    <x v="1"/>
    <s v="Kerala"/>
    <x v="0"/>
    <s v="Paper"/>
    <x v="3"/>
    <n v="4"/>
    <n v="520"/>
    <x v="2"/>
    <n v="2080"/>
    <n v="1320"/>
    <n v="760"/>
  </r>
  <r>
    <s v="ORD12527"/>
    <x v="2189"/>
    <s v="CUST1235"/>
    <s v="Customer 235"/>
    <x v="3"/>
    <s v="Delhi"/>
    <x v="1"/>
    <s v="Kitchen"/>
    <x v="4"/>
    <n v="1"/>
    <n v="6800"/>
    <x v="5"/>
    <n v="5440"/>
    <n v="4700"/>
    <n v="740"/>
  </r>
  <r>
    <s v="ORD10148"/>
    <x v="2190"/>
    <s v="CUST1117"/>
    <s v="Customer 117"/>
    <x v="0"/>
    <s v="West Bengal"/>
    <x v="2"/>
    <s v="Accessories"/>
    <x v="9"/>
    <n v="2"/>
    <n v="850"/>
    <x v="5"/>
    <n v="1360"/>
    <n v="1120"/>
    <n v="240"/>
  </r>
  <r>
    <s v="ORD12252"/>
    <x v="2191"/>
    <s v="CUST1277"/>
    <s v="Customer 277"/>
    <x v="1"/>
    <s v="Andhra Pradesh"/>
    <x v="1"/>
    <s v="Kitchen"/>
    <x v="1"/>
    <n v="5"/>
    <n v="1900"/>
    <x v="5"/>
    <n v="7600"/>
    <n v="6250"/>
    <n v="1350"/>
  </r>
  <r>
    <s v="ORD12736"/>
    <x v="2192"/>
    <s v="CUST1070"/>
    <s v="Customer 070"/>
    <x v="3"/>
    <s v="Uttar Pradesh"/>
    <x v="3"/>
    <s v="Tables"/>
    <x v="16"/>
    <n v="1"/>
    <n v="6200"/>
    <x v="3"/>
    <n v="5270"/>
    <n v="4300"/>
    <n v="970"/>
  </r>
  <r>
    <s v="ORD11585"/>
    <x v="2193"/>
    <s v="CUST1318"/>
    <s v="Customer 318"/>
    <x v="0"/>
    <s v="West Bengal"/>
    <x v="0"/>
    <s v="Stationery"/>
    <x v="15"/>
    <n v="1"/>
    <n v="450"/>
    <x v="4"/>
    <n v="427.5"/>
    <n v="260"/>
    <n v="167.5"/>
  </r>
  <r>
    <s v="ORD11956"/>
    <x v="2194"/>
    <s v="CUST1201"/>
    <s v="Customer 201"/>
    <x v="2"/>
    <s v="Maharashtra"/>
    <x v="3"/>
    <s v="Tables"/>
    <x v="16"/>
    <n v="4"/>
    <n v="6200"/>
    <x v="1"/>
    <n v="18600"/>
    <n v="17200"/>
    <n v="1400"/>
  </r>
  <r>
    <s v="ORD12813"/>
    <x v="2195"/>
    <s v="CUST1099"/>
    <s v="Customer 099"/>
    <x v="2"/>
    <s v="Maharashtra"/>
    <x v="2"/>
    <s v="Audio"/>
    <x v="17"/>
    <n v="1"/>
    <n v="2800"/>
    <x v="4"/>
    <n v="2660"/>
    <n v="1800"/>
    <n v="860"/>
  </r>
  <r>
    <s v="ORD12244"/>
    <x v="2196"/>
    <s v="CUST1056"/>
    <s v="Customer 056"/>
    <x v="2"/>
    <s v="Maharashtra"/>
    <x v="2"/>
    <s v="Audio"/>
    <x v="17"/>
    <n v="2"/>
    <n v="2800"/>
    <x v="3"/>
    <n v="4760"/>
    <n v="3600"/>
    <n v="1160"/>
  </r>
  <r>
    <s v="ORD13081"/>
    <x v="2197"/>
    <s v="CUST1220"/>
    <s v="Customer 220"/>
    <x v="1"/>
    <s v="Kerala"/>
    <x v="0"/>
    <s v="Stationery"/>
    <x v="15"/>
    <n v="5"/>
    <n v="450"/>
    <x v="0"/>
    <n v="2025"/>
    <n v="1300"/>
    <n v="725"/>
  </r>
  <r>
    <s v="ORD13924"/>
    <x v="2198"/>
    <s v="CUST1209"/>
    <s v="Customer 209"/>
    <x v="1"/>
    <s v="Karnataka"/>
    <x v="0"/>
    <s v="Paper"/>
    <x v="3"/>
    <n v="5"/>
    <n v="520"/>
    <x v="5"/>
    <n v="2080"/>
    <n v="1650"/>
    <n v="430"/>
  </r>
  <r>
    <s v="ORD13906"/>
    <x v="2199"/>
    <s v="CUST1382"/>
    <s v="Customer 382"/>
    <x v="0"/>
    <s v="Jharkhand"/>
    <x v="0"/>
    <s v="Stationery"/>
    <x v="18"/>
    <n v="1"/>
    <n v="300"/>
    <x v="0"/>
    <n v="270"/>
    <n v="170"/>
    <n v="100"/>
  </r>
  <r>
    <s v="ORD13814"/>
    <x v="2200"/>
    <s v="CUST1222"/>
    <s v="Customer 222"/>
    <x v="3"/>
    <s v="Haryana"/>
    <x v="1"/>
    <s v="Kitchen"/>
    <x v="2"/>
    <n v="4"/>
    <n v="4200"/>
    <x v="3"/>
    <n v="14280"/>
    <n v="11600"/>
    <n v="2680"/>
  </r>
  <r>
    <s v="ORD13036"/>
    <x v="2201"/>
    <s v="CUST1479"/>
    <s v="Customer 479"/>
    <x v="1"/>
    <s v="Telangana"/>
    <x v="1"/>
    <s v="Kitchen"/>
    <x v="1"/>
    <n v="1"/>
    <n v="1900"/>
    <x v="2"/>
    <n v="1900"/>
    <n v="1250"/>
    <n v="650"/>
  </r>
  <r>
    <s v="ORD10290"/>
    <x v="2202"/>
    <s v="CUST1237"/>
    <s v="Customer 237"/>
    <x v="1"/>
    <s v="Telangana"/>
    <x v="2"/>
    <s v="Audio"/>
    <x v="5"/>
    <n v="4"/>
    <n v="2200"/>
    <x v="5"/>
    <n v="7040"/>
    <n v="5800"/>
    <n v="1240"/>
  </r>
  <r>
    <s v="ORD10127"/>
    <x v="2203"/>
    <s v="CUST1040"/>
    <s v="Customer 040"/>
    <x v="1"/>
    <s v="Andhra Pradesh"/>
    <x v="3"/>
    <s v="Tables"/>
    <x v="16"/>
    <n v="3"/>
    <n v="6200"/>
    <x v="4"/>
    <n v="17670"/>
    <n v="12900"/>
    <n v="4770"/>
  </r>
  <r>
    <s v="ORD10366"/>
    <x v="2204"/>
    <s v="CUST1260"/>
    <s v="Customer 260"/>
    <x v="3"/>
    <s v="Uttar Pradesh"/>
    <x v="1"/>
    <s v="Appliances"/>
    <x v="7"/>
    <n v="3"/>
    <n v="2400"/>
    <x v="0"/>
    <n v="6480"/>
    <n v="4950"/>
    <n v="1530"/>
  </r>
  <r>
    <s v="ORD10401"/>
    <x v="2205"/>
    <s v="CUST1500"/>
    <s v="Customer 500"/>
    <x v="2"/>
    <s v="Maharashtra"/>
    <x v="3"/>
    <s v="Storage"/>
    <x v="14"/>
    <n v="3"/>
    <n v="4800"/>
    <x v="3"/>
    <n v="12240"/>
    <n v="9900"/>
    <n v="2340"/>
  </r>
  <r>
    <s v="ORD13902"/>
    <x v="2206"/>
    <s v="CUST1476"/>
    <s v="Customer 476"/>
    <x v="1"/>
    <s v="Telangana"/>
    <x v="3"/>
    <s v="Storage"/>
    <x v="6"/>
    <n v="5"/>
    <n v="5600"/>
    <x v="4"/>
    <n v="26600"/>
    <n v="19500"/>
    <n v="7100"/>
  </r>
  <r>
    <s v="ORD11645"/>
    <x v="2207"/>
    <s v="CUST1067"/>
    <s v="Customer 067"/>
    <x v="1"/>
    <s v="Karnataka"/>
    <x v="1"/>
    <s v="Kitchen"/>
    <x v="4"/>
    <n v="5"/>
    <n v="6800"/>
    <x v="2"/>
    <n v="34000"/>
    <n v="23500"/>
    <n v="10500"/>
  </r>
  <r>
    <s v="ORD11365"/>
    <x v="2208"/>
    <s v="CUST1278"/>
    <s v="Customer 278"/>
    <x v="1"/>
    <s v="Kerala"/>
    <x v="0"/>
    <s v="Stationery"/>
    <x v="18"/>
    <n v="3"/>
    <n v="300"/>
    <x v="2"/>
    <n v="900"/>
    <n v="510"/>
    <n v="390"/>
  </r>
  <r>
    <s v="ORD13034"/>
    <x v="2209"/>
    <s v="CUST1056"/>
    <s v="Customer 056"/>
    <x v="2"/>
    <s v="Rajasthan"/>
    <x v="3"/>
    <s v="Tables"/>
    <x v="16"/>
    <n v="3"/>
    <n v="6200"/>
    <x v="3"/>
    <n v="15810"/>
    <n v="12900"/>
    <n v="2910"/>
  </r>
  <r>
    <s v="ORD10268"/>
    <x v="2210"/>
    <s v="CUST1174"/>
    <s v="Customer 174"/>
    <x v="2"/>
    <s v="Gujarat"/>
    <x v="2"/>
    <s v="Monitors"/>
    <x v="11"/>
    <n v="1"/>
    <n v="10500"/>
    <x v="0"/>
    <n v="9450"/>
    <n v="7600"/>
    <n v="1850"/>
  </r>
  <r>
    <s v="ORD11517"/>
    <x v="2211"/>
    <s v="CUST1242"/>
    <s v="Customer 242"/>
    <x v="2"/>
    <s v="Gujarat"/>
    <x v="1"/>
    <s v="Kitchen"/>
    <x v="4"/>
    <n v="5"/>
    <n v="6800"/>
    <x v="2"/>
    <n v="34000"/>
    <n v="23500"/>
    <n v="10500"/>
  </r>
  <r>
    <s v="ORD13335"/>
    <x v="2212"/>
    <s v="CUST1037"/>
    <s v="Customer 037"/>
    <x v="1"/>
    <s v="Kerala"/>
    <x v="2"/>
    <s v="Audio"/>
    <x v="17"/>
    <n v="5"/>
    <n v="2800"/>
    <x v="5"/>
    <n v="11200"/>
    <n v="9000"/>
    <n v="2200"/>
  </r>
  <r>
    <s v="ORD12150"/>
    <x v="2213"/>
    <s v="CUST1427"/>
    <s v="Customer 427"/>
    <x v="1"/>
    <s v="Telangana"/>
    <x v="0"/>
    <s v="Stationery"/>
    <x v="15"/>
    <n v="3"/>
    <n v="450"/>
    <x v="5"/>
    <n v="1080"/>
    <n v="780"/>
    <n v="300"/>
  </r>
  <r>
    <s v="ORD12249"/>
    <x v="2214"/>
    <s v="CUST1078"/>
    <s v="Customer 078"/>
    <x v="1"/>
    <s v="Karnataka"/>
    <x v="2"/>
    <s v="Monitors"/>
    <x v="11"/>
    <n v="2"/>
    <n v="10500"/>
    <x v="2"/>
    <n v="21000"/>
    <n v="15200"/>
    <n v="5800"/>
  </r>
  <r>
    <s v="ORD13417"/>
    <x v="2215"/>
    <s v="CUST1308"/>
    <s v="Customer 308"/>
    <x v="1"/>
    <s v="Kerala"/>
    <x v="0"/>
    <s v="Stationery"/>
    <x v="18"/>
    <n v="2"/>
    <n v="300"/>
    <x v="3"/>
    <n v="510"/>
    <n v="340"/>
    <n v="170"/>
  </r>
  <r>
    <s v="ORD10161"/>
    <x v="2216"/>
    <s v="CUST1499"/>
    <s v="Customer 499"/>
    <x v="2"/>
    <s v="Maharashtra"/>
    <x v="3"/>
    <s v="Tables"/>
    <x v="16"/>
    <n v="5"/>
    <n v="6200"/>
    <x v="3"/>
    <n v="26350"/>
    <n v="21500"/>
    <n v="4850"/>
  </r>
  <r>
    <s v="ORD10728"/>
    <x v="2217"/>
    <s v="CUST1044"/>
    <s v="Customer 044"/>
    <x v="1"/>
    <s v="Tamil Nadu"/>
    <x v="3"/>
    <s v="Storage"/>
    <x v="14"/>
    <n v="3"/>
    <n v="4800"/>
    <x v="4"/>
    <n v="13680"/>
    <n v="9900"/>
    <n v="3780"/>
  </r>
  <r>
    <s v="ORD10031"/>
    <x v="2218"/>
    <s v="CUST1226"/>
    <s v="Customer 226"/>
    <x v="1"/>
    <s v="Telangana"/>
    <x v="0"/>
    <s v="Stationery"/>
    <x v="10"/>
    <n v="4"/>
    <n v="280"/>
    <x v="4"/>
    <n v="1064"/>
    <n v="640"/>
    <n v="424"/>
  </r>
  <r>
    <s v="ORD10908"/>
    <x v="2219"/>
    <s v="CUST1087"/>
    <s v="Customer 087"/>
    <x v="1"/>
    <s v="Karnataka"/>
    <x v="0"/>
    <s v="Accessories"/>
    <x v="0"/>
    <n v="3"/>
    <n v="650"/>
    <x v="4"/>
    <n v="1852.5"/>
    <n v="1170"/>
    <n v="682.5"/>
  </r>
  <r>
    <s v="ORD10918"/>
    <x v="2220"/>
    <s v="CUST1393"/>
    <s v="Customer 393"/>
    <x v="3"/>
    <s v="Haryana"/>
    <x v="2"/>
    <s v="Monitors"/>
    <x v="11"/>
    <n v="5"/>
    <n v="10500"/>
    <x v="3"/>
    <n v="44625"/>
    <n v="38000"/>
    <n v="6625"/>
  </r>
  <r>
    <s v="ORD13263"/>
    <x v="2221"/>
    <s v="CUST1371"/>
    <s v="Customer 371"/>
    <x v="1"/>
    <s v="Kerala"/>
    <x v="3"/>
    <s v="Tables"/>
    <x v="16"/>
    <n v="5"/>
    <n v="6200"/>
    <x v="2"/>
    <n v="31000"/>
    <n v="21500"/>
    <n v="9500"/>
  </r>
  <r>
    <s v="ORD10706"/>
    <x v="2222"/>
    <s v="CUST1283"/>
    <s v="Customer 283"/>
    <x v="2"/>
    <s v="Rajasthan"/>
    <x v="3"/>
    <s v="Tables"/>
    <x v="16"/>
    <n v="2"/>
    <n v="6200"/>
    <x v="0"/>
    <n v="11160"/>
    <n v="8600"/>
    <n v="2560"/>
  </r>
  <r>
    <s v="ORD10184"/>
    <x v="2223"/>
    <s v="CUST1349"/>
    <s v="Customer 349"/>
    <x v="1"/>
    <s v="Tamil Nadu"/>
    <x v="2"/>
    <s v="Accessories"/>
    <x v="13"/>
    <n v="5"/>
    <n v="1400"/>
    <x v="5"/>
    <n v="5600"/>
    <n v="4500"/>
    <n v="1100"/>
  </r>
  <r>
    <s v="ORD13153"/>
    <x v="2224"/>
    <s v="CUST1099"/>
    <s v="Customer 099"/>
    <x v="2"/>
    <s v="Goa"/>
    <x v="2"/>
    <s v="Monitors"/>
    <x v="11"/>
    <n v="5"/>
    <n v="10500"/>
    <x v="5"/>
    <n v="42000"/>
    <n v="38000"/>
    <n v="4000"/>
  </r>
  <r>
    <s v="ORD12680"/>
    <x v="2225"/>
    <s v="CUST1188"/>
    <s v="Customer 188"/>
    <x v="0"/>
    <s v="Jharkhand"/>
    <x v="3"/>
    <s v="Chairs"/>
    <x v="12"/>
    <n v="1"/>
    <n v="7500"/>
    <x v="4"/>
    <n v="7125"/>
    <n v="5200"/>
    <n v="1925"/>
  </r>
  <r>
    <s v="ORD11733"/>
    <x v="2226"/>
    <s v="CUST1350"/>
    <s v="Customer 350"/>
    <x v="2"/>
    <s v="Gujarat"/>
    <x v="1"/>
    <s v="Kitchen"/>
    <x v="1"/>
    <n v="2"/>
    <n v="1900"/>
    <x v="4"/>
    <n v="3610"/>
    <n v="2500"/>
    <n v="1110"/>
  </r>
  <r>
    <s v="ORD12441"/>
    <x v="2227"/>
    <s v="CUST1182"/>
    <s v="Customer 182"/>
    <x v="1"/>
    <s v="Karnataka"/>
    <x v="2"/>
    <s v="Audio"/>
    <x v="17"/>
    <n v="4"/>
    <n v="2800"/>
    <x v="5"/>
    <n v="8960"/>
    <n v="7200"/>
    <n v="1760"/>
  </r>
  <r>
    <s v="ORD12190"/>
    <x v="2228"/>
    <s v="CUST1293"/>
    <s v="Customer 293"/>
    <x v="2"/>
    <s v="Goa"/>
    <x v="2"/>
    <s v="Audio"/>
    <x v="5"/>
    <n v="5"/>
    <n v="2200"/>
    <x v="0"/>
    <n v="9900"/>
    <n v="7250"/>
    <n v="2650"/>
  </r>
  <r>
    <s v="ORD11045"/>
    <x v="2229"/>
    <s v="CUST1355"/>
    <s v="Customer 355"/>
    <x v="3"/>
    <s v="Punjab"/>
    <x v="2"/>
    <s v="Audio"/>
    <x v="17"/>
    <n v="2"/>
    <n v="2800"/>
    <x v="4"/>
    <n v="5320"/>
    <n v="3600"/>
    <n v="1720"/>
  </r>
  <r>
    <s v="ORD13112"/>
    <x v="2230"/>
    <s v="CUST1382"/>
    <s v="Customer 382"/>
    <x v="2"/>
    <s v="Rajasthan"/>
    <x v="3"/>
    <s v="Chairs"/>
    <x v="12"/>
    <n v="1"/>
    <n v="7500"/>
    <x v="0"/>
    <n v="6750"/>
    <n v="5200"/>
    <n v="1550"/>
  </r>
  <r>
    <s v="ORD11748"/>
    <x v="2231"/>
    <s v="CUST1189"/>
    <s v="Customer 189"/>
    <x v="0"/>
    <s v="Odisha"/>
    <x v="1"/>
    <s v="Appliances"/>
    <x v="7"/>
    <n v="5"/>
    <n v="2400"/>
    <x v="0"/>
    <n v="10800"/>
    <n v="8250"/>
    <n v="2550"/>
  </r>
  <r>
    <s v="ORD11354"/>
    <x v="2232"/>
    <s v="CUST1458"/>
    <s v="Customer 458"/>
    <x v="1"/>
    <s v="Kerala"/>
    <x v="0"/>
    <s v="Stationery"/>
    <x v="15"/>
    <n v="5"/>
    <n v="450"/>
    <x v="4"/>
    <n v="2137.5"/>
    <n v="1300"/>
    <n v="837.5"/>
  </r>
  <r>
    <s v="ORD11618"/>
    <x v="2233"/>
    <s v="CUST1254"/>
    <s v="Customer 254"/>
    <x v="1"/>
    <s v="Kerala"/>
    <x v="2"/>
    <s v="Accessories"/>
    <x v="8"/>
    <n v="4"/>
    <n v="1800"/>
    <x v="0"/>
    <n v="6480"/>
    <n v="4400"/>
    <n v="2080"/>
  </r>
  <r>
    <s v="ORD13876"/>
    <x v="2234"/>
    <s v="CUST1302"/>
    <s v="Customer 302"/>
    <x v="2"/>
    <s v="Maharashtra"/>
    <x v="3"/>
    <s v="Tables"/>
    <x v="16"/>
    <n v="4"/>
    <n v="6200"/>
    <x v="5"/>
    <n v="19840"/>
    <n v="17200"/>
    <n v="2640"/>
  </r>
  <r>
    <s v="ORD10642"/>
    <x v="2235"/>
    <s v="CUST1459"/>
    <s v="Customer 459"/>
    <x v="3"/>
    <s v="Delhi"/>
    <x v="1"/>
    <s v="Kitchen"/>
    <x v="2"/>
    <n v="5"/>
    <n v="4200"/>
    <x v="2"/>
    <n v="21000"/>
    <n v="14500"/>
    <n v="6500"/>
  </r>
  <r>
    <s v="ORD11566"/>
    <x v="2236"/>
    <s v="CUST1228"/>
    <s v="Customer 228"/>
    <x v="3"/>
    <s v="Haryana"/>
    <x v="3"/>
    <s v="Storage"/>
    <x v="14"/>
    <n v="1"/>
    <n v="4800"/>
    <x v="0"/>
    <n v="4320"/>
    <n v="3300"/>
    <n v="1020"/>
  </r>
  <r>
    <s v="ORD13173"/>
    <x v="2237"/>
    <s v="CUST1216"/>
    <s v="Customer 216"/>
    <x v="3"/>
    <s v="Delhi"/>
    <x v="0"/>
    <s v="Stationery"/>
    <x v="10"/>
    <n v="5"/>
    <n v="280"/>
    <x v="4"/>
    <n v="1330"/>
    <n v="800"/>
    <n v="530"/>
  </r>
  <r>
    <s v="ORD11729"/>
    <x v="2238"/>
    <s v="CUST1223"/>
    <s v="Customer 223"/>
    <x v="3"/>
    <s v="Punjab"/>
    <x v="0"/>
    <s v="Stationery"/>
    <x v="15"/>
    <n v="2"/>
    <n v="450"/>
    <x v="2"/>
    <n v="900"/>
    <n v="520"/>
    <n v="380"/>
  </r>
  <r>
    <s v="ORD12658"/>
    <x v="2239"/>
    <s v="CUST1136"/>
    <s v="Customer 136"/>
    <x v="1"/>
    <s v="Karnataka"/>
    <x v="0"/>
    <s v="Stationery"/>
    <x v="15"/>
    <n v="1"/>
    <n v="450"/>
    <x v="4"/>
    <n v="427.5"/>
    <n v="260"/>
    <n v="167.5"/>
  </r>
  <r>
    <s v="ORD10953"/>
    <x v="2240"/>
    <s v="CUST1308"/>
    <s v="Customer 308"/>
    <x v="1"/>
    <s v="Andhra Pradesh"/>
    <x v="2"/>
    <s v="Audio"/>
    <x v="5"/>
    <n v="2"/>
    <n v="2200"/>
    <x v="5"/>
    <n v="3520"/>
    <n v="2900"/>
    <n v="620"/>
  </r>
  <r>
    <s v="ORD13992"/>
    <x v="2241"/>
    <s v="CUST1377"/>
    <s v="Customer 377"/>
    <x v="3"/>
    <s v="Punjab"/>
    <x v="2"/>
    <s v="Accessories"/>
    <x v="13"/>
    <n v="1"/>
    <n v="1400"/>
    <x v="2"/>
    <n v="1400"/>
    <n v="900"/>
    <n v="500"/>
  </r>
  <r>
    <s v="ORD10002"/>
    <x v="2242"/>
    <s v="CUST1387"/>
    <s v="Customer 387"/>
    <x v="2"/>
    <s v="Gujarat"/>
    <x v="1"/>
    <s v="Kitchen"/>
    <x v="4"/>
    <n v="4"/>
    <n v="6800"/>
    <x v="3"/>
    <n v="23120"/>
    <n v="18800"/>
    <n v="4320"/>
  </r>
  <r>
    <s v="ORD13976"/>
    <x v="2243"/>
    <s v="CUST1347"/>
    <s v="Customer 347"/>
    <x v="1"/>
    <s v="Andhra Pradesh"/>
    <x v="2"/>
    <s v="Accessories"/>
    <x v="8"/>
    <n v="2"/>
    <n v="1800"/>
    <x v="3"/>
    <n v="3060"/>
    <n v="2200"/>
    <n v="860"/>
  </r>
  <r>
    <s v="ORD12777"/>
    <x v="2244"/>
    <s v="CUST1262"/>
    <s v="Customer 262"/>
    <x v="2"/>
    <s v="Gujarat"/>
    <x v="1"/>
    <s v="Appliances"/>
    <x v="7"/>
    <n v="1"/>
    <n v="2400"/>
    <x v="0"/>
    <n v="2160"/>
    <n v="1650"/>
    <n v="510"/>
  </r>
  <r>
    <s v="ORD11765"/>
    <x v="2245"/>
    <s v="CUST1288"/>
    <s v="Customer 288"/>
    <x v="1"/>
    <s v="Kerala"/>
    <x v="3"/>
    <s v="Tables"/>
    <x v="16"/>
    <n v="4"/>
    <n v="6200"/>
    <x v="0"/>
    <n v="22320"/>
    <n v="17200"/>
    <n v="5120"/>
  </r>
  <r>
    <s v="ORD12704"/>
    <x v="2246"/>
    <s v="CUST1419"/>
    <s v="Customer 419"/>
    <x v="1"/>
    <s v="Tamil Nadu"/>
    <x v="0"/>
    <s v="Stationery"/>
    <x v="18"/>
    <n v="3"/>
    <n v="300"/>
    <x v="3"/>
    <n v="765"/>
    <n v="510"/>
    <n v="255"/>
  </r>
  <r>
    <s v="ORD11994"/>
    <x v="2247"/>
    <s v="CUST1320"/>
    <s v="Customer 320"/>
    <x v="1"/>
    <s v="Telangana"/>
    <x v="2"/>
    <s v="Accessories"/>
    <x v="8"/>
    <n v="5"/>
    <n v="1800"/>
    <x v="4"/>
    <n v="8550"/>
    <n v="5500"/>
    <n v="3050"/>
  </r>
  <r>
    <s v="ORD10160"/>
    <x v="2248"/>
    <s v="CUST1392"/>
    <s v="Customer 392"/>
    <x v="1"/>
    <s v="Andhra Pradesh"/>
    <x v="3"/>
    <s v="Tables"/>
    <x v="16"/>
    <n v="1"/>
    <n v="6200"/>
    <x v="0"/>
    <n v="5580"/>
    <n v="4300"/>
    <n v="1280"/>
  </r>
  <r>
    <s v="ORD11743"/>
    <x v="2249"/>
    <s v="CUST1228"/>
    <s v="Customer 228"/>
    <x v="3"/>
    <s v="Punjab"/>
    <x v="0"/>
    <s v="Stationery"/>
    <x v="15"/>
    <n v="4"/>
    <n v="450"/>
    <x v="2"/>
    <n v="1800"/>
    <n v="1040"/>
    <n v="760"/>
  </r>
  <r>
    <s v="ORD12772"/>
    <x v="2250"/>
    <s v="CUST1021"/>
    <s v="Customer 021"/>
    <x v="1"/>
    <s v="Telangana"/>
    <x v="2"/>
    <s v="Audio"/>
    <x v="5"/>
    <n v="1"/>
    <n v="2200"/>
    <x v="4"/>
    <n v="2090"/>
    <n v="1450"/>
    <n v="640"/>
  </r>
  <r>
    <s v="ORD13558"/>
    <x v="2251"/>
    <s v="CUST1174"/>
    <s v="Customer 174"/>
    <x v="1"/>
    <s v="Karnataka"/>
    <x v="1"/>
    <s v="Kitchen"/>
    <x v="1"/>
    <n v="1"/>
    <n v="1900"/>
    <x v="2"/>
    <n v="1900"/>
    <n v="1250"/>
    <n v="650"/>
  </r>
  <r>
    <s v="ORD13158"/>
    <x v="2252"/>
    <s v="CUST1498"/>
    <s v="Customer 498"/>
    <x v="2"/>
    <s v="Maharashtra"/>
    <x v="1"/>
    <s v="Appliances"/>
    <x v="7"/>
    <n v="4"/>
    <n v="2400"/>
    <x v="5"/>
    <n v="7680"/>
    <n v="6600"/>
    <n v="1080"/>
  </r>
  <r>
    <s v="ORD12498"/>
    <x v="2253"/>
    <s v="CUST1445"/>
    <s v="Customer 445"/>
    <x v="2"/>
    <s v="Rajasthan"/>
    <x v="0"/>
    <s v="Stationery"/>
    <x v="18"/>
    <n v="2"/>
    <n v="300"/>
    <x v="3"/>
    <n v="510"/>
    <n v="340"/>
    <n v="170"/>
  </r>
  <r>
    <s v="ORD13261"/>
    <x v="2254"/>
    <s v="CUST1218"/>
    <s v="Customer 218"/>
    <x v="2"/>
    <s v="Gujarat"/>
    <x v="0"/>
    <s v="Stationery"/>
    <x v="18"/>
    <n v="5"/>
    <n v="300"/>
    <x v="0"/>
    <n v="1350"/>
    <n v="850"/>
    <n v="500"/>
  </r>
  <r>
    <s v="ORD10070"/>
    <x v="2255"/>
    <s v="CUST1235"/>
    <s v="Customer 235"/>
    <x v="2"/>
    <s v="Rajasthan"/>
    <x v="1"/>
    <s v="Kitchen"/>
    <x v="2"/>
    <n v="2"/>
    <n v="4200"/>
    <x v="4"/>
    <n v="7980"/>
    <n v="5800"/>
    <n v="2180"/>
  </r>
  <r>
    <s v="ORD11077"/>
    <x v="2256"/>
    <s v="CUST1356"/>
    <s v="Customer 356"/>
    <x v="1"/>
    <s v="Tamil Nadu"/>
    <x v="0"/>
    <s v="Paper"/>
    <x v="3"/>
    <n v="4"/>
    <n v="520"/>
    <x v="0"/>
    <n v="1872"/>
    <n v="1320"/>
    <n v="552"/>
  </r>
  <r>
    <s v="ORD11644"/>
    <x v="2257"/>
    <s v="CUST1298"/>
    <s v="Customer 298"/>
    <x v="1"/>
    <s v="Andhra Pradesh"/>
    <x v="2"/>
    <s v="Accessories"/>
    <x v="13"/>
    <n v="5"/>
    <n v="1400"/>
    <x v="4"/>
    <n v="6650"/>
    <n v="4500"/>
    <n v="2150"/>
  </r>
  <r>
    <s v="ORD11066"/>
    <x v="2258"/>
    <s v="CUST1194"/>
    <s v="Customer 194"/>
    <x v="2"/>
    <s v="Goa"/>
    <x v="0"/>
    <s v="Paper"/>
    <x v="3"/>
    <n v="5"/>
    <n v="520"/>
    <x v="3"/>
    <n v="2210"/>
    <n v="1650"/>
    <n v="560"/>
  </r>
  <r>
    <s v="ORD12090"/>
    <x v="2259"/>
    <s v="CUST1010"/>
    <s v="Customer 010"/>
    <x v="1"/>
    <s v="Andhra Pradesh"/>
    <x v="3"/>
    <s v="Storage"/>
    <x v="6"/>
    <n v="4"/>
    <n v="5600"/>
    <x v="4"/>
    <n v="21280"/>
    <n v="15600"/>
    <n v="5680"/>
  </r>
  <r>
    <s v="ORD10494"/>
    <x v="2260"/>
    <s v="CUST1302"/>
    <s v="Customer 302"/>
    <x v="0"/>
    <s v="Jharkhand"/>
    <x v="1"/>
    <s v="Kitchen"/>
    <x v="4"/>
    <n v="3"/>
    <n v="6800"/>
    <x v="5"/>
    <n v="16320"/>
    <n v="14100"/>
    <n v="2220"/>
  </r>
  <r>
    <s v="ORD11376"/>
    <x v="2261"/>
    <s v="CUST1480"/>
    <s v="Customer 480"/>
    <x v="2"/>
    <s v="Rajasthan"/>
    <x v="2"/>
    <s v="Accessories"/>
    <x v="13"/>
    <n v="2"/>
    <n v="1400"/>
    <x v="0"/>
    <n v="2520"/>
    <n v="1800"/>
    <n v="720"/>
  </r>
  <r>
    <s v="ORD13353"/>
    <x v="2262"/>
    <s v="CUST1053"/>
    <s v="Customer 053"/>
    <x v="2"/>
    <s v="Gujarat"/>
    <x v="2"/>
    <s v="Monitors"/>
    <x v="11"/>
    <n v="3"/>
    <n v="10500"/>
    <x v="3"/>
    <n v="26775"/>
    <n v="22800"/>
    <n v="3975"/>
  </r>
  <r>
    <s v="ORD11361"/>
    <x v="2263"/>
    <s v="CUST1042"/>
    <s v="Customer 042"/>
    <x v="1"/>
    <s v="Kerala"/>
    <x v="2"/>
    <s v="Monitors"/>
    <x v="11"/>
    <n v="1"/>
    <n v="10500"/>
    <x v="5"/>
    <n v="8400"/>
    <n v="7600"/>
    <n v="800"/>
  </r>
  <r>
    <s v="ORD13324"/>
    <x v="2264"/>
    <s v="CUST1320"/>
    <s v="Customer 320"/>
    <x v="1"/>
    <s v="Andhra Pradesh"/>
    <x v="1"/>
    <s v="Kitchen"/>
    <x v="4"/>
    <n v="2"/>
    <n v="6800"/>
    <x v="4"/>
    <n v="12920"/>
    <n v="9400"/>
    <n v="3520"/>
  </r>
  <r>
    <s v="ORD10256"/>
    <x v="2265"/>
    <s v="CUST1073"/>
    <s v="Customer 073"/>
    <x v="2"/>
    <s v="Maharashtra"/>
    <x v="2"/>
    <s v="Audio"/>
    <x v="17"/>
    <n v="2"/>
    <n v="2800"/>
    <x v="4"/>
    <n v="5320"/>
    <n v="3600"/>
    <n v="1720"/>
  </r>
  <r>
    <s v="ORD10476"/>
    <x v="2266"/>
    <s v="CUST1393"/>
    <s v="Customer 393"/>
    <x v="1"/>
    <s v="Telangana"/>
    <x v="2"/>
    <s v="Accessories"/>
    <x v="13"/>
    <n v="3"/>
    <n v="1400"/>
    <x v="4"/>
    <n v="3990"/>
    <n v="2700"/>
    <n v="1290"/>
  </r>
  <r>
    <s v="ORD13209"/>
    <x v="2267"/>
    <s v="CUST1211"/>
    <s v="Customer 211"/>
    <x v="1"/>
    <s v="Kerala"/>
    <x v="0"/>
    <s v="Stationery"/>
    <x v="15"/>
    <n v="5"/>
    <n v="450"/>
    <x v="3"/>
    <n v="1912.5"/>
    <n v="1300"/>
    <n v="612.5"/>
  </r>
  <r>
    <s v="ORD10607"/>
    <x v="2268"/>
    <s v="CUST1162"/>
    <s v="Customer 162"/>
    <x v="2"/>
    <s v="Goa"/>
    <x v="2"/>
    <s v="Audio"/>
    <x v="17"/>
    <n v="1"/>
    <n v="2800"/>
    <x v="3"/>
    <n v="2380"/>
    <n v="1800"/>
    <n v="580"/>
  </r>
  <r>
    <s v="ORD12060"/>
    <x v="2269"/>
    <s v="CUST1202"/>
    <s v="Customer 202"/>
    <x v="3"/>
    <s v="Uttar Pradesh"/>
    <x v="1"/>
    <s v="Kitchen"/>
    <x v="2"/>
    <n v="5"/>
    <n v="4200"/>
    <x v="1"/>
    <n v="15750"/>
    <n v="14500"/>
    <n v="1250"/>
  </r>
  <r>
    <s v="ORD12966"/>
    <x v="2270"/>
    <s v="CUST1297"/>
    <s v="Customer 297"/>
    <x v="1"/>
    <s v="Kerala"/>
    <x v="2"/>
    <s v="Accessories"/>
    <x v="13"/>
    <n v="1"/>
    <n v="1400"/>
    <x v="3"/>
    <n v="1190"/>
    <n v="900"/>
    <n v="290"/>
  </r>
  <r>
    <s v="ORD11143"/>
    <x v="2271"/>
    <s v="CUST1466"/>
    <s v="Customer 466"/>
    <x v="0"/>
    <s v="West Bengal"/>
    <x v="2"/>
    <s v="Monitors"/>
    <x v="11"/>
    <n v="3"/>
    <n v="10500"/>
    <x v="4"/>
    <n v="29925"/>
    <n v="22800"/>
    <n v="7125"/>
  </r>
  <r>
    <s v="ORD11627"/>
    <x v="2272"/>
    <s v="CUST1289"/>
    <s v="Customer 289"/>
    <x v="0"/>
    <s v="West Bengal"/>
    <x v="2"/>
    <s v="Accessories"/>
    <x v="8"/>
    <n v="1"/>
    <n v="1800"/>
    <x v="3"/>
    <n v="1530"/>
    <n v="1100"/>
    <n v="430"/>
  </r>
  <r>
    <s v="ORD13564"/>
    <x v="2273"/>
    <s v="CUST1399"/>
    <s v="Customer 399"/>
    <x v="1"/>
    <s v="Karnataka"/>
    <x v="2"/>
    <s v="Accessories"/>
    <x v="8"/>
    <n v="5"/>
    <n v="1800"/>
    <x v="4"/>
    <n v="8550"/>
    <n v="5500"/>
    <n v="3050"/>
  </r>
  <r>
    <s v="ORD13078"/>
    <x v="2274"/>
    <s v="CUST1408"/>
    <s v="Customer 408"/>
    <x v="1"/>
    <s v="Tamil Nadu"/>
    <x v="3"/>
    <s v="Tables"/>
    <x v="16"/>
    <n v="3"/>
    <n v="6200"/>
    <x v="2"/>
    <n v="18600"/>
    <n v="12900"/>
    <n v="5700"/>
  </r>
  <r>
    <s v="ORD13709"/>
    <x v="2275"/>
    <s v="CUST1247"/>
    <s v="Customer 247"/>
    <x v="1"/>
    <s v="Tamil Nadu"/>
    <x v="3"/>
    <s v="Storage"/>
    <x v="14"/>
    <n v="4"/>
    <n v="4800"/>
    <x v="4"/>
    <n v="18240"/>
    <n v="13200"/>
    <n v="5040"/>
  </r>
  <r>
    <s v="ORD10685"/>
    <x v="2276"/>
    <s v="CUST1085"/>
    <s v="Customer 085"/>
    <x v="1"/>
    <s v="Tamil Nadu"/>
    <x v="2"/>
    <s v="Audio"/>
    <x v="17"/>
    <n v="1"/>
    <n v="2800"/>
    <x v="5"/>
    <n v="2240"/>
    <n v="1800"/>
    <n v="440"/>
  </r>
  <r>
    <s v="ORD10793"/>
    <x v="2277"/>
    <s v="CUST1362"/>
    <s v="Customer 362"/>
    <x v="3"/>
    <s v="Punjab"/>
    <x v="2"/>
    <s v="Accessories"/>
    <x v="9"/>
    <n v="2"/>
    <n v="850"/>
    <x v="3"/>
    <n v="1445"/>
    <n v="1120"/>
    <n v="325"/>
  </r>
  <r>
    <s v="ORD11406"/>
    <x v="2278"/>
    <s v="CUST1078"/>
    <s v="Customer 078"/>
    <x v="3"/>
    <s v="Uttar Pradesh"/>
    <x v="0"/>
    <s v="Accessories"/>
    <x v="0"/>
    <n v="1"/>
    <n v="650"/>
    <x v="5"/>
    <n v="520"/>
    <n v="390"/>
    <n v="130"/>
  </r>
  <r>
    <s v="ORD12605"/>
    <x v="2279"/>
    <s v="CUST1380"/>
    <s v="Customer 380"/>
    <x v="3"/>
    <s v="Delhi"/>
    <x v="3"/>
    <s v="Storage"/>
    <x v="6"/>
    <n v="1"/>
    <n v="5600"/>
    <x v="0"/>
    <n v="5040"/>
    <n v="3900"/>
    <n v="1140"/>
  </r>
  <r>
    <s v="ORD13073"/>
    <x v="2280"/>
    <s v="CUST1121"/>
    <s v="Customer 121"/>
    <x v="2"/>
    <s v="Goa"/>
    <x v="1"/>
    <s v="Kitchen"/>
    <x v="1"/>
    <n v="2"/>
    <n v="1900"/>
    <x v="5"/>
    <n v="3040"/>
    <n v="2500"/>
    <n v="540"/>
  </r>
  <r>
    <s v="ORD11349"/>
    <x v="2281"/>
    <s v="CUST1368"/>
    <s v="Customer 368"/>
    <x v="3"/>
    <s v="Haryana"/>
    <x v="0"/>
    <s v="Stationery"/>
    <x v="18"/>
    <n v="5"/>
    <n v="300"/>
    <x v="3"/>
    <n v="1275"/>
    <n v="850"/>
    <n v="425"/>
  </r>
  <r>
    <s v="ORD12400"/>
    <x v="2282"/>
    <s v="CUST1368"/>
    <s v="Customer 368"/>
    <x v="3"/>
    <s v="Haryana"/>
    <x v="0"/>
    <s v="Stationery"/>
    <x v="10"/>
    <n v="5"/>
    <n v="280"/>
    <x v="0"/>
    <n v="1260"/>
    <n v="800"/>
    <n v="460"/>
  </r>
  <r>
    <s v="ORD12845"/>
    <x v="2283"/>
    <s v="CUST1229"/>
    <s v="Customer 229"/>
    <x v="1"/>
    <s v="Tamil Nadu"/>
    <x v="2"/>
    <s v="Accessories"/>
    <x v="9"/>
    <n v="5"/>
    <n v="850"/>
    <x v="0"/>
    <n v="3825"/>
    <n v="2800"/>
    <n v="1025"/>
  </r>
  <r>
    <s v="ORD12801"/>
    <x v="2284"/>
    <s v="CUST1397"/>
    <s v="Customer 397"/>
    <x v="2"/>
    <s v="Rajasthan"/>
    <x v="2"/>
    <s v="Accessories"/>
    <x v="9"/>
    <n v="2"/>
    <n v="850"/>
    <x v="2"/>
    <n v="1700"/>
    <n v="1120"/>
    <n v="580"/>
  </r>
  <r>
    <s v="ORD13661"/>
    <x v="2285"/>
    <s v="CUST1279"/>
    <s v="Customer 279"/>
    <x v="1"/>
    <s v="Tamil Nadu"/>
    <x v="0"/>
    <s v="Stationery"/>
    <x v="18"/>
    <n v="4"/>
    <n v="300"/>
    <x v="0"/>
    <n v="1080"/>
    <n v="680"/>
    <n v="400"/>
  </r>
  <r>
    <s v="ORD11199"/>
    <x v="2286"/>
    <s v="CUST1402"/>
    <s v="Customer 402"/>
    <x v="1"/>
    <s v="Tamil Nadu"/>
    <x v="2"/>
    <s v="Accessories"/>
    <x v="8"/>
    <n v="3"/>
    <n v="1800"/>
    <x v="3"/>
    <n v="4590"/>
    <n v="3300"/>
    <n v="1290"/>
  </r>
  <r>
    <s v="ORD12390"/>
    <x v="2287"/>
    <s v="CUST1437"/>
    <s v="Customer 437"/>
    <x v="2"/>
    <s v="Rajasthan"/>
    <x v="2"/>
    <s v="Audio"/>
    <x v="5"/>
    <n v="1"/>
    <n v="2200"/>
    <x v="0"/>
    <n v="1980"/>
    <n v="1450"/>
    <n v="530"/>
  </r>
  <r>
    <s v="ORD13421"/>
    <x v="2288"/>
    <s v="CUST1259"/>
    <s v="Customer 259"/>
    <x v="1"/>
    <s v="Tamil Nadu"/>
    <x v="0"/>
    <s v="Accessories"/>
    <x v="0"/>
    <n v="1"/>
    <n v="650"/>
    <x v="1"/>
    <n v="487.5"/>
    <n v="390"/>
    <n v="97.5"/>
  </r>
  <r>
    <s v="ORD10705"/>
    <x v="2289"/>
    <s v="CUST1065"/>
    <s v="Customer 065"/>
    <x v="3"/>
    <s v="Delhi"/>
    <x v="3"/>
    <s v="Chairs"/>
    <x v="12"/>
    <n v="4"/>
    <n v="7500"/>
    <x v="2"/>
    <n v="30000"/>
    <n v="20800"/>
    <n v="9200"/>
  </r>
  <r>
    <s v="ORD12947"/>
    <x v="2290"/>
    <s v="CUST1295"/>
    <s v="Customer 295"/>
    <x v="2"/>
    <s v="Rajasthan"/>
    <x v="1"/>
    <s v="Appliances"/>
    <x v="7"/>
    <n v="4"/>
    <n v="2400"/>
    <x v="0"/>
    <n v="8640"/>
    <n v="6600"/>
    <n v="2040"/>
  </r>
  <r>
    <s v="ORD11674"/>
    <x v="2291"/>
    <s v="CUST1380"/>
    <s v="Customer 380"/>
    <x v="1"/>
    <s v="Tamil Nadu"/>
    <x v="3"/>
    <s v="Storage"/>
    <x v="6"/>
    <n v="3"/>
    <n v="5600"/>
    <x v="4"/>
    <n v="15960"/>
    <n v="11700"/>
    <n v="4260"/>
  </r>
  <r>
    <s v="ORD11671"/>
    <x v="2292"/>
    <s v="CUST1382"/>
    <s v="Customer 382"/>
    <x v="1"/>
    <s v="Andhra Pradesh"/>
    <x v="2"/>
    <s v="Audio"/>
    <x v="17"/>
    <n v="3"/>
    <n v="2800"/>
    <x v="2"/>
    <n v="8400"/>
    <n v="5400"/>
    <n v="3000"/>
  </r>
  <r>
    <s v="ORD10485"/>
    <x v="2293"/>
    <s v="CUST1232"/>
    <s v="Customer 232"/>
    <x v="3"/>
    <s v="Punjab"/>
    <x v="0"/>
    <s v="Stationery"/>
    <x v="15"/>
    <n v="3"/>
    <n v="450"/>
    <x v="3"/>
    <n v="1147.5"/>
    <n v="780"/>
    <n v="367.5"/>
  </r>
  <r>
    <s v="ORD12251"/>
    <x v="2294"/>
    <s v="CUST1254"/>
    <s v="Customer 254"/>
    <x v="1"/>
    <s v="Andhra Pradesh"/>
    <x v="0"/>
    <s v="Stationery"/>
    <x v="18"/>
    <n v="1"/>
    <n v="300"/>
    <x v="0"/>
    <n v="270"/>
    <n v="170"/>
    <n v="100"/>
  </r>
  <r>
    <s v="ORD13371"/>
    <x v="2295"/>
    <s v="CUST1494"/>
    <s v="Customer 494"/>
    <x v="1"/>
    <s v="Telangana"/>
    <x v="2"/>
    <s v="Accessories"/>
    <x v="8"/>
    <n v="1"/>
    <n v="1800"/>
    <x v="0"/>
    <n v="1620"/>
    <n v="1100"/>
    <n v="520"/>
  </r>
  <r>
    <s v="ORD10025"/>
    <x v="2296"/>
    <s v="CUST1391"/>
    <s v="Customer 391"/>
    <x v="2"/>
    <s v="Rajasthan"/>
    <x v="2"/>
    <s v="Monitors"/>
    <x v="11"/>
    <n v="4"/>
    <n v="10500"/>
    <x v="5"/>
    <n v="33600"/>
    <n v="30400"/>
    <n v="3200"/>
  </r>
  <r>
    <s v="ORD13002"/>
    <x v="2297"/>
    <s v="CUST1336"/>
    <s v="Customer 336"/>
    <x v="2"/>
    <s v="Goa"/>
    <x v="2"/>
    <s v="Monitors"/>
    <x v="11"/>
    <n v="3"/>
    <n v="10500"/>
    <x v="3"/>
    <n v="26775"/>
    <n v="22800"/>
    <n v="3975"/>
  </r>
  <r>
    <s v="ORD11275"/>
    <x v="2298"/>
    <s v="CUST1382"/>
    <s v="Customer 382"/>
    <x v="3"/>
    <s v="Uttar Pradesh"/>
    <x v="0"/>
    <s v="Accessories"/>
    <x v="0"/>
    <n v="3"/>
    <n v="650"/>
    <x v="4"/>
    <n v="1852.5"/>
    <n v="1170"/>
    <n v="682.5"/>
  </r>
  <r>
    <s v="ORD10787"/>
    <x v="2299"/>
    <s v="CUST1017"/>
    <s v="Customer 017"/>
    <x v="3"/>
    <s v="Delhi"/>
    <x v="0"/>
    <s v="Stationery"/>
    <x v="15"/>
    <n v="5"/>
    <n v="450"/>
    <x v="3"/>
    <n v="1912.5"/>
    <n v="1300"/>
    <n v="612.5"/>
  </r>
  <r>
    <s v="ORD11829"/>
    <x v="2300"/>
    <s v="CUST1307"/>
    <s v="Customer 307"/>
    <x v="0"/>
    <s v="West Bengal"/>
    <x v="3"/>
    <s v="Storage"/>
    <x v="14"/>
    <n v="5"/>
    <n v="4800"/>
    <x v="0"/>
    <n v="21600"/>
    <n v="16500"/>
    <n v="5100"/>
  </r>
  <r>
    <s v="ORD13247"/>
    <x v="2301"/>
    <s v="CUST1384"/>
    <s v="Customer 384"/>
    <x v="2"/>
    <s v="Goa"/>
    <x v="2"/>
    <s v="Accessories"/>
    <x v="13"/>
    <n v="4"/>
    <n v="1400"/>
    <x v="1"/>
    <n v="4200"/>
    <n v="3600"/>
    <n v="600"/>
  </r>
  <r>
    <s v="ORD13689"/>
    <x v="2302"/>
    <s v="CUST1484"/>
    <s v="Customer 484"/>
    <x v="3"/>
    <s v="Haryana"/>
    <x v="0"/>
    <s v="Stationery"/>
    <x v="10"/>
    <n v="5"/>
    <n v="280"/>
    <x v="1"/>
    <n v="1050"/>
    <n v="800"/>
    <n v="250"/>
  </r>
  <r>
    <s v="ORD12807"/>
    <x v="2303"/>
    <s v="CUST1145"/>
    <s v="Customer 145"/>
    <x v="1"/>
    <s v="Telangana"/>
    <x v="2"/>
    <s v="Accessories"/>
    <x v="9"/>
    <n v="5"/>
    <n v="850"/>
    <x v="3"/>
    <n v="3612.5"/>
    <n v="2800"/>
    <n v="812.5"/>
  </r>
  <r>
    <s v="ORD10207"/>
    <x v="2304"/>
    <s v="CUST1383"/>
    <s v="Customer 383"/>
    <x v="3"/>
    <s v="Punjab"/>
    <x v="3"/>
    <s v="Tables"/>
    <x v="16"/>
    <n v="1"/>
    <n v="6200"/>
    <x v="5"/>
    <n v="4960"/>
    <n v="4300"/>
    <n v="660"/>
  </r>
  <r>
    <s v="ORD11945"/>
    <x v="2305"/>
    <s v="CUST1191"/>
    <s v="Customer 191"/>
    <x v="1"/>
    <s v="Telangana"/>
    <x v="2"/>
    <s v="Accessories"/>
    <x v="9"/>
    <n v="2"/>
    <n v="850"/>
    <x v="2"/>
    <n v="1700"/>
    <n v="1120"/>
    <n v="580"/>
  </r>
  <r>
    <s v="ORD12622"/>
    <x v="2306"/>
    <s v="CUST1197"/>
    <s v="Customer 197"/>
    <x v="0"/>
    <s v="Odisha"/>
    <x v="3"/>
    <s v="Storage"/>
    <x v="14"/>
    <n v="4"/>
    <n v="4800"/>
    <x v="3"/>
    <n v="16320"/>
    <n v="13200"/>
    <n v="3120"/>
  </r>
  <r>
    <s v="ORD13988"/>
    <x v="2307"/>
    <s v="CUST1036"/>
    <s v="Customer 036"/>
    <x v="1"/>
    <s v="Andhra Pradesh"/>
    <x v="2"/>
    <s v="Audio"/>
    <x v="5"/>
    <n v="2"/>
    <n v="2200"/>
    <x v="2"/>
    <n v="4400"/>
    <n v="2900"/>
    <n v="1500"/>
  </r>
  <r>
    <s v="ORD11302"/>
    <x v="2308"/>
    <s v="CUST1201"/>
    <s v="Customer 201"/>
    <x v="1"/>
    <s v="Telangana"/>
    <x v="3"/>
    <s v="Chairs"/>
    <x v="12"/>
    <n v="2"/>
    <n v="7500"/>
    <x v="5"/>
    <n v="12000"/>
    <n v="10400"/>
    <n v="1600"/>
  </r>
  <r>
    <s v="ORD11702"/>
    <x v="2309"/>
    <s v="CUST1090"/>
    <s v="Customer 090"/>
    <x v="1"/>
    <s v="Andhra Pradesh"/>
    <x v="2"/>
    <s v="Monitors"/>
    <x v="11"/>
    <n v="4"/>
    <n v="10500"/>
    <x v="3"/>
    <n v="35700"/>
    <n v="30400"/>
    <n v="5300"/>
  </r>
  <r>
    <s v="ORD10274"/>
    <x v="2310"/>
    <s v="CUST1480"/>
    <s v="Customer 480"/>
    <x v="3"/>
    <s v="Uttar Pradesh"/>
    <x v="0"/>
    <s v="Stationery"/>
    <x v="10"/>
    <n v="5"/>
    <n v="280"/>
    <x v="0"/>
    <n v="1260"/>
    <n v="800"/>
    <n v="460"/>
  </r>
  <r>
    <s v="ORD10132"/>
    <x v="2311"/>
    <s v="CUST1277"/>
    <s v="Customer 277"/>
    <x v="3"/>
    <s v="Uttar Pradesh"/>
    <x v="1"/>
    <s v="Kitchen"/>
    <x v="2"/>
    <n v="5"/>
    <n v="4200"/>
    <x v="2"/>
    <n v="21000"/>
    <n v="14500"/>
    <n v="6500"/>
  </r>
  <r>
    <s v="ORD12933"/>
    <x v="2312"/>
    <s v="CUST1082"/>
    <s v="Customer 082"/>
    <x v="3"/>
    <s v="Haryana"/>
    <x v="0"/>
    <s v="Stationery"/>
    <x v="18"/>
    <n v="3"/>
    <n v="300"/>
    <x v="3"/>
    <n v="765"/>
    <n v="510"/>
    <n v="255"/>
  </r>
  <r>
    <s v="ORD10586"/>
    <x v="2313"/>
    <s v="CUST1463"/>
    <s v="Customer 463"/>
    <x v="2"/>
    <s v="Rajasthan"/>
    <x v="3"/>
    <s v="Chairs"/>
    <x v="12"/>
    <n v="2"/>
    <n v="7500"/>
    <x v="4"/>
    <n v="14250"/>
    <n v="10400"/>
    <n v="3850"/>
  </r>
  <r>
    <s v="ORD10313"/>
    <x v="2314"/>
    <s v="CUST1060"/>
    <s v="Customer 060"/>
    <x v="1"/>
    <s v="Kerala"/>
    <x v="2"/>
    <s v="Accessories"/>
    <x v="13"/>
    <n v="4"/>
    <n v="1400"/>
    <x v="0"/>
    <n v="5040"/>
    <n v="3600"/>
    <n v="1440"/>
  </r>
  <r>
    <s v="ORD10400"/>
    <x v="2315"/>
    <s v="CUST1156"/>
    <s v="Customer 156"/>
    <x v="2"/>
    <s v="Rajasthan"/>
    <x v="0"/>
    <s v="Accessories"/>
    <x v="0"/>
    <n v="2"/>
    <n v="650"/>
    <x v="0"/>
    <n v="1170"/>
    <n v="780"/>
    <n v="390"/>
  </r>
  <r>
    <s v="ORD10467"/>
    <x v="2316"/>
    <s v="CUST1083"/>
    <s v="Customer 083"/>
    <x v="3"/>
    <s v="Uttar Pradesh"/>
    <x v="3"/>
    <s v="Storage"/>
    <x v="14"/>
    <n v="3"/>
    <n v="4800"/>
    <x v="4"/>
    <n v="13680"/>
    <n v="9900"/>
    <n v="3780"/>
  </r>
  <r>
    <s v="ORD12368"/>
    <x v="2317"/>
    <s v="CUST1089"/>
    <s v="Customer 089"/>
    <x v="2"/>
    <s v="Gujarat"/>
    <x v="3"/>
    <s v="Chairs"/>
    <x v="12"/>
    <n v="1"/>
    <n v="7500"/>
    <x v="2"/>
    <n v="7500"/>
    <n v="5200"/>
    <n v="2300"/>
  </r>
  <r>
    <s v="ORD10682"/>
    <x v="2318"/>
    <s v="CUST1069"/>
    <s v="Customer 069"/>
    <x v="3"/>
    <s v="Uttar Pradesh"/>
    <x v="0"/>
    <s v="Stationery"/>
    <x v="10"/>
    <n v="3"/>
    <n v="280"/>
    <x v="3"/>
    <n v="714"/>
    <n v="480"/>
    <n v="234"/>
  </r>
  <r>
    <s v="ORD10895"/>
    <x v="2319"/>
    <s v="CUST1375"/>
    <s v="Customer 375"/>
    <x v="0"/>
    <s v="Bihar"/>
    <x v="3"/>
    <s v="Tables"/>
    <x v="16"/>
    <n v="1"/>
    <n v="6200"/>
    <x v="5"/>
    <n v="4960"/>
    <n v="4300"/>
    <n v="660"/>
  </r>
  <r>
    <s v="ORD11075"/>
    <x v="2320"/>
    <s v="CUST1234"/>
    <s v="Customer 234"/>
    <x v="3"/>
    <s v="Uttar Pradesh"/>
    <x v="0"/>
    <s v="Stationery"/>
    <x v="15"/>
    <n v="4"/>
    <n v="450"/>
    <x v="4"/>
    <n v="1710"/>
    <n v="1040"/>
    <n v="670"/>
  </r>
  <r>
    <s v="ORD13106"/>
    <x v="2321"/>
    <s v="CUST1152"/>
    <s v="Customer 152"/>
    <x v="2"/>
    <s v="Gujarat"/>
    <x v="2"/>
    <s v="Accessories"/>
    <x v="9"/>
    <n v="2"/>
    <n v="850"/>
    <x v="2"/>
    <n v="1700"/>
    <n v="1120"/>
    <n v="580"/>
  </r>
  <r>
    <s v="ORD10832"/>
    <x v="2322"/>
    <s v="CUST1121"/>
    <s v="Customer 121"/>
    <x v="2"/>
    <s v="Maharashtra"/>
    <x v="3"/>
    <s v="Storage"/>
    <x v="6"/>
    <n v="4"/>
    <n v="5600"/>
    <x v="3"/>
    <n v="19040"/>
    <n v="15600"/>
    <n v="3440"/>
  </r>
  <r>
    <s v="ORD11086"/>
    <x v="2323"/>
    <s v="CUST1420"/>
    <s v="Customer 420"/>
    <x v="1"/>
    <s v="Andhra Pradesh"/>
    <x v="2"/>
    <s v="Accessories"/>
    <x v="9"/>
    <n v="2"/>
    <n v="850"/>
    <x v="4"/>
    <n v="1615"/>
    <n v="1120"/>
    <n v="495"/>
  </r>
  <r>
    <s v="ORD12310"/>
    <x v="2324"/>
    <s v="CUST1267"/>
    <s v="Customer 267"/>
    <x v="2"/>
    <s v="Rajasthan"/>
    <x v="2"/>
    <s v="Accessories"/>
    <x v="8"/>
    <n v="5"/>
    <n v="1800"/>
    <x v="4"/>
    <n v="8550"/>
    <n v="5500"/>
    <n v="3050"/>
  </r>
  <r>
    <s v="ORD10555"/>
    <x v="2325"/>
    <s v="CUST1493"/>
    <s v="Customer 493"/>
    <x v="1"/>
    <s v="Telangana"/>
    <x v="0"/>
    <s v="Accessories"/>
    <x v="0"/>
    <n v="5"/>
    <n v="650"/>
    <x v="5"/>
    <n v="2600"/>
    <n v="1950"/>
    <n v="650"/>
  </r>
  <r>
    <s v="ORD11800"/>
    <x v="2326"/>
    <s v="CUST1262"/>
    <s v="Customer 262"/>
    <x v="1"/>
    <s v="Andhra Pradesh"/>
    <x v="3"/>
    <s v="Tables"/>
    <x v="16"/>
    <n v="3"/>
    <n v="6200"/>
    <x v="4"/>
    <n v="17670"/>
    <n v="12900"/>
    <n v="4770"/>
  </r>
  <r>
    <s v="ORD13024"/>
    <x v="2327"/>
    <s v="CUST1100"/>
    <s v="Customer 100"/>
    <x v="2"/>
    <s v="Goa"/>
    <x v="0"/>
    <s v="Paper"/>
    <x v="3"/>
    <n v="2"/>
    <n v="520"/>
    <x v="3"/>
    <n v="884"/>
    <n v="660"/>
    <n v="224"/>
  </r>
  <r>
    <s v="ORD13684"/>
    <x v="2328"/>
    <s v="CUST1285"/>
    <s v="Customer 285"/>
    <x v="2"/>
    <s v="Gujarat"/>
    <x v="1"/>
    <s v="Kitchen"/>
    <x v="4"/>
    <n v="3"/>
    <n v="6800"/>
    <x v="5"/>
    <n v="16320"/>
    <n v="14100"/>
    <n v="2220"/>
  </r>
  <r>
    <s v="ORD11600"/>
    <x v="2329"/>
    <s v="CUST1355"/>
    <s v="Customer 355"/>
    <x v="2"/>
    <s v="Maharashtra"/>
    <x v="3"/>
    <s v="Storage"/>
    <x v="14"/>
    <n v="3"/>
    <n v="4800"/>
    <x v="0"/>
    <n v="12960"/>
    <n v="9900"/>
    <n v="3060"/>
  </r>
  <r>
    <s v="ORD11424"/>
    <x v="2330"/>
    <s v="CUST1338"/>
    <s v="Customer 338"/>
    <x v="1"/>
    <s v="Andhra Pradesh"/>
    <x v="2"/>
    <s v="Accessories"/>
    <x v="13"/>
    <n v="3"/>
    <n v="1400"/>
    <x v="1"/>
    <n v="3150"/>
    <n v="2700"/>
    <n v="450"/>
  </r>
  <r>
    <s v="ORD12007"/>
    <x v="2331"/>
    <s v="CUST1218"/>
    <s v="Customer 218"/>
    <x v="2"/>
    <s v="Maharashtra"/>
    <x v="3"/>
    <s v="Tables"/>
    <x v="16"/>
    <n v="1"/>
    <n v="6200"/>
    <x v="3"/>
    <n v="5270"/>
    <n v="4300"/>
    <n v="970"/>
  </r>
  <r>
    <s v="ORD10463"/>
    <x v="2332"/>
    <s v="CUST1375"/>
    <s v="Customer 375"/>
    <x v="1"/>
    <s v="Andhra Pradesh"/>
    <x v="0"/>
    <s v="Accessories"/>
    <x v="0"/>
    <n v="5"/>
    <n v="650"/>
    <x v="4"/>
    <n v="3087.5"/>
    <n v="1950"/>
    <n v="1137.5"/>
  </r>
  <r>
    <s v="ORD13668"/>
    <x v="2333"/>
    <s v="CUST1091"/>
    <s v="Customer 091"/>
    <x v="0"/>
    <s v="Bihar"/>
    <x v="1"/>
    <s v="Appliances"/>
    <x v="7"/>
    <n v="1"/>
    <n v="2400"/>
    <x v="3"/>
    <n v="2040"/>
    <n v="1650"/>
    <n v="390"/>
  </r>
  <r>
    <s v="ORD12869"/>
    <x v="2334"/>
    <s v="CUST1431"/>
    <s v="Customer 431"/>
    <x v="2"/>
    <s v="Rajasthan"/>
    <x v="0"/>
    <s v="Stationery"/>
    <x v="10"/>
    <n v="5"/>
    <n v="280"/>
    <x v="4"/>
    <n v="1330"/>
    <n v="800"/>
    <n v="530"/>
  </r>
  <r>
    <s v="ORD10335"/>
    <x v="2335"/>
    <s v="CUST1231"/>
    <s v="Customer 231"/>
    <x v="2"/>
    <s v="Goa"/>
    <x v="2"/>
    <s v="Monitors"/>
    <x v="11"/>
    <n v="4"/>
    <n v="10500"/>
    <x v="4"/>
    <n v="39900"/>
    <n v="30400"/>
    <n v="9500"/>
  </r>
  <r>
    <s v="ORD13414"/>
    <x v="2336"/>
    <s v="CUST1047"/>
    <s v="Customer 047"/>
    <x v="1"/>
    <s v="Tamil Nadu"/>
    <x v="3"/>
    <s v="Chairs"/>
    <x v="12"/>
    <n v="3"/>
    <n v="7500"/>
    <x v="0"/>
    <n v="20250"/>
    <n v="15600"/>
    <n v="4650"/>
  </r>
  <r>
    <s v="ORD12482"/>
    <x v="2337"/>
    <s v="CUST1431"/>
    <s v="Customer 431"/>
    <x v="2"/>
    <s v="Goa"/>
    <x v="2"/>
    <s v="Accessories"/>
    <x v="9"/>
    <n v="2"/>
    <n v="850"/>
    <x v="4"/>
    <n v="1615"/>
    <n v="1120"/>
    <n v="495"/>
  </r>
  <r>
    <s v="ORD13430"/>
    <x v="2338"/>
    <s v="CUST1151"/>
    <s v="Customer 151"/>
    <x v="2"/>
    <s v="Gujarat"/>
    <x v="1"/>
    <s v="Kitchen"/>
    <x v="4"/>
    <n v="4"/>
    <n v="6800"/>
    <x v="2"/>
    <n v="27200"/>
    <n v="18800"/>
    <n v="8400"/>
  </r>
  <r>
    <s v="ORD13567"/>
    <x v="2339"/>
    <s v="CUST1211"/>
    <s v="Customer 211"/>
    <x v="2"/>
    <s v="Rajasthan"/>
    <x v="3"/>
    <s v="Storage"/>
    <x v="14"/>
    <n v="1"/>
    <n v="4800"/>
    <x v="3"/>
    <n v="4080"/>
    <n v="3300"/>
    <n v="780"/>
  </r>
  <r>
    <s v="ORD13298"/>
    <x v="2340"/>
    <s v="CUST1454"/>
    <s v="Customer 454"/>
    <x v="1"/>
    <s v="Karnataka"/>
    <x v="1"/>
    <s v="Kitchen"/>
    <x v="1"/>
    <n v="3"/>
    <n v="1900"/>
    <x v="4"/>
    <n v="5415"/>
    <n v="3750"/>
    <n v="1665"/>
  </r>
  <r>
    <s v="ORD11960"/>
    <x v="2341"/>
    <s v="CUST1094"/>
    <s v="Customer 094"/>
    <x v="1"/>
    <s v="Telangana"/>
    <x v="2"/>
    <s v="Monitors"/>
    <x v="11"/>
    <n v="5"/>
    <n v="10500"/>
    <x v="5"/>
    <n v="42000"/>
    <n v="38000"/>
    <n v="4000"/>
  </r>
  <r>
    <s v="ORD13312"/>
    <x v="2342"/>
    <s v="CUST1202"/>
    <s v="Customer 202"/>
    <x v="1"/>
    <s v="Telangana"/>
    <x v="0"/>
    <s v="Stationery"/>
    <x v="15"/>
    <n v="4"/>
    <n v="450"/>
    <x v="5"/>
    <n v="1440"/>
    <n v="1040"/>
    <n v="400"/>
  </r>
  <r>
    <s v="ORD11409"/>
    <x v="2343"/>
    <s v="CUST1001"/>
    <s v="Customer 001"/>
    <x v="2"/>
    <s v="Gujarat"/>
    <x v="0"/>
    <s v="Stationery"/>
    <x v="10"/>
    <n v="5"/>
    <n v="280"/>
    <x v="3"/>
    <n v="1190"/>
    <n v="800"/>
    <n v="390"/>
  </r>
  <r>
    <s v="ORD10423"/>
    <x v="2344"/>
    <s v="CUST1384"/>
    <s v="Customer 384"/>
    <x v="3"/>
    <s v="Punjab"/>
    <x v="0"/>
    <s v="Stationery"/>
    <x v="10"/>
    <n v="5"/>
    <n v="280"/>
    <x v="3"/>
    <n v="1190"/>
    <n v="800"/>
    <n v="390"/>
  </r>
  <r>
    <s v="ORD12644"/>
    <x v="2345"/>
    <s v="CUST1233"/>
    <s v="Customer 233"/>
    <x v="1"/>
    <s v="Tamil Nadu"/>
    <x v="1"/>
    <s v="Kitchen"/>
    <x v="1"/>
    <n v="4"/>
    <n v="1900"/>
    <x v="0"/>
    <n v="6840"/>
    <n v="5000"/>
    <n v="1840"/>
  </r>
  <r>
    <s v="ORD11185"/>
    <x v="2346"/>
    <s v="CUST1211"/>
    <s v="Customer 211"/>
    <x v="1"/>
    <s v="Kerala"/>
    <x v="0"/>
    <s v="Paper"/>
    <x v="3"/>
    <n v="2"/>
    <n v="520"/>
    <x v="5"/>
    <n v="832"/>
    <n v="660"/>
    <n v="172"/>
  </r>
  <r>
    <s v="ORD13648"/>
    <x v="2347"/>
    <s v="CUST1301"/>
    <s v="Customer 301"/>
    <x v="1"/>
    <s v="Karnataka"/>
    <x v="3"/>
    <s v="Storage"/>
    <x v="6"/>
    <n v="5"/>
    <n v="5600"/>
    <x v="2"/>
    <n v="28000"/>
    <n v="19500"/>
    <n v="8500"/>
  </r>
  <r>
    <s v="ORD12196"/>
    <x v="2348"/>
    <s v="CUST1409"/>
    <s v="Customer 409"/>
    <x v="2"/>
    <s v="Gujarat"/>
    <x v="1"/>
    <s v="Kitchen"/>
    <x v="1"/>
    <n v="3"/>
    <n v="1900"/>
    <x v="3"/>
    <n v="4845"/>
    <n v="3750"/>
    <n v="1095"/>
  </r>
  <r>
    <s v="ORD13787"/>
    <x v="2349"/>
    <s v="CUST1089"/>
    <s v="Customer 089"/>
    <x v="0"/>
    <s v="Bihar"/>
    <x v="0"/>
    <s v="Accessories"/>
    <x v="0"/>
    <n v="1"/>
    <n v="650"/>
    <x v="4"/>
    <n v="617.5"/>
    <n v="390"/>
    <n v="227.5"/>
  </r>
  <r>
    <s v="ORD11610"/>
    <x v="2350"/>
    <s v="CUST1064"/>
    <s v="Customer 064"/>
    <x v="1"/>
    <s v="Andhra Pradesh"/>
    <x v="3"/>
    <s v="Storage"/>
    <x v="14"/>
    <n v="1"/>
    <n v="4800"/>
    <x v="4"/>
    <n v="4560"/>
    <n v="3300"/>
    <n v="1260"/>
  </r>
  <r>
    <s v="ORD12976"/>
    <x v="2351"/>
    <s v="CUST1235"/>
    <s v="Customer 235"/>
    <x v="1"/>
    <s v="Tamil Nadu"/>
    <x v="2"/>
    <s v="Accessories"/>
    <x v="9"/>
    <n v="2"/>
    <n v="850"/>
    <x v="3"/>
    <n v="1445"/>
    <n v="1120"/>
    <n v="325"/>
  </r>
  <r>
    <s v="ORD12597"/>
    <x v="2352"/>
    <s v="CUST1251"/>
    <s v="Customer 251"/>
    <x v="2"/>
    <s v="Goa"/>
    <x v="2"/>
    <s v="Monitors"/>
    <x v="11"/>
    <n v="2"/>
    <n v="10500"/>
    <x v="5"/>
    <n v="16800"/>
    <n v="15200"/>
    <n v="1600"/>
  </r>
  <r>
    <s v="ORD11032"/>
    <x v="2353"/>
    <s v="CUST1087"/>
    <s v="Customer 087"/>
    <x v="1"/>
    <s v="Kerala"/>
    <x v="1"/>
    <s v="Kitchen"/>
    <x v="4"/>
    <n v="4"/>
    <n v="6800"/>
    <x v="3"/>
    <n v="23120"/>
    <n v="18800"/>
    <n v="4320"/>
  </r>
  <r>
    <s v="ORD10711"/>
    <x v="2354"/>
    <s v="CUST1340"/>
    <s v="Customer 340"/>
    <x v="0"/>
    <s v="Jharkhand"/>
    <x v="0"/>
    <s v="Accessories"/>
    <x v="0"/>
    <n v="3"/>
    <n v="650"/>
    <x v="0"/>
    <n v="1755"/>
    <n v="1170"/>
    <n v="585"/>
  </r>
  <r>
    <s v="ORD11501"/>
    <x v="2355"/>
    <s v="CUST1265"/>
    <s v="Customer 265"/>
    <x v="1"/>
    <s v="Tamil Nadu"/>
    <x v="0"/>
    <s v="Paper"/>
    <x v="3"/>
    <n v="3"/>
    <n v="520"/>
    <x v="5"/>
    <n v="1248"/>
    <n v="990"/>
    <n v="258"/>
  </r>
  <r>
    <s v="ORD11711"/>
    <x v="2356"/>
    <s v="CUST1172"/>
    <s v="Customer 172"/>
    <x v="3"/>
    <s v="Delhi"/>
    <x v="0"/>
    <s v="Paper"/>
    <x v="3"/>
    <n v="5"/>
    <n v="520"/>
    <x v="0"/>
    <n v="2340"/>
    <n v="1650"/>
    <n v="690"/>
  </r>
  <r>
    <s v="ORD10451"/>
    <x v="2357"/>
    <s v="CUST1481"/>
    <s v="Customer 481"/>
    <x v="2"/>
    <s v="Goa"/>
    <x v="1"/>
    <s v="Kitchen"/>
    <x v="4"/>
    <n v="5"/>
    <n v="6800"/>
    <x v="2"/>
    <n v="34000"/>
    <n v="23500"/>
    <n v="10500"/>
  </r>
  <r>
    <s v="ORD11197"/>
    <x v="2358"/>
    <s v="CUST1357"/>
    <s v="Customer 357"/>
    <x v="2"/>
    <s v="Gujarat"/>
    <x v="0"/>
    <s v="Stationery"/>
    <x v="10"/>
    <n v="2"/>
    <n v="280"/>
    <x v="2"/>
    <n v="560"/>
    <n v="320"/>
    <n v="240"/>
  </r>
  <r>
    <s v="ORD11801"/>
    <x v="2359"/>
    <s v="CUST1029"/>
    <s v="Customer 029"/>
    <x v="1"/>
    <s v="Kerala"/>
    <x v="2"/>
    <s v="Accessories"/>
    <x v="9"/>
    <n v="1"/>
    <n v="850"/>
    <x v="0"/>
    <n v="765"/>
    <n v="560"/>
    <n v="205"/>
  </r>
  <r>
    <s v="ORD13488"/>
    <x v="2360"/>
    <s v="CUST1480"/>
    <s v="Customer 480"/>
    <x v="1"/>
    <s v="Andhra Pradesh"/>
    <x v="1"/>
    <s v="Kitchen"/>
    <x v="4"/>
    <n v="5"/>
    <n v="6800"/>
    <x v="0"/>
    <n v="30600"/>
    <n v="23500"/>
    <n v="7100"/>
  </r>
  <r>
    <s v="ORD10524"/>
    <x v="2361"/>
    <s v="CUST1413"/>
    <s v="Customer 413"/>
    <x v="2"/>
    <s v="Maharashtra"/>
    <x v="3"/>
    <s v="Tables"/>
    <x v="16"/>
    <n v="5"/>
    <n v="6200"/>
    <x v="2"/>
    <n v="31000"/>
    <n v="21500"/>
    <n v="9500"/>
  </r>
  <r>
    <s v="ORD11869"/>
    <x v="2362"/>
    <s v="CUST1016"/>
    <s v="Customer 016"/>
    <x v="2"/>
    <s v="Goa"/>
    <x v="2"/>
    <s v="Accessories"/>
    <x v="9"/>
    <n v="1"/>
    <n v="850"/>
    <x v="5"/>
    <n v="680"/>
    <n v="560"/>
    <n v="120"/>
  </r>
  <r>
    <s v="ORD11308"/>
    <x v="2363"/>
    <s v="CUST1119"/>
    <s v="Customer 119"/>
    <x v="1"/>
    <s v="Kerala"/>
    <x v="1"/>
    <s v="Kitchen"/>
    <x v="4"/>
    <n v="3"/>
    <n v="6800"/>
    <x v="4"/>
    <n v="19380"/>
    <n v="14100"/>
    <n v="5280"/>
  </r>
  <r>
    <s v="ORD11242"/>
    <x v="2364"/>
    <s v="CUST1389"/>
    <s v="Customer 389"/>
    <x v="2"/>
    <s v="Rajasthan"/>
    <x v="3"/>
    <s v="Storage"/>
    <x v="14"/>
    <n v="4"/>
    <n v="4800"/>
    <x v="5"/>
    <n v="15360"/>
    <n v="13200"/>
    <n v="2160"/>
  </r>
  <r>
    <s v="ORD13041"/>
    <x v="2365"/>
    <s v="CUST1198"/>
    <s v="Customer 198"/>
    <x v="1"/>
    <s v="Andhra Pradesh"/>
    <x v="1"/>
    <s v="Kitchen"/>
    <x v="4"/>
    <n v="5"/>
    <n v="6800"/>
    <x v="0"/>
    <n v="30600"/>
    <n v="23500"/>
    <n v="7100"/>
  </r>
  <r>
    <s v="ORD10492"/>
    <x v="2366"/>
    <s v="CUST1434"/>
    <s v="Customer 434"/>
    <x v="1"/>
    <s v="Tamil Nadu"/>
    <x v="1"/>
    <s v="Kitchen"/>
    <x v="4"/>
    <n v="2"/>
    <n v="6800"/>
    <x v="5"/>
    <n v="10880"/>
    <n v="9400"/>
    <n v="1480"/>
  </r>
  <r>
    <s v="ORD13230"/>
    <x v="2367"/>
    <s v="CUST1418"/>
    <s v="Customer 418"/>
    <x v="1"/>
    <s v="Kerala"/>
    <x v="0"/>
    <s v="Stationery"/>
    <x v="18"/>
    <n v="2"/>
    <n v="300"/>
    <x v="4"/>
    <n v="570"/>
    <n v="340"/>
    <n v="230"/>
  </r>
  <r>
    <s v="ORD10924"/>
    <x v="2368"/>
    <s v="CUST1073"/>
    <s v="Customer 073"/>
    <x v="3"/>
    <s v="Haryana"/>
    <x v="3"/>
    <s v="Tables"/>
    <x v="16"/>
    <n v="5"/>
    <n v="6200"/>
    <x v="4"/>
    <n v="29450"/>
    <n v="21500"/>
    <n v="7950"/>
  </r>
  <r>
    <s v="ORD13803"/>
    <x v="2369"/>
    <s v="CUST1403"/>
    <s v="Customer 403"/>
    <x v="3"/>
    <s v="Haryana"/>
    <x v="0"/>
    <s v="Stationery"/>
    <x v="15"/>
    <n v="5"/>
    <n v="450"/>
    <x v="3"/>
    <n v="1912.5"/>
    <n v="1300"/>
    <n v="612.5"/>
  </r>
  <r>
    <s v="ORD13907"/>
    <x v="2370"/>
    <s v="CUST1358"/>
    <s v="Customer 358"/>
    <x v="2"/>
    <s v="Maharashtra"/>
    <x v="0"/>
    <s v="Stationery"/>
    <x v="10"/>
    <n v="2"/>
    <n v="280"/>
    <x v="4"/>
    <n v="532"/>
    <n v="320"/>
    <n v="212"/>
  </r>
  <r>
    <s v="ORD11235"/>
    <x v="2371"/>
    <s v="CUST1319"/>
    <s v="Customer 319"/>
    <x v="1"/>
    <s v="Tamil Nadu"/>
    <x v="2"/>
    <s v="Monitors"/>
    <x v="11"/>
    <n v="4"/>
    <n v="10500"/>
    <x v="1"/>
    <n v="31500"/>
    <n v="30400"/>
    <n v="1100"/>
  </r>
  <r>
    <s v="ORD11034"/>
    <x v="2372"/>
    <s v="CUST1157"/>
    <s v="Customer 157"/>
    <x v="1"/>
    <s v="Telangana"/>
    <x v="1"/>
    <s v="Kitchen"/>
    <x v="4"/>
    <n v="3"/>
    <n v="6800"/>
    <x v="5"/>
    <n v="16320"/>
    <n v="14100"/>
    <n v="2220"/>
  </r>
  <r>
    <s v="ORD10167"/>
    <x v="2373"/>
    <s v="CUST1161"/>
    <s v="Customer 161"/>
    <x v="0"/>
    <s v="Bihar"/>
    <x v="0"/>
    <s v="Stationery"/>
    <x v="15"/>
    <n v="1"/>
    <n v="450"/>
    <x v="1"/>
    <n v="337.5"/>
    <n v="260"/>
    <n v="77.5"/>
  </r>
  <r>
    <s v="ORD12917"/>
    <x v="2374"/>
    <s v="CUST1311"/>
    <s v="Customer 311"/>
    <x v="3"/>
    <s v="Uttar Pradesh"/>
    <x v="3"/>
    <s v="Storage"/>
    <x v="6"/>
    <n v="5"/>
    <n v="5600"/>
    <x v="5"/>
    <n v="22400"/>
    <n v="19500"/>
    <n v="2900"/>
  </r>
  <r>
    <s v="ORD11448"/>
    <x v="2375"/>
    <s v="CUST1480"/>
    <s v="Customer 480"/>
    <x v="3"/>
    <s v="Delhi"/>
    <x v="3"/>
    <s v="Storage"/>
    <x v="6"/>
    <n v="1"/>
    <n v="5600"/>
    <x v="4"/>
    <n v="5320"/>
    <n v="3900"/>
    <n v="1420"/>
  </r>
  <r>
    <s v="ORD11072"/>
    <x v="2376"/>
    <s v="CUST1105"/>
    <s v="Customer 105"/>
    <x v="0"/>
    <s v="West Bengal"/>
    <x v="2"/>
    <s v="Accessories"/>
    <x v="8"/>
    <n v="1"/>
    <n v="1800"/>
    <x v="1"/>
    <n v="1350"/>
    <n v="1100"/>
    <n v="250"/>
  </r>
  <r>
    <s v="ORD11712"/>
    <x v="2377"/>
    <s v="CUST1235"/>
    <s v="Customer 235"/>
    <x v="3"/>
    <s v="Punjab"/>
    <x v="3"/>
    <s v="Storage"/>
    <x v="14"/>
    <n v="2"/>
    <n v="4800"/>
    <x v="2"/>
    <n v="9600"/>
    <n v="6600"/>
    <n v="3000"/>
  </r>
  <r>
    <s v="ORD13126"/>
    <x v="2378"/>
    <s v="CUST1445"/>
    <s v="Customer 445"/>
    <x v="1"/>
    <s v="Tamil Nadu"/>
    <x v="2"/>
    <s v="Monitors"/>
    <x v="11"/>
    <n v="5"/>
    <n v="10500"/>
    <x v="5"/>
    <n v="42000"/>
    <n v="38000"/>
    <n v="4000"/>
  </r>
  <r>
    <s v="ORD13439"/>
    <x v="2379"/>
    <s v="CUST1468"/>
    <s v="Customer 468"/>
    <x v="0"/>
    <s v="Odisha"/>
    <x v="0"/>
    <s v="Stationery"/>
    <x v="15"/>
    <n v="5"/>
    <n v="450"/>
    <x v="4"/>
    <n v="2137.5"/>
    <n v="1300"/>
    <n v="837.5"/>
  </r>
  <r>
    <s v="ORD12227"/>
    <x v="2380"/>
    <s v="CUST1439"/>
    <s v="Customer 439"/>
    <x v="2"/>
    <s v="Maharashtra"/>
    <x v="0"/>
    <s v="Stationery"/>
    <x v="18"/>
    <n v="3"/>
    <n v="300"/>
    <x v="3"/>
    <n v="765"/>
    <n v="510"/>
    <n v="255"/>
  </r>
  <r>
    <s v="ORD13391"/>
    <x v="2381"/>
    <s v="CUST1127"/>
    <s v="Customer 127"/>
    <x v="2"/>
    <s v="Gujarat"/>
    <x v="2"/>
    <s v="Accessories"/>
    <x v="9"/>
    <n v="4"/>
    <n v="850"/>
    <x v="4"/>
    <n v="3230"/>
    <n v="2240"/>
    <n v="990"/>
  </r>
  <r>
    <s v="ORD10890"/>
    <x v="2382"/>
    <s v="CUST1136"/>
    <s v="Customer 136"/>
    <x v="1"/>
    <s v="Karnataka"/>
    <x v="2"/>
    <s v="Audio"/>
    <x v="5"/>
    <n v="1"/>
    <n v="2200"/>
    <x v="3"/>
    <n v="1870"/>
    <n v="1450"/>
    <n v="420"/>
  </r>
  <r>
    <s v="ORD13121"/>
    <x v="2383"/>
    <s v="CUST1312"/>
    <s v="Customer 312"/>
    <x v="2"/>
    <s v="Rajasthan"/>
    <x v="1"/>
    <s v="Kitchen"/>
    <x v="1"/>
    <n v="4"/>
    <n v="1900"/>
    <x v="2"/>
    <n v="7600"/>
    <n v="5000"/>
    <n v="2600"/>
  </r>
  <r>
    <s v="ORD12473"/>
    <x v="2384"/>
    <s v="CUST1208"/>
    <s v="Customer 208"/>
    <x v="2"/>
    <s v="Rajasthan"/>
    <x v="0"/>
    <s v="Accessories"/>
    <x v="0"/>
    <n v="4"/>
    <n v="650"/>
    <x v="4"/>
    <n v="2470"/>
    <n v="1560"/>
    <n v="910"/>
  </r>
  <r>
    <s v="ORD13772"/>
    <x v="2385"/>
    <s v="CUST1166"/>
    <s v="Customer 166"/>
    <x v="0"/>
    <s v="Odisha"/>
    <x v="3"/>
    <s v="Storage"/>
    <x v="14"/>
    <n v="3"/>
    <n v="4800"/>
    <x v="4"/>
    <n v="13680"/>
    <n v="9900"/>
    <n v="3780"/>
  </r>
  <r>
    <s v="ORD11826"/>
    <x v="2386"/>
    <s v="CUST1451"/>
    <s v="Customer 451"/>
    <x v="2"/>
    <s v="Goa"/>
    <x v="2"/>
    <s v="Accessories"/>
    <x v="13"/>
    <n v="3"/>
    <n v="1400"/>
    <x v="0"/>
    <n v="3780"/>
    <n v="2700"/>
    <n v="1080"/>
  </r>
  <r>
    <s v="ORD11110"/>
    <x v="2387"/>
    <s v="CUST1023"/>
    <s v="Customer 023"/>
    <x v="0"/>
    <s v="West Bengal"/>
    <x v="3"/>
    <s v="Storage"/>
    <x v="6"/>
    <n v="5"/>
    <n v="5600"/>
    <x v="4"/>
    <n v="26600"/>
    <n v="19500"/>
    <n v="7100"/>
  </r>
  <r>
    <s v="ORD11411"/>
    <x v="2388"/>
    <s v="CUST1031"/>
    <s v="Customer 031"/>
    <x v="2"/>
    <s v="Rajasthan"/>
    <x v="3"/>
    <s v="Chairs"/>
    <x v="12"/>
    <n v="5"/>
    <n v="7500"/>
    <x v="3"/>
    <n v="31875"/>
    <n v="26000"/>
    <n v="5875"/>
  </r>
  <r>
    <s v="ORD11714"/>
    <x v="2389"/>
    <s v="CUST1367"/>
    <s v="Customer 367"/>
    <x v="3"/>
    <s v="Delhi"/>
    <x v="0"/>
    <s v="Stationery"/>
    <x v="15"/>
    <n v="2"/>
    <n v="450"/>
    <x v="4"/>
    <n v="855"/>
    <n v="520"/>
    <n v="335"/>
  </r>
  <r>
    <s v="ORD12880"/>
    <x v="2390"/>
    <s v="CUST1489"/>
    <s v="Customer 489"/>
    <x v="1"/>
    <s v="Andhra Pradesh"/>
    <x v="0"/>
    <s v="Stationery"/>
    <x v="15"/>
    <n v="5"/>
    <n v="450"/>
    <x v="4"/>
    <n v="2137.5"/>
    <n v="1300"/>
    <n v="837.5"/>
  </r>
  <r>
    <s v="ORD11688"/>
    <x v="2391"/>
    <s v="CUST1204"/>
    <s v="Customer 204"/>
    <x v="0"/>
    <s v="Odisha"/>
    <x v="1"/>
    <s v="Kitchen"/>
    <x v="1"/>
    <n v="4"/>
    <n v="1900"/>
    <x v="0"/>
    <n v="6840"/>
    <n v="5000"/>
    <n v="1840"/>
  </r>
  <r>
    <s v="ORD12269"/>
    <x v="2392"/>
    <s v="CUST1060"/>
    <s v="Customer 060"/>
    <x v="3"/>
    <s v="Delhi"/>
    <x v="0"/>
    <s v="Stationery"/>
    <x v="15"/>
    <n v="5"/>
    <n v="450"/>
    <x v="2"/>
    <n v="2250"/>
    <n v="1300"/>
    <n v="950"/>
  </r>
  <r>
    <s v="ORD13940"/>
    <x v="2393"/>
    <s v="CUST1255"/>
    <s v="Customer 255"/>
    <x v="3"/>
    <s v="Delhi"/>
    <x v="0"/>
    <s v="Stationery"/>
    <x v="18"/>
    <n v="1"/>
    <n v="300"/>
    <x v="0"/>
    <n v="270"/>
    <n v="170"/>
    <n v="100"/>
  </r>
  <r>
    <s v="ORD13652"/>
    <x v="2394"/>
    <s v="CUST1036"/>
    <s v="Customer 036"/>
    <x v="2"/>
    <s v="Maharashtra"/>
    <x v="3"/>
    <s v="Storage"/>
    <x v="14"/>
    <n v="5"/>
    <n v="4800"/>
    <x v="0"/>
    <n v="21600"/>
    <n v="16500"/>
    <n v="5100"/>
  </r>
  <r>
    <s v="ORD10756"/>
    <x v="2395"/>
    <s v="CUST1219"/>
    <s v="Customer 219"/>
    <x v="3"/>
    <s v="Uttar Pradesh"/>
    <x v="2"/>
    <s v="Accessories"/>
    <x v="8"/>
    <n v="2"/>
    <n v="1800"/>
    <x v="3"/>
    <n v="3060"/>
    <n v="2200"/>
    <n v="860"/>
  </r>
  <r>
    <s v="ORD11482"/>
    <x v="2396"/>
    <s v="CUST1001"/>
    <s v="Customer 001"/>
    <x v="3"/>
    <s v="Haryana"/>
    <x v="3"/>
    <s v="Storage"/>
    <x v="6"/>
    <n v="4"/>
    <n v="5600"/>
    <x v="2"/>
    <n v="22400"/>
    <n v="15600"/>
    <n v="6800"/>
  </r>
  <r>
    <s v="ORD10634"/>
    <x v="2397"/>
    <s v="CUST1190"/>
    <s v="Customer 190"/>
    <x v="2"/>
    <s v="Goa"/>
    <x v="0"/>
    <s v="Stationery"/>
    <x v="18"/>
    <n v="4"/>
    <n v="300"/>
    <x v="2"/>
    <n v="1200"/>
    <n v="680"/>
    <n v="520"/>
  </r>
  <r>
    <s v="ORD12778"/>
    <x v="2398"/>
    <s v="CUST1452"/>
    <s v="Customer 452"/>
    <x v="1"/>
    <s v="Tamil Nadu"/>
    <x v="3"/>
    <s v="Tables"/>
    <x v="16"/>
    <n v="4"/>
    <n v="6200"/>
    <x v="3"/>
    <n v="21080"/>
    <n v="17200"/>
    <n v="3880"/>
  </r>
  <r>
    <s v="ORD10346"/>
    <x v="2399"/>
    <s v="CUST1128"/>
    <s v="Customer 128"/>
    <x v="1"/>
    <s v="Karnataka"/>
    <x v="3"/>
    <s v="Tables"/>
    <x v="16"/>
    <n v="3"/>
    <n v="6200"/>
    <x v="4"/>
    <n v="17670"/>
    <n v="12900"/>
    <n v="4770"/>
  </r>
  <r>
    <s v="ORD13848"/>
    <x v="2400"/>
    <s v="CUST1180"/>
    <s v="Customer 180"/>
    <x v="1"/>
    <s v="Kerala"/>
    <x v="3"/>
    <s v="Storage"/>
    <x v="6"/>
    <n v="3"/>
    <n v="5600"/>
    <x v="2"/>
    <n v="16800"/>
    <n v="11700"/>
    <n v="5100"/>
  </r>
  <r>
    <s v="ORD13302"/>
    <x v="2401"/>
    <s v="CUST1134"/>
    <s v="Customer 134"/>
    <x v="2"/>
    <s v="Rajasthan"/>
    <x v="1"/>
    <s v="Appliances"/>
    <x v="7"/>
    <n v="1"/>
    <n v="2400"/>
    <x v="0"/>
    <n v="2160"/>
    <n v="1650"/>
    <n v="510"/>
  </r>
  <r>
    <s v="ORD10664"/>
    <x v="2402"/>
    <s v="CUST1102"/>
    <s v="Customer 102"/>
    <x v="1"/>
    <s v="Andhra Pradesh"/>
    <x v="1"/>
    <s v="Kitchen"/>
    <x v="4"/>
    <n v="4"/>
    <n v="6800"/>
    <x v="3"/>
    <n v="23120"/>
    <n v="18800"/>
    <n v="4320"/>
  </r>
  <r>
    <s v="ORD11053"/>
    <x v="2403"/>
    <s v="CUST1251"/>
    <s v="Customer 251"/>
    <x v="2"/>
    <s v="Maharashtra"/>
    <x v="1"/>
    <s v="Kitchen"/>
    <x v="1"/>
    <n v="5"/>
    <n v="1900"/>
    <x v="3"/>
    <n v="8075"/>
    <n v="6250"/>
    <n v="1825"/>
  </r>
  <r>
    <s v="ORD10913"/>
    <x v="2404"/>
    <s v="CUST1189"/>
    <s v="Customer 189"/>
    <x v="2"/>
    <s v="Goa"/>
    <x v="0"/>
    <s v="Stationery"/>
    <x v="15"/>
    <n v="2"/>
    <n v="450"/>
    <x v="1"/>
    <n v="675"/>
    <n v="520"/>
    <n v="155"/>
  </r>
  <r>
    <s v="ORD13305"/>
    <x v="2405"/>
    <s v="CUST1060"/>
    <s v="Customer 060"/>
    <x v="1"/>
    <s v="Kerala"/>
    <x v="0"/>
    <s v="Stationery"/>
    <x v="15"/>
    <n v="3"/>
    <n v="450"/>
    <x v="0"/>
    <n v="1215"/>
    <n v="780"/>
    <n v="435"/>
  </r>
  <r>
    <s v="ORD12283"/>
    <x v="2406"/>
    <s v="CUST1162"/>
    <s v="Customer 162"/>
    <x v="2"/>
    <s v="Gujarat"/>
    <x v="3"/>
    <s v="Storage"/>
    <x v="6"/>
    <n v="5"/>
    <n v="5600"/>
    <x v="3"/>
    <n v="23800"/>
    <n v="19500"/>
    <n v="4300"/>
  </r>
  <r>
    <s v="ORD12550"/>
    <x v="2407"/>
    <s v="CUST1065"/>
    <s v="Customer 065"/>
    <x v="1"/>
    <s v="Telangana"/>
    <x v="3"/>
    <s v="Storage"/>
    <x v="14"/>
    <n v="1"/>
    <n v="4800"/>
    <x v="1"/>
    <n v="3600"/>
    <n v="3300"/>
    <n v="300"/>
  </r>
  <r>
    <s v="ORD11625"/>
    <x v="2408"/>
    <s v="CUST1277"/>
    <s v="Customer 277"/>
    <x v="2"/>
    <s v="Maharashtra"/>
    <x v="0"/>
    <s v="Stationery"/>
    <x v="10"/>
    <n v="5"/>
    <n v="280"/>
    <x v="2"/>
    <n v="1400"/>
    <n v="800"/>
    <n v="600"/>
  </r>
  <r>
    <s v="ORD10532"/>
    <x v="2409"/>
    <s v="CUST1083"/>
    <s v="Customer 083"/>
    <x v="2"/>
    <s v="Rajasthan"/>
    <x v="2"/>
    <s v="Accessories"/>
    <x v="9"/>
    <n v="2"/>
    <n v="850"/>
    <x v="5"/>
    <n v="1360"/>
    <n v="1120"/>
    <n v="240"/>
  </r>
  <r>
    <s v="ORD10071"/>
    <x v="2410"/>
    <s v="CUST1398"/>
    <s v="Customer 398"/>
    <x v="3"/>
    <s v="Punjab"/>
    <x v="3"/>
    <s v="Storage"/>
    <x v="6"/>
    <n v="3"/>
    <n v="5600"/>
    <x v="3"/>
    <n v="14280"/>
    <n v="11700"/>
    <n v="2580"/>
  </r>
  <r>
    <s v="ORD13085"/>
    <x v="2411"/>
    <s v="CUST1170"/>
    <s v="Customer 170"/>
    <x v="0"/>
    <s v="West Bengal"/>
    <x v="2"/>
    <s v="Audio"/>
    <x v="5"/>
    <n v="5"/>
    <n v="2200"/>
    <x v="3"/>
    <n v="9350"/>
    <n v="7250"/>
    <n v="2100"/>
  </r>
  <r>
    <s v="ORD11721"/>
    <x v="2412"/>
    <s v="CUST1045"/>
    <s v="Customer 045"/>
    <x v="2"/>
    <s v="Gujarat"/>
    <x v="0"/>
    <s v="Paper"/>
    <x v="3"/>
    <n v="2"/>
    <n v="520"/>
    <x v="0"/>
    <n v="936"/>
    <n v="660"/>
    <n v="276"/>
  </r>
  <r>
    <s v="ORD11489"/>
    <x v="2413"/>
    <s v="CUST1056"/>
    <s v="Customer 056"/>
    <x v="1"/>
    <s v="Andhra Pradesh"/>
    <x v="1"/>
    <s v="Appliances"/>
    <x v="7"/>
    <n v="4"/>
    <n v="2400"/>
    <x v="2"/>
    <n v="9600"/>
    <n v="6600"/>
    <n v="3000"/>
  </r>
  <r>
    <s v="ORD13398"/>
    <x v="2414"/>
    <s v="CUST1481"/>
    <s v="Customer 481"/>
    <x v="1"/>
    <s v="Tamil Nadu"/>
    <x v="0"/>
    <s v="Paper"/>
    <x v="3"/>
    <n v="4"/>
    <n v="520"/>
    <x v="4"/>
    <n v="1976"/>
    <n v="1320"/>
    <n v="656"/>
  </r>
  <r>
    <s v="ORD12674"/>
    <x v="2415"/>
    <s v="CUST1094"/>
    <s v="Customer 094"/>
    <x v="1"/>
    <s v="Telangana"/>
    <x v="0"/>
    <s v="Stationery"/>
    <x v="15"/>
    <n v="5"/>
    <n v="450"/>
    <x v="2"/>
    <n v="2250"/>
    <n v="1300"/>
    <n v="950"/>
  </r>
  <r>
    <s v="ORD10035"/>
    <x v="2416"/>
    <s v="CUST1444"/>
    <s v="Customer 444"/>
    <x v="1"/>
    <s v="Kerala"/>
    <x v="2"/>
    <s v="Accessories"/>
    <x v="9"/>
    <n v="5"/>
    <n v="850"/>
    <x v="0"/>
    <n v="3825"/>
    <n v="2800"/>
    <n v="1025"/>
  </r>
  <r>
    <s v="ORD11040"/>
    <x v="2417"/>
    <s v="CUST1414"/>
    <s v="Customer 414"/>
    <x v="2"/>
    <s v="Gujarat"/>
    <x v="2"/>
    <s v="Accessories"/>
    <x v="13"/>
    <n v="4"/>
    <n v="1400"/>
    <x v="3"/>
    <n v="4760"/>
    <n v="3600"/>
    <n v="1160"/>
  </r>
  <r>
    <s v="ORD10429"/>
    <x v="2418"/>
    <s v="CUST1013"/>
    <s v="Customer 013"/>
    <x v="2"/>
    <s v="Rajasthan"/>
    <x v="1"/>
    <s v="Kitchen"/>
    <x v="2"/>
    <n v="3"/>
    <n v="4200"/>
    <x v="0"/>
    <n v="11340"/>
    <n v="8700"/>
    <n v="2640"/>
  </r>
  <r>
    <s v="ORD10937"/>
    <x v="2419"/>
    <s v="CUST1079"/>
    <s v="Customer 079"/>
    <x v="1"/>
    <s v="Telangana"/>
    <x v="2"/>
    <s v="Accessories"/>
    <x v="13"/>
    <n v="4"/>
    <n v="1400"/>
    <x v="2"/>
    <n v="5600"/>
    <n v="3600"/>
    <n v="2000"/>
  </r>
  <r>
    <s v="ORD10191"/>
    <x v="2420"/>
    <s v="CUST1342"/>
    <s v="Customer 342"/>
    <x v="1"/>
    <s v="Telangana"/>
    <x v="0"/>
    <s v="Paper"/>
    <x v="3"/>
    <n v="3"/>
    <n v="520"/>
    <x v="5"/>
    <n v="1248"/>
    <n v="990"/>
    <n v="258"/>
  </r>
  <r>
    <s v="ORD13850"/>
    <x v="2421"/>
    <s v="CUST1113"/>
    <s v="Customer 113"/>
    <x v="3"/>
    <s v="Uttar Pradesh"/>
    <x v="2"/>
    <s v="Monitors"/>
    <x v="11"/>
    <n v="5"/>
    <n v="10500"/>
    <x v="4"/>
    <n v="49875"/>
    <n v="38000"/>
    <n v="11875"/>
  </r>
  <r>
    <s v="ORD10638"/>
    <x v="2422"/>
    <s v="CUST1149"/>
    <s v="Customer 149"/>
    <x v="1"/>
    <s v="Kerala"/>
    <x v="3"/>
    <s v="Tables"/>
    <x v="16"/>
    <n v="3"/>
    <n v="6200"/>
    <x v="3"/>
    <n v="15810"/>
    <n v="12900"/>
    <n v="2910"/>
  </r>
  <r>
    <s v="ORD11010"/>
    <x v="2423"/>
    <s v="CUST1261"/>
    <s v="Customer 261"/>
    <x v="3"/>
    <s v="Uttar Pradesh"/>
    <x v="2"/>
    <s v="Audio"/>
    <x v="17"/>
    <n v="3"/>
    <n v="2800"/>
    <x v="3"/>
    <n v="7140"/>
    <n v="5400"/>
    <n v="1740"/>
  </r>
  <r>
    <s v="ORD12426"/>
    <x v="2424"/>
    <s v="CUST1281"/>
    <s v="Customer 281"/>
    <x v="1"/>
    <s v="Telangana"/>
    <x v="3"/>
    <s v="Tables"/>
    <x v="16"/>
    <n v="3"/>
    <n v="6200"/>
    <x v="3"/>
    <n v="15810"/>
    <n v="12900"/>
    <n v="2910"/>
  </r>
  <r>
    <s v="ORD11564"/>
    <x v="2425"/>
    <s v="CUST1460"/>
    <s v="Customer 460"/>
    <x v="1"/>
    <s v="Karnataka"/>
    <x v="0"/>
    <s v="Accessories"/>
    <x v="0"/>
    <n v="5"/>
    <n v="650"/>
    <x v="0"/>
    <n v="2925"/>
    <n v="1950"/>
    <n v="975"/>
  </r>
  <r>
    <s v="ORD10898"/>
    <x v="2426"/>
    <s v="CUST1028"/>
    <s v="Customer 028"/>
    <x v="1"/>
    <s v="Telangana"/>
    <x v="2"/>
    <s v="Monitors"/>
    <x v="11"/>
    <n v="1"/>
    <n v="10500"/>
    <x v="5"/>
    <n v="8400"/>
    <n v="7600"/>
    <n v="800"/>
  </r>
  <r>
    <s v="ORD13624"/>
    <x v="2427"/>
    <s v="CUST1221"/>
    <s v="Customer 221"/>
    <x v="2"/>
    <s v="Goa"/>
    <x v="0"/>
    <s v="Accessories"/>
    <x v="0"/>
    <n v="5"/>
    <n v="650"/>
    <x v="5"/>
    <n v="2600"/>
    <n v="1950"/>
    <n v="650"/>
  </r>
  <r>
    <s v="ORD12281"/>
    <x v="2428"/>
    <s v="CUST1382"/>
    <s v="Customer 382"/>
    <x v="1"/>
    <s v="Telangana"/>
    <x v="0"/>
    <s v="Paper"/>
    <x v="3"/>
    <n v="5"/>
    <n v="520"/>
    <x v="2"/>
    <n v="2600"/>
    <n v="1650"/>
    <n v="950"/>
  </r>
  <r>
    <s v="ORD12476"/>
    <x v="2429"/>
    <s v="CUST1212"/>
    <s v="Customer 212"/>
    <x v="2"/>
    <s v="Goa"/>
    <x v="2"/>
    <s v="Monitors"/>
    <x v="11"/>
    <n v="3"/>
    <n v="10500"/>
    <x v="3"/>
    <n v="26775"/>
    <n v="22800"/>
    <n v="3975"/>
  </r>
  <r>
    <s v="ORD13113"/>
    <x v="2430"/>
    <s v="CUST1030"/>
    <s v="Customer 030"/>
    <x v="3"/>
    <s v="Delhi"/>
    <x v="2"/>
    <s v="Audio"/>
    <x v="5"/>
    <n v="4"/>
    <n v="2200"/>
    <x v="4"/>
    <n v="8360"/>
    <n v="5800"/>
    <n v="2560"/>
  </r>
  <r>
    <s v="ORD13926"/>
    <x v="2431"/>
    <s v="CUST1286"/>
    <s v="Customer 286"/>
    <x v="1"/>
    <s v="Telangana"/>
    <x v="3"/>
    <s v="Storage"/>
    <x v="6"/>
    <n v="2"/>
    <n v="5600"/>
    <x v="2"/>
    <n v="11200"/>
    <n v="7800"/>
    <n v="3400"/>
  </r>
  <r>
    <s v="ORD10324"/>
    <x v="2432"/>
    <s v="CUST1459"/>
    <s v="Customer 459"/>
    <x v="1"/>
    <s v="Kerala"/>
    <x v="1"/>
    <s v="Kitchen"/>
    <x v="4"/>
    <n v="2"/>
    <n v="6800"/>
    <x v="0"/>
    <n v="12240"/>
    <n v="9400"/>
    <n v="2840"/>
  </r>
  <r>
    <s v="ORD13044"/>
    <x v="2433"/>
    <s v="CUST1265"/>
    <s v="Customer 265"/>
    <x v="1"/>
    <s v="Karnataka"/>
    <x v="2"/>
    <s v="Accessories"/>
    <x v="8"/>
    <n v="3"/>
    <n v="1800"/>
    <x v="4"/>
    <n v="5130"/>
    <n v="3300"/>
    <n v="1830"/>
  </r>
  <r>
    <s v="ORD12158"/>
    <x v="2434"/>
    <s v="CUST1317"/>
    <s v="Customer 317"/>
    <x v="1"/>
    <s v="Tamil Nadu"/>
    <x v="0"/>
    <s v="Accessories"/>
    <x v="0"/>
    <n v="5"/>
    <n v="650"/>
    <x v="3"/>
    <n v="2762.5"/>
    <n v="1950"/>
    <n v="812.5"/>
  </r>
  <r>
    <s v="ORD13256"/>
    <x v="2435"/>
    <s v="CUST1095"/>
    <s v="Customer 095"/>
    <x v="0"/>
    <s v="Jharkhand"/>
    <x v="2"/>
    <s v="Accessories"/>
    <x v="13"/>
    <n v="5"/>
    <n v="1400"/>
    <x v="2"/>
    <n v="7000"/>
    <n v="4500"/>
    <n v="2500"/>
  </r>
  <r>
    <s v="ORD10693"/>
    <x v="2436"/>
    <s v="CUST1466"/>
    <s v="Customer 466"/>
    <x v="0"/>
    <s v="Jharkhand"/>
    <x v="2"/>
    <s v="Accessories"/>
    <x v="8"/>
    <n v="2"/>
    <n v="1800"/>
    <x v="3"/>
    <n v="3060"/>
    <n v="2200"/>
    <n v="860"/>
  </r>
  <r>
    <s v="ORD10606"/>
    <x v="2437"/>
    <s v="CUST1269"/>
    <s v="Customer 269"/>
    <x v="1"/>
    <s v="Kerala"/>
    <x v="3"/>
    <s v="Storage"/>
    <x v="6"/>
    <n v="3"/>
    <n v="5600"/>
    <x v="2"/>
    <n v="16800"/>
    <n v="11700"/>
    <n v="5100"/>
  </r>
  <r>
    <s v="ORD13172"/>
    <x v="2438"/>
    <s v="CUST1470"/>
    <s v="Customer 470"/>
    <x v="2"/>
    <s v="Gujarat"/>
    <x v="0"/>
    <s v="Stationery"/>
    <x v="18"/>
    <n v="5"/>
    <n v="300"/>
    <x v="5"/>
    <n v="1200"/>
    <n v="850"/>
    <n v="350"/>
  </r>
  <r>
    <s v="ORD12406"/>
    <x v="2439"/>
    <s v="CUST1415"/>
    <s v="Customer 415"/>
    <x v="2"/>
    <s v="Maharashtra"/>
    <x v="2"/>
    <s v="Audio"/>
    <x v="17"/>
    <n v="4"/>
    <n v="2800"/>
    <x v="5"/>
    <n v="8960"/>
    <n v="7200"/>
    <n v="1760"/>
  </r>
  <r>
    <s v="ORD12148"/>
    <x v="2440"/>
    <s v="CUST1468"/>
    <s v="Customer 468"/>
    <x v="3"/>
    <s v="Haryana"/>
    <x v="2"/>
    <s v="Accessories"/>
    <x v="13"/>
    <n v="2"/>
    <n v="1400"/>
    <x v="0"/>
    <n v="2520"/>
    <n v="1800"/>
    <n v="720"/>
  </r>
  <r>
    <s v="ORD13203"/>
    <x v="2441"/>
    <s v="CUST1385"/>
    <s v="Customer 385"/>
    <x v="1"/>
    <s v="Tamil Nadu"/>
    <x v="0"/>
    <s v="Stationery"/>
    <x v="15"/>
    <n v="4"/>
    <n v="450"/>
    <x v="3"/>
    <n v="1530"/>
    <n v="1040"/>
    <n v="490"/>
  </r>
  <r>
    <s v="ORD12152"/>
    <x v="2442"/>
    <s v="CUST1162"/>
    <s v="Customer 162"/>
    <x v="2"/>
    <s v="Gujarat"/>
    <x v="1"/>
    <s v="Appliances"/>
    <x v="7"/>
    <n v="3"/>
    <n v="2400"/>
    <x v="0"/>
    <n v="6480"/>
    <n v="4950"/>
    <n v="1530"/>
  </r>
  <r>
    <s v="ORD10639"/>
    <x v="2443"/>
    <s v="CUST1397"/>
    <s v="Customer 397"/>
    <x v="3"/>
    <s v="Haryana"/>
    <x v="3"/>
    <s v="Storage"/>
    <x v="14"/>
    <n v="1"/>
    <n v="4800"/>
    <x v="0"/>
    <n v="4320"/>
    <n v="3300"/>
    <n v="1020"/>
  </r>
  <r>
    <s v="ORD11433"/>
    <x v="2444"/>
    <s v="CUST1086"/>
    <s v="Customer 086"/>
    <x v="0"/>
    <s v="Bihar"/>
    <x v="0"/>
    <s v="Stationery"/>
    <x v="15"/>
    <n v="5"/>
    <n v="450"/>
    <x v="0"/>
    <n v="2025"/>
    <n v="1300"/>
    <n v="725"/>
  </r>
  <r>
    <s v="ORD13952"/>
    <x v="2445"/>
    <s v="CUST1110"/>
    <s v="Customer 110"/>
    <x v="2"/>
    <s v="Rajasthan"/>
    <x v="3"/>
    <s v="Storage"/>
    <x v="6"/>
    <n v="5"/>
    <n v="5600"/>
    <x v="4"/>
    <n v="26600"/>
    <n v="19500"/>
    <n v="7100"/>
  </r>
  <r>
    <s v="ORD13927"/>
    <x v="2446"/>
    <s v="CUST1251"/>
    <s v="Customer 251"/>
    <x v="3"/>
    <s v="Uttar Pradesh"/>
    <x v="3"/>
    <s v="Tables"/>
    <x v="16"/>
    <n v="3"/>
    <n v="6200"/>
    <x v="0"/>
    <n v="16740"/>
    <n v="12900"/>
    <n v="3840"/>
  </r>
  <r>
    <s v="ORD11052"/>
    <x v="2447"/>
    <s v="CUST1183"/>
    <s v="Customer 183"/>
    <x v="1"/>
    <s v="Andhra Pradesh"/>
    <x v="0"/>
    <s v="Stationery"/>
    <x v="15"/>
    <n v="3"/>
    <n v="450"/>
    <x v="4"/>
    <n v="1282.5"/>
    <n v="780"/>
    <n v="502.5"/>
  </r>
  <r>
    <s v="ORD10403"/>
    <x v="2448"/>
    <s v="CUST1161"/>
    <s v="Customer 161"/>
    <x v="3"/>
    <s v="Punjab"/>
    <x v="0"/>
    <s v="Paper"/>
    <x v="3"/>
    <n v="3"/>
    <n v="520"/>
    <x v="2"/>
    <n v="1560"/>
    <n v="990"/>
    <n v="570"/>
  </r>
  <r>
    <s v="ORD11018"/>
    <x v="2449"/>
    <s v="CUST1248"/>
    <s v="Customer 248"/>
    <x v="1"/>
    <s v="Kerala"/>
    <x v="3"/>
    <s v="Storage"/>
    <x v="6"/>
    <n v="3"/>
    <n v="5600"/>
    <x v="4"/>
    <n v="15960"/>
    <n v="11700"/>
    <n v="4260"/>
  </r>
  <r>
    <s v="ORD13601"/>
    <x v="2450"/>
    <s v="CUST1223"/>
    <s v="Customer 223"/>
    <x v="2"/>
    <s v="Rajasthan"/>
    <x v="1"/>
    <s v="Kitchen"/>
    <x v="1"/>
    <n v="2"/>
    <n v="1900"/>
    <x v="0"/>
    <n v="3420"/>
    <n v="2500"/>
    <n v="920"/>
  </r>
  <r>
    <s v="ORD13649"/>
    <x v="2451"/>
    <s v="CUST1500"/>
    <s v="Customer 500"/>
    <x v="2"/>
    <s v="Goa"/>
    <x v="2"/>
    <s v="Accessories"/>
    <x v="9"/>
    <n v="1"/>
    <n v="850"/>
    <x v="0"/>
    <n v="765"/>
    <n v="560"/>
    <n v="205"/>
  </r>
  <r>
    <s v="ORD11193"/>
    <x v="2452"/>
    <s v="CUST1086"/>
    <s v="Customer 086"/>
    <x v="2"/>
    <s v="Rajasthan"/>
    <x v="3"/>
    <s v="Storage"/>
    <x v="6"/>
    <n v="3"/>
    <n v="5600"/>
    <x v="0"/>
    <n v="15120"/>
    <n v="11700"/>
    <n v="3420"/>
  </r>
  <r>
    <s v="ORD10721"/>
    <x v="2453"/>
    <s v="CUST1070"/>
    <s v="Customer 070"/>
    <x v="2"/>
    <s v="Goa"/>
    <x v="0"/>
    <s v="Paper"/>
    <x v="3"/>
    <n v="3"/>
    <n v="520"/>
    <x v="5"/>
    <n v="1248"/>
    <n v="990"/>
    <n v="258"/>
  </r>
  <r>
    <s v="ORD12318"/>
    <x v="2454"/>
    <s v="CUST1219"/>
    <s v="Customer 219"/>
    <x v="3"/>
    <s v="Delhi"/>
    <x v="3"/>
    <s v="Storage"/>
    <x v="6"/>
    <n v="5"/>
    <n v="5600"/>
    <x v="0"/>
    <n v="25200"/>
    <n v="19500"/>
    <n v="5700"/>
  </r>
  <r>
    <s v="ORD13871"/>
    <x v="2455"/>
    <s v="CUST1023"/>
    <s v="Customer 023"/>
    <x v="2"/>
    <s v="Maharashtra"/>
    <x v="2"/>
    <s v="Audio"/>
    <x v="5"/>
    <n v="4"/>
    <n v="2200"/>
    <x v="3"/>
    <n v="7480"/>
    <n v="5800"/>
    <n v="1680"/>
  </r>
  <r>
    <s v="ORD13410"/>
    <x v="2456"/>
    <s v="CUST1237"/>
    <s v="Customer 237"/>
    <x v="3"/>
    <s v="Punjab"/>
    <x v="2"/>
    <s v="Accessories"/>
    <x v="9"/>
    <n v="5"/>
    <n v="850"/>
    <x v="0"/>
    <n v="3825"/>
    <n v="2800"/>
    <n v="1025"/>
  </r>
  <r>
    <s v="ORD11157"/>
    <x v="2457"/>
    <s v="CUST1061"/>
    <s v="Customer 061"/>
    <x v="1"/>
    <s v="Kerala"/>
    <x v="3"/>
    <s v="Tables"/>
    <x v="16"/>
    <n v="2"/>
    <n v="6200"/>
    <x v="3"/>
    <n v="10540"/>
    <n v="8600"/>
    <n v="1940"/>
  </r>
  <r>
    <s v="ORD13989"/>
    <x v="2458"/>
    <s v="CUST1208"/>
    <s v="Customer 208"/>
    <x v="0"/>
    <s v="Bihar"/>
    <x v="1"/>
    <s v="Appliances"/>
    <x v="7"/>
    <n v="5"/>
    <n v="2400"/>
    <x v="0"/>
    <n v="10800"/>
    <n v="8250"/>
    <n v="2550"/>
  </r>
  <r>
    <s v="ORD13784"/>
    <x v="2459"/>
    <s v="CUST1380"/>
    <s v="Customer 380"/>
    <x v="3"/>
    <s v="Uttar Pradesh"/>
    <x v="0"/>
    <s v="Stationery"/>
    <x v="18"/>
    <n v="3"/>
    <n v="300"/>
    <x v="3"/>
    <n v="765"/>
    <n v="510"/>
    <n v="255"/>
  </r>
  <r>
    <s v="ORD10538"/>
    <x v="2460"/>
    <s v="CUST1058"/>
    <s v="Customer 058"/>
    <x v="1"/>
    <s v="Tamil Nadu"/>
    <x v="1"/>
    <s v="Kitchen"/>
    <x v="1"/>
    <n v="5"/>
    <n v="1900"/>
    <x v="3"/>
    <n v="8075"/>
    <n v="6250"/>
    <n v="1825"/>
  </r>
  <r>
    <s v="ORD13929"/>
    <x v="2461"/>
    <s v="CUST1332"/>
    <s v="Customer 332"/>
    <x v="0"/>
    <s v="Odisha"/>
    <x v="0"/>
    <s v="Accessories"/>
    <x v="0"/>
    <n v="5"/>
    <n v="650"/>
    <x v="0"/>
    <n v="2925"/>
    <n v="1950"/>
    <n v="975"/>
  </r>
  <r>
    <s v="ORD11225"/>
    <x v="2462"/>
    <s v="CUST1209"/>
    <s v="Customer 209"/>
    <x v="1"/>
    <s v="Kerala"/>
    <x v="2"/>
    <s v="Accessories"/>
    <x v="8"/>
    <n v="2"/>
    <n v="1800"/>
    <x v="4"/>
    <n v="3420"/>
    <n v="2200"/>
    <n v="1220"/>
  </r>
  <r>
    <s v="ORD13346"/>
    <x v="2463"/>
    <s v="CUST1380"/>
    <s v="Customer 380"/>
    <x v="1"/>
    <s v="Andhra Pradesh"/>
    <x v="3"/>
    <s v="Chairs"/>
    <x v="12"/>
    <n v="2"/>
    <n v="7500"/>
    <x v="0"/>
    <n v="13500"/>
    <n v="10400"/>
    <n v="3100"/>
  </r>
  <r>
    <s v="ORD11028"/>
    <x v="2464"/>
    <s v="CUST1141"/>
    <s v="Customer 141"/>
    <x v="3"/>
    <s v="Uttar Pradesh"/>
    <x v="1"/>
    <s v="Kitchen"/>
    <x v="4"/>
    <n v="4"/>
    <n v="6800"/>
    <x v="4"/>
    <n v="25840"/>
    <n v="18800"/>
    <n v="7040"/>
  </r>
  <r>
    <s v="ORD12141"/>
    <x v="2465"/>
    <s v="CUST1351"/>
    <s v="Customer 351"/>
    <x v="1"/>
    <s v="Tamil Nadu"/>
    <x v="2"/>
    <s v="Accessories"/>
    <x v="9"/>
    <n v="4"/>
    <n v="850"/>
    <x v="4"/>
    <n v="3230"/>
    <n v="2240"/>
    <n v="990"/>
  </r>
  <r>
    <s v="ORD12439"/>
    <x v="2466"/>
    <s v="CUST1423"/>
    <s v="Customer 423"/>
    <x v="1"/>
    <s v="Tamil Nadu"/>
    <x v="1"/>
    <s v="Kitchen"/>
    <x v="4"/>
    <n v="2"/>
    <n v="6800"/>
    <x v="0"/>
    <n v="12240"/>
    <n v="9400"/>
    <n v="2840"/>
  </r>
  <r>
    <s v="ORD12202"/>
    <x v="2467"/>
    <s v="CUST1004"/>
    <s v="Customer 004"/>
    <x v="3"/>
    <s v="Punjab"/>
    <x v="0"/>
    <s v="Stationery"/>
    <x v="15"/>
    <n v="2"/>
    <n v="450"/>
    <x v="2"/>
    <n v="900"/>
    <n v="520"/>
    <n v="380"/>
  </r>
  <r>
    <s v="ORD10816"/>
    <x v="2468"/>
    <s v="CUST1419"/>
    <s v="Customer 419"/>
    <x v="2"/>
    <s v="Maharashtra"/>
    <x v="2"/>
    <s v="Accessories"/>
    <x v="13"/>
    <n v="2"/>
    <n v="1400"/>
    <x v="5"/>
    <n v="2240"/>
    <n v="1800"/>
    <n v="440"/>
  </r>
  <r>
    <s v="ORD12611"/>
    <x v="2469"/>
    <s v="CUST1486"/>
    <s v="Customer 486"/>
    <x v="3"/>
    <s v="Uttar Pradesh"/>
    <x v="2"/>
    <s v="Audio"/>
    <x v="17"/>
    <n v="5"/>
    <n v="2800"/>
    <x v="3"/>
    <n v="11900"/>
    <n v="9000"/>
    <n v="2900"/>
  </r>
  <r>
    <s v="ORD13099"/>
    <x v="2470"/>
    <s v="CUST1092"/>
    <s v="Customer 092"/>
    <x v="3"/>
    <s v="Haryana"/>
    <x v="2"/>
    <s v="Accessories"/>
    <x v="13"/>
    <n v="1"/>
    <n v="1400"/>
    <x v="5"/>
    <n v="1120"/>
    <n v="900"/>
    <n v="220"/>
  </r>
  <r>
    <s v="ORD10478"/>
    <x v="2471"/>
    <s v="CUST1009"/>
    <s v="Customer 009"/>
    <x v="1"/>
    <s v="Andhra Pradesh"/>
    <x v="3"/>
    <s v="Storage"/>
    <x v="6"/>
    <n v="1"/>
    <n v="5600"/>
    <x v="0"/>
    <n v="5040"/>
    <n v="3900"/>
    <n v="1140"/>
  </r>
  <r>
    <s v="ORD10020"/>
    <x v="2472"/>
    <s v="CUST1226"/>
    <s v="Customer 226"/>
    <x v="1"/>
    <s v="Andhra Pradesh"/>
    <x v="0"/>
    <s v="Stationery"/>
    <x v="10"/>
    <n v="4"/>
    <n v="280"/>
    <x v="0"/>
    <n v="1008"/>
    <n v="640"/>
    <n v="368"/>
  </r>
  <r>
    <s v="ORD13050"/>
    <x v="2473"/>
    <s v="CUST1355"/>
    <s v="Customer 355"/>
    <x v="0"/>
    <s v="West Bengal"/>
    <x v="2"/>
    <s v="Accessories"/>
    <x v="13"/>
    <n v="5"/>
    <n v="1400"/>
    <x v="4"/>
    <n v="6650"/>
    <n v="4500"/>
    <n v="2150"/>
  </r>
  <r>
    <s v="ORD13824"/>
    <x v="2474"/>
    <s v="CUST1090"/>
    <s v="Customer 090"/>
    <x v="1"/>
    <s v="Tamil Nadu"/>
    <x v="0"/>
    <s v="Stationery"/>
    <x v="15"/>
    <n v="4"/>
    <n v="450"/>
    <x v="0"/>
    <n v="1620"/>
    <n v="1040"/>
    <n v="580"/>
  </r>
  <r>
    <s v="ORD10747"/>
    <x v="2475"/>
    <s v="CUST1267"/>
    <s v="Customer 267"/>
    <x v="1"/>
    <s v="Karnataka"/>
    <x v="0"/>
    <s v="Stationery"/>
    <x v="10"/>
    <n v="5"/>
    <n v="280"/>
    <x v="0"/>
    <n v="1260"/>
    <n v="800"/>
    <n v="460"/>
  </r>
  <r>
    <s v="ORD12169"/>
    <x v="2476"/>
    <s v="CUST1469"/>
    <s v="Customer 469"/>
    <x v="2"/>
    <s v="Rajasthan"/>
    <x v="1"/>
    <s v="Kitchen"/>
    <x v="1"/>
    <n v="2"/>
    <n v="1900"/>
    <x v="0"/>
    <n v="3420"/>
    <n v="2500"/>
    <n v="920"/>
  </r>
  <r>
    <s v="ORD13481"/>
    <x v="2477"/>
    <s v="CUST1400"/>
    <s v="Customer 400"/>
    <x v="1"/>
    <s v="Kerala"/>
    <x v="0"/>
    <s v="Stationery"/>
    <x v="18"/>
    <n v="2"/>
    <n v="300"/>
    <x v="3"/>
    <n v="510"/>
    <n v="340"/>
    <n v="170"/>
  </r>
  <r>
    <s v="ORD13262"/>
    <x v="2478"/>
    <s v="CUST1240"/>
    <s v="Customer 240"/>
    <x v="2"/>
    <s v="Goa"/>
    <x v="1"/>
    <s v="Kitchen"/>
    <x v="1"/>
    <n v="3"/>
    <n v="1900"/>
    <x v="0"/>
    <n v="5130"/>
    <n v="3750"/>
    <n v="1380"/>
  </r>
  <r>
    <s v="ORD10558"/>
    <x v="2479"/>
    <s v="CUST1438"/>
    <s v="Customer 438"/>
    <x v="1"/>
    <s v="Telangana"/>
    <x v="0"/>
    <s v="Stationery"/>
    <x v="10"/>
    <n v="4"/>
    <n v="280"/>
    <x v="4"/>
    <n v="1064"/>
    <n v="640"/>
    <n v="424"/>
  </r>
  <r>
    <s v="ORD11360"/>
    <x v="2480"/>
    <s v="CUST1183"/>
    <s v="Customer 183"/>
    <x v="2"/>
    <s v="Gujarat"/>
    <x v="2"/>
    <s v="Audio"/>
    <x v="17"/>
    <n v="2"/>
    <n v="2800"/>
    <x v="0"/>
    <n v="5040"/>
    <n v="3600"/>
    <n v="1440"/>
  </r>
  <r>
    <s v="ORD10652"/>
    <x v="2481"/>
    <s v="CUST1327"/>
    <s v="Customer 327"/>
    <x v="2"/>
    <s v="Maharashtra"/>
    <x v="1"/>
    <s v="Kitchen"/>
    <x v="1"/>
    <n v="3"/>
    <n v="1900"/>
    <x v="3"/>
    <n v="4845"/>
    <n v="3750"/>
    <n v="1095"/>
  </r>
  <r>
    <s v="ORD12941"/>
    <x v="2482"/>
    <s v="CUST1358"/>
    <s v="Customer 358"/>
    <x v="3"/>
    <s v="Punjab"/>
    <x v="0"/>
    <s v="Accessories"/>
    <x v="0"/>
    <n v="5"/>
    <n v="650"/>
    <x v="3"/>
    <n v="2762.5"/>
    <n v="1950"/>
    <n v="812.5"/>
  </r>
  <r>
    <s v="ORD12184"/>
    <x v="2483"/>
    <s v="CUST1323"/>
    <s v="Customer 323"/>
    <x v="2"/>
    <s v="Goa"/>
    <x v="2"/>
    <s v="Monitors"/>
    <x v="11"/>
    <n v="5"/>
    <n v="10500"/>
    <x v="5"/>
    <n v="42000"/>
    <n v="38000"/>
    <n v="4000"/>
  </r>
  <r>
    <s v="ORD11839"/>
    <x v="2484"/>
    <s v="CUST1112"/>
    <s v="Customer 112"/>
    <x v="3"/>
    <s v="Haryana"/>
    <x v="1"/>
    <s v="Kitchen"/>
    <x v="4"/>
    <n v="2"/>
    <n v="6800"/>
    <x v="0"/>
    <n v="12240"/>
    <n v="9400"/>
    <n v="2840"/>
  </r>
  <r>
    <s v="ORD13862"/>
    <x v="2485"/>
    <s v="CUST1323"/>
    <s v="Customer 323"/>
    <x v="1"/>
    <s v="Karnataka"/>
    <x v="1"/>
    <s v="Appliances"/>
    <x v="7"/>
    <n v="3"/>
    <n v="2400"/>
    <x v="5"/>
    <n v="5760"/>
    <n v="4950"/>
    <n v="810"/>
  </r>
  <r>
    <s v="ORD11037"/>
    <x v="2486"/>
    <s v="CUST1452"/>
    <s v="Customer 452"/>
    <x v="2"/>
    <s v="Rajasthan"/>
    <x v="1"/>
    <s v="Kitchen"/>
    <x v="2"/>
    <n v="1"/>
    <n v="4200"/>
    <x v="4"/>
    <n v="3990"/>
    <n v="2900"/>
    <n v="1090"/>
  </r>
  <r>
    <s v="ORD10742"/>
    <x v="2487"/>
    <s v="CUST1382"/>
    <s v="Customer 382"/>
    <x v="3"/>
    <s v="Uttar Pradesh"/>
    <x v="0"/>
    <s v="Stationery"/>
    <x v="18"/>
    <n v="2"/>
    <n v="300"/>
    <x v="2"/>
    <n v="600"/>
    <n v="340"/>
    <n v="260"/>
  </r>
  <r>
    <s v="ORD11689"/>
    <x v="2488"/>
    <s v="CUST1470"/>
    <s v="Customer 470"/>
    <x v="2"/>
    <s v="Gujarat"/>
    <x v="2"/>
    <s v="Audio"/>
    <x v="17"/>
    <n v="5"/>
    <n v="2800"/>
    <x v="2"/>
    <n v="14000"/>
    <n v="9000"/>
    <n v="5000"/>
  </r>
  <r>
    <s v="ORD11261"/>
    <x v="2489"/>
    <s v="CUST1134"/>
    <s v="Customer 134"/>
    <x v="1"/>
    <s v="Telangana"/>
    <x v="1"/>
    <s v="Kitchen"/>
    <x v="4"/>
    <n v="4"/>
    <n v="6800"/>
    <x v="0"/>
    <n v="24480"/>
    <n v="18800"/>
    <n v="5680"/>
  </r>
  <r>
    <s v="ORD12618"/>
    <x v="2490"/>
    <s v="CUST1027"/>
    <s v="Customer 027"/>
    <x v="2"/>
    <s v="Maharashtra"/>
    <x v="0"/>
    <s v="Stationery"/>
    <x v="15"/>
    <n v="5"/>
    <n v="450"/>
    <x v="5"/>
    <n v="1800"/>
    <n v="1300"/>
    <n v="500"/>
  </r>
  <r>
    <s v="ORD11017"/>
    <x v="2491"/>
    <s v="CUST1192"/>
    <s v="Customer 192"/>
    <x v="0"/>
    <s v="Bihar"/>
    <x v="0"/>
    <s v="Paper"/>
    <x v="3"/>
    <n v="5"/>
    <n v="520"/>
    <x v="3"/>
    <n v="2210"/>
    <n v="1650"/>
    <n v="560"/>
  </r>
  <r>
    <s v="ORD13993"/>
    <x v="2492"/>
    <s v="CUST1071"/>
    <s v="Customer 071"/>
    <x v="0"/>
    <s v="Odisha"/>
    <x v="1"/>
    <s v="Kitchen"/>
    <x v="4"/>
    <n v="1"/>
    <n v="6800"/>
    <x v="3"/>
    <n v="5780"/>
    <n v="4700"/>
    <n v="1080"/>
  </r>
  <r>
    <s v="ORD13541"/>
    <x v="2493"/>
    <s v="CUST1368"/>
    <s v="Customer 368"/>
    <x v="0"/>
    <s v="Odisha"/>
    <x v="1"/>
    <s v="Appliances"/>
    <x v="7"/>
    <n v="5"/>
    <n v="2400"/>
    <x v="3"/>
    <n v="10200"/>
    <n v="8250"/>
    <n v="1950"/>
  </r>
  <r>
    <s v="ORD10250"/>
    <x v="2494"/>
    <s v="CUST1021"/>
    <s v="Customer 021"/>
    <x v="1"/>
    <s v="Tamil Nadu"/>
    <x v="2"/>
    <s v="Accessories"/>
    <x v="8"/>
    <n v="4"/>
    <n v="1800"/>
    <x v="4"/>
    <n v="6840"/>
    <n v="4400"/>
    <n v="2440"/>
  </r>
  <r>
    <s v="ORD13251"/>
    <x v="2495"/>
    <s v="CUST1170"/>
    <s v="Customer 170"/>
    <x v="2"/>
    <s v="Gujarat"/>
    <x v="3"/>
    <s v="Tables"/>
    <x v="16"/>
    <n v="1"/>
    <n v="6200"/>
    <x v="4"/>
    <n v="5890"/>
    <n v="4300"/>
    <n v="1590"/>
  </r>
  <r>
    <s v="ORD11605"/>
    <x v="2496"/>
    <s v="CUST1063"/>
    <s v="Customer 063"/>
    <x v="0"/>
    <s v="Odisha"/>
    <x v="2"/>
    <s v="Audio"/>
    <x v="17"/>
    <n v="5"/>
    <n v="2800"/>
    <x v="2"/>
    <n v="14000"/>
    <n v="9000"/>
    <n v="5000"/>
  </r>
  <r>
    <s v="ORD13828"/>
    <x v="2497"/>
    <s v="CUST1275"/>
    <s v="Customer 275"/>
    <x v="1"/>
    <s v="Andhra Pradesh"/>
    <x v="2"/>
    <s v="Accessories"/>
    <x v="9"/>
    <n v="5"/>
    <n v="850"/>
    <x v="2"/>
    <n v="4250"/>
    <n v="2800"/>
    <n v="1450"/>
  </r>
  <r>
    <s v="ORD10667"/>
    <x v="2498"/>
    <s v="CUST1252"/>
    <s v="Customer 252"/>
    <x v="0"/>
    <s v="Odisha"/>
    <x v="3"/>
    <s v="Chairs"/>
    <x v="12"/>
    <n v="4"/>
    <n v="7500"/>
    <x v="4"/>
    <n v="28500"/>
    <n v="20800"/>
    <n v="7700"/>
  </r>
  <r>
    <s v="ORD10772"/>
    <x v="2499"/>
    <s v="CUST1494"/>
    <s v="Customer 494"/>
    <x v="3"/>
    <s v="Uttar Pradesh"/>
    <x v="1"/>
    <s v="Kitchen"/>
    <x v="2"/>
    <n v="2"/>
    <n v="4200"/>
    <x v="0"/>
    <n v="7560"/>
    <n v="5800"/>
    <n v="1760"/>
  </r>
  <r>
    <s v="ORD11820"/>
    <x v="2500"/>
    <s v="CUST1148"/>
    <s v="Customer 148"/>
    <x v="3"/>
    <s v="Punjab"/>
    <x v="1"/>
    <s v="Kitchen"/>
    <x v="1"/>
    <n v="4"/>
    <n v="1900"/>
    <x v="1"/>
    <n v="5700"/>
    <n v="5000"/>
    <n v="700"/>
  </r>
  <r>
    <s v="ORD10331"/>
    <x v="2501"/>
    <s v="CUST1274"/>
    <s v="Customer 274"/>
    <x v="2"/>
    <s v="Rajasthan"/>
    <x v="2"/>
    <s v="Audio"/>
    <x v="5"/>
    <n v="3"/>
    <n v="2200"/>
    <x v="2"/>
    <n v="6600"/>
    <n v="4350"/>
    <n v="2250"/>
  </r>
  <r>
    <s v="ORD13328"/>
    <x v="2502"/>
    <s v="CUST1106"/>
    <s v="Customer 106"/>
    <x v="0"/>
    <s v="Jharkhand"/>
    <x v="2"/>
    <s v="Audio"/>
    <x v="5"/>
    <n v="4"/>
    <n v="2200"/>
    <x v="3"/>
    <n v="7480"/>
    <n v="5800"/>
    <n v="1680"/>
  </r>
  <r>
    <s v="ORD11282"/>
    <x v="2503"/>
    <s v="CUST1370"/>
    <s v="Customer 370"/>
    <x v="1"/>
    <s v="Tamil Nadu"/>
    <x v="1"/>
    <s v="Kitchen"/>
    <x v="4"/>
    <n v="3"/>
    <n v="6800"/>
    <x v="0"/>
    <n v="18360"/>
    <n v="14100"/>
    <n v="4260"/>
  </r>
  <r>
    <s v="ORD13758"/>
    <x v="2504"/>
    <s v="CUST1274"/>
    <s v="Customer 274"/>
    <x v="2"/>
    <s v="Rajasthan"/>
    <x v="3"/>
    <s v="Storage"/>
    <x v="6"/>
    <n v="1"/>
    <n v="5600"/>
    <x v="0"/>
    <n v="5040"/>
    <n v="3900"/>
    <n v="1140"/>
  </r>
  <r>
    <s v="ORD10992"/>
    <x v="2505"/>
    <s v="CUST1275"/>
    <s v="Customer 275"/>
    <x v="3"/>
    <s v="Delhi"/>
    <x v="2"/>
    <s v="Accessories"/>
    <x v="8"/>
    <n v="2"/>
    <n v="1800"/>
    <x v="0"/>
    <n v="3240"/>
    <n v="2200"/>
    <n v="1040"/>
  </r>
  <r>
    <s v="ORD11968"/>
    <x v="2506"/>
    <s v="CUST1235"/>
    <s v="Customer 235"/>
    <x v="1"/>
    <s v="Telangana"/>
    <x v="0"/>
    <s v="Accessories"/>
    <x v="0"/>
    <n v="1"/>
    <n v="650"/>
    <x v="2"/>
    <n v="650"/>
    <n v="390"/>
    <n v="260"/>
  </r>
  <r>
    <s v="ORD13491"/>
    <x v="2507"/>
    <s v="CUST1054"/>
    <s v="Customer 054"/>
    <x v="1"/>
    <s v="Telangana"/>
    <x v="2"/>
    <s v="Monitors"/>
    <x v="11"/>
    <n v="1"/>
    <n v="10500"/>
    <x v="4"/>
    <n v="9975"/>
    <n v="7600"/>
    <n v="2375"/>
  </r>
  <r>
    <s v="ORD11059"/>
    <x v="2508"/>
    <s v="CUST1213"/>
    <s v="Customer 213"/>
    <x v="1"/>
    <s v="Karnataka"/>
    <x v="2"/>
    <s v="Monitors"/>
    <x v="11"/>
    <n v="1"/>
    <n v="10500"/>
    <x v="4"/>
    <n v="9975"/>
    <n v="7600"/>
    <n v="2375"/>
  </r>
  <r>
    <s v="ORD13509"/>
    <x v="2509"/>
    <s v="CUST1030"/>
    <s v="Customer 030"/>
    <x v="3"/>
    <s v="Uttar Pradesh"/>
    <x v="1"/>
    <s v="Kitchen"/>
    <x v="4"/>
    <n v="3"/>
    <n v="6800"/>
    <x v="3"/>
    <n v="17340"/>
    <n v="14100"/>
    <n v="3240"/>
  </r>
  <r>
    <s v="ORD10286"/>
    <x v="2510"/>
    <s v="CUST1469"/>
    <s v="Customer 469"/>
    <x v="1"/>
    <s v="Tamil Nadu"/>
    <x v="2"/>
    <s v="Accessories"/>
    <x v="8"/>
    <n v="1"/>
    <n v="1800"/>
    <x v="0"/>
    <n v="1620"/>
    <n v="1100"/>
    <n v="520"/>
  </r>
  <r>
    <s v="ORD10935"/>
    <x v="2511"/>
    <s v="CUST1222"/>
    <s v="Customer 222"/>
    <x v="2"/>
    <s v="Rajasthan"/>
    <x v="0"/>
    <s v="Paper"/>
    <x v="3"/>
    <n v="4"/>
    <n v="520"/>
    <x v="3"/>
    <n v="1768"/>
    <n v="1320"/>
    <n v="448"/>
  </r>
  <r>
    <s v="ORD13190"/>
    <x v="2512"/>
    <s v="CUST1418"/>
    <s v="Customer 418"/>
    <x v="2"/>
    <s v="Goa"/>
    <x v="3"/>
    <s v="Storage"/>
    <x v="6"/>
    <n v="5"/>
    <n v="5600"/>
    <x v="3"/>
    <n v="23800"/>
    <n v="19500"/>
    <n v="4300"/>
  </r>
  <r>
    <s v="ORD12481"/>
    <x v="2513"/>
    <s v="CUST1326"/>
    <s v="Customer 326"/>
    <x v="2"/>
    <s v="Rajasthan"/>
    <x v="1"/>
    <s v="Kitchen"/>
    <x v="4"/>
    <n v="2"/>
    <n v="6800"/>
    <x v="0"/>
    <n v="12240"/>
    <n v="9400"/>
    <n v="2840"/>
  </r>
  <r>
    <s v="ORD11812"/>
    <x v="2514"/>
    <s v="CUST1327"/>
    <s v="Customer 327"/>
    <x v="1"/>
    <s v="Andhra Pradesh"/>
    <x v="3"/>
    <s v="Storage"/>
    <x v="6"/>
    <n v="1"/>
    <n v="5600"/>
    <x v="1"/>
    <n v="4200"/>
    <n v="3900"/>
    <n v="300"/>
  </r>
  <r>
    <s v="ORD11178"/>
    <x v="2515"/>
    <s v="CUST1096"/>
    <s v="Customer 096"/>
    <x v="1"/>
    <s v="Andhra Pradesh"/>
    <x v="3"/>
    <s v="Storage"/>
    <x v="14"/>
    <n v="4"/>
    <n v="4800"/>
    <x v="2"/>
    <n v="19200"/>
    <n v="13200"/>
    <n v="6000"/>
  </r>
  <r>
    <s v="ORD11253"/>
    <x v="2516"/>
    <s v="CUST1038"/>
    <s v="Customer 038"/>
    <x v="1"/>
    <s v="Andhra Pradesh"/>
    <x v="0"/>
    <s v="Stationery"/>
    <x v="10"/>
    <n v="4"/>
    <n v="280"/>
    <x v="0"/>
    <n v="1008"/>
    <n v="640"/>
    <n v="368"/>
  </r>
  <r>
    <s v="ORD13884"/>
    <x v="2517"/>
    <s v="CUST1228"/>
    <s v="Customer 228"/>
    <x v="0"/>
    <s v="Odisha"/>
    <x v="1"/>
    <s v="Kitchen"/>
    <x v="2"/>
    <n v="1"/>
    <n v="4200"/>
    <x v="5"/>
    <n v="3360"/>
    <n v="2900"/>
    <n v="460"/>
  </r>
  <r>
    <s v="ORD12132"/>
    <x v="2518"/>
    <s v="CUST1489"/>
    <s v="Customer 489"/>
    <x v="2"/>
    <s v="Rajasthan"/>
    <x v="2"/>
    <s v="Accessories"/>
    <x v="9"/>
    <n v="2"/>
    <n v="850"/>
    <x v="3"/>
    <n v="1445"/>
    <n v="1120"/>
    <n v="325"/>
  </r>
  <r>
    <s v="ORD11331"/>
    <x v="2519"/>
    <s v="CUST1225"/>
    <s v="Customer 225"/>
    <x v="0"/>
    <s v="Bihar"/>
    <x v="0"/>
    <s v="Accessories"/>
    <x v="0"/>
    <n v="2"/>
    <n v="650"/>
    <x v="3"/>
    <n v="1105"/>
    <n v="780"/>
    <n v="325"/>
  </r>
  <r>
    <s v="ORD12414"/>
    <x v="2520"/>
    <s v="CUST1301"/>
    <s v="Customer 301"/>
    <x v="1"/>
    <s v="Kerala"/>
    <x v="3"/>
    <s v="Tables"/>
    <x v="16"/>
    <n v="5"/>
    <n v="6200"/>
    <x v="1"/>
    <n v="23250"/>
    <n v="21500"/>
    <n v="1750"/>
  </r>
  <r>
    <s v="ORD10138"/>
    <x v="2521"/>
    <s v="CUST1016"/>
    <s v="Customer 016"/>
    <x v="3"/>
    <s v="Punjab"/>
    <x v="2"/>
    <s v="Accessories"/>
    <x v="9"/>
    <n v="2"/>
    <n v="850"/>
    <x v="1"/>
    <n v="1275"/>
    <n v="1120"/>
    <n v="155"/>
  </r>
  <r>
    <s v="ORD11322"/>
    <x v="2522"/>
    <s v="CUST1138"/>
    <s v="Customer 138"/>
    <x v="2"/>
    <s v="Gujarat"/>
    <x v="2"/>
    <s v="Accessories"/>
    <x v="8"/>
    <n v="1"/>
    <n v="1800"/>
    <x v="0"/>
    <n v="1620"/>
    <n v="1100"/>
    <n v="520"/>
  </r>
  <r>
    <s v="ORD12077"/>
    <x v="2523"/>
    <s v="CUST1233"/>
    <s v="Customer 233"/>
    <x v="2"/>
    <s v="Gujarat"/>
    <x v="3"/>
    <s v="Storage"/>
    <x v="6"/>
    <n v="4"/>
    <n v="5600"/>
    <x v="4"/>
    <n v="21280"/>
    <n v="15600"/>
    <n v="5680"/>
  </r>
  <r>
    <s v="ORD12017"/>
    <x v="2524"/>
    <s v="CUST1207"/>
    <s v="Customer 207"/>
    <x v="1"/>
    <s v="Karnataka"/>
    <x v="0"/>
    <s v="Paper"/>
    <x v="3"/>
    <n v="1"/>
    <n v="520"/>
    <x v="0"/>
    <n v="468"/>
    <n v="330"/>
    <n v="138"/>
  </r>
  <r>
    <s v="ORD11419"/>
    <x v="2525"/>
    <s v="CUST1431"/>
    <s v="Customer 431"/>
    <x v="1"/>
    <s v="Kerala"/>
    <x v="3"/>
    <s v="Chairs"/>
    <x v="12"/>
    <n v="3"/>
    <n v="7500"/>
    <x v="4"/>
    <n v="21375"/>
    <n v="15600"/>
    <n v="5775"/>
  </r>
  <r>
    <s v="ORD13925"/>
    <x v="2526"/>
    <s v="CUST1320"/>
    <s v="Customer 320"/>
    <x v="2"/>
    <s v="Gujarat"/>
    <x v="2"/>
    <s v="Audio"/>
    <x v="17"/>
    <n v="2"/>
    <n v="2800"/>
    <x v="0"/>
    <n v="5040"/>
    <n v="3600"/>
    <n v="1440"/>
  </r>
  <r>
    <s v="ORD11026"/>
    <x v="2527"/>
    <s v="CUST1028"/>
    <s v="Customer 028"/>
    <x v="1"/>
    <s v="Tamil Nadu"/>
    <x v="3"/>
    <s v="Tables"/>
    <x v="16"/>
    <n v="2"/>
    <n v="6200"/>
    <x v="0"/>
    <n v="11160"/>
    <n v="8600"/>
    <n v="2560"/>
  </r>
  <r>
    <s v="ORD11343"/>
    <x v="2528"/>
    <s v="CUST1060"/>
    <s v="Customer 060"/>
    <x v="1"/>
    <s v="Karnataka"/>
    <x v="1"/>
    <s v="Kitchen"/>
    <x v="4"/>
    <n v="1"/>
    <n v="6800"/>
    <x v="0"/>
    <n v="6120"/>
    <n v="4700"/>
    <n v="1420"/>
  </r>
  <r>
    <s v="ORD11272"/>
    <x v="2529"/>
    <s v="CUST1055"/>
    <s v="Customer 055"/>
    <x v="2"/>
    <s v="Gujarat"/>
    <x v="0"/>
    <s v="Accessories"/>
    <x v="0"/>
    <n v="3"/>
    <n v="650"/>
    <x v="2"/>
    <n v="1950"/>
    <n v="1170"/>
    <n v="780"/>
  </r>
  <r>
    <s v="ORD11785"/>
    <x v="2530"/>
    <s v="CUST1364"/>
    <s v="Customer 364"/>
    <x v="2"/>
    <s v="Rajasthan"/>
    <x v="3"/>
    <s v="Chairs"/>
    <x v="12"/>
    <n v="2"/>
    <n v="7500"/>
    <x v="2"/>
    <n v="15000"/>
    <n v="10400"/>
    <n v="4600"/>
  </r>
  <r>
    <s v="ORD10884"/>
    <x v="2531"/>
    <s v="CUST1078"/>
    <s v="Customer 078"/>
    <x v="1"/>
    <s v="Andhra Pradesh"/>
    <x v="2"/>
    <s v="Audio"/>
    <x v="17"/>
    <n v="5"/>
    <n v="2800"/>
    <x v="0"/>
    <n v="12600"/>
    <n v="9000"/>
    <n v="3600"/>
  </r>
  <r>
    <s v="ORD10325"/>
    <x v="2532"/>
    <s v="CUST1488"/>
    <s v="Customer 488"/>
    <x v="1"/>
    <s v="Andhra Pradesh"/>
    <x v="1"/>
    <s v="Appliances"/>
    <x v="7"/>
    <n v="3"/>
    <n v="2400"/>
    <x v="0"/>
    <n v="6480"/>
    <n v="4950"/>
    <n v="1530"/>
  </r>
  <r>
    <s v="ORD10837"/>
    <x v="2533"/>
    <s v="CUST1405"/>
    <s v="Customer 405"/>
    <x v="2"/>
    <s v="Maharashtra"/>
    <x v="0"/>
    <s v="Stationery"/>
    <x v="18"/>
    <n v="4"/>
    <n v="300"/>
    <x v="2"/>
    <n v="1200"/>
    <n v="680"/>
    <n v="520"/>
  </r>
  <r>
    <s v="ORD13183"/>
    <x v="2534"/>
    <s v="CUST1374"/>
    <s v="Customer 374"/>
    <x v="1"/>
    <s v="Telangana"/>
    <x v="0"/>
    <s v="Stationery"/>
    <x v="10"/>
    <n v="2"/>
    <n v="280"/>
    <x v="3"/>
    <n v="476"/>
    <n v="320"/>
    <n v="156"/>
  </r>
  <r>
    <s v="ORD10298"/>
    <x v="2535"/>
    <s v="CUST1220"/>
    <s v="Customer 220"/>
    <x v="1"/>
    <s v="Andhra Pradesh"/>
    <x v="2"/>
    <s v="Accessories"/>
    <x v="13"/>
    <n v="2"/>
    <n v="1400"/>
    <x v="4"/>
    <n v="2660"/>
    <n v="1800"/>
    <n v="860"/>
  </r>
  <r>
    <s v="ORD12444"/>
    <x v="2536"/>
    <s v="CUST1107"/>
    <s v="Customer 107"/>
    <x v="0"/>
    <s v="West Bengal"/>
    <x v="0"/>
    <s v="Accessories"/>
    <x v="0"/>
    <n v="2"/>
    <n v="650"/>
    <x v="0"/>
    <n v="1170"/>
    <n v="780"/>
    <n v="390"/>
  </r>
  <r>
    <s v="ORD12959"/>
    <x v="2537"/>
    <s v="CUST1257"/>
    <s v="Customer 257"/>
    <x v="1"/>
    <s v="Karnataka"/>
    <x v="3"/>
    <s v="Chairs"/>
    <x v="12"/>
    <n v="3"/>
    <n v="7500"/>
    <x v="4"/>
    <n v="21375"/>
    <n v="15600"/>
    <n v="5775"/>
  </r>
  <r>
    <s v="ORD11154"/>
    <x v="2538"/>
    <s v="CUST1455"/>
    <s v="Customer 455"/>
    <x v="1"/>
    <s v="Kerala"/>
    <x v="1"/>
    <s v="Kitchen"/>
    <x v="2"/>
    <n v="1"/>
    <n v="4200"/>
    <x v="3"/>
    <n v="3570"/>
    <n v="2900"/>
    <n v="670"/>
  </r>
  <r>
    <s v="ORD11886"/>
    <x v="2539"/>
    <s v="CUST1090"/>
    <s v="Customer 090"/>
    <x v="1"/>
    <s v="Kerala"/>
    <x v="1"/>
    <s v="Kitchen"/>
    <x v="4"/>
    <n v="2"/>
    <n v="6800"/>
    <x v="2"/>
    <n v="13600"/>
    <n v="9400"/>
    <n v="4200"/>
  </r>
  <r>
    <s v="ORD13195"/>
    <x v="2540"/>
    <s v="CUST1370"/>
    <s v="Customer 370"/>
    <x v="0"/>
    <s v="Bihar"/>
    <x v="0"/>
    <s v="Stationery"/>
    <x v="10"/>
    <n v="5"/>
    <n v="280"/>
    <x v="4"/>
    <n v="1330"/>
    <n v="800"/>
    <n v="530"/>
  </r>
  <r>
    <s v="ORD13362"/>
    <x v="2541"/>
    <s v="CUST1373"/>
    <s v="Customer 373"/>
    <x v="1"/>
    <s v="Andhra Pradesh"/>
    <x v="3"/>
    <s v="Chairs"/>
    <x v="12"/>
    <n v="5"/>
    <n v="7500"/>
    <x v="3"/>
    <n v="31875"/>
    <n v="26000"/>
    <n v="5875"/>
  </r>
  <r>
    <s v="ORD10271"/>
    <x v="2542"/>
    <s v="CUST1148"/>
    <s v="Customer 148"/>
    <x v="2"/>
    <s v="Rajasthan"/>
    <x v="3"/>
    <s v="Chairs"/>
    <x v="12"/>
    <n v="5"/>
    <n v="7500"/>
    <x v="2"/>
    <n v="37500"/>
    <n v="26000"/>
    <n v="11500"/>
  </r>
  <r>
    <s v="ORD11859"/>
    <x v="2543"/>
    <s v="CUST1263"/>
    <s v="Customer 263"/>
    <x v="3"/>
    <s v="Delhi"/>
    <x v="3"/>
    <s v="Storage"/>
    <x v="14"/>
    <n v="3"/>
    <n v="4800"/>
    <x v="5"/>
    <n v="11520"/>
    <n v="9900"/>
    <n v="1620"/>
  </r>
  <r>
    <s v="ORD11592"/>
    <x v="2544"/>
    <s v="CUST1174"/>
    <s v="Customer 174"/>
    <x v="1"/>
    <s v="Kerala"/>
    <x v="2"/>
    <s v="Audio"/>
    <x v="17"/>
    <n v="3"/>
    <n v="2800"/>
    <x v="1"/>
    <n v="6300"/>
    <n v="5400"/>
    <n v="900"/>
  </r>
  <r>
    <s v="ORD11505"/>
    <x v="2545"/>
    <s v="CUST1299"/>
    <s v="Customer 299"/>
    <x v="3"/>
    <s v="Delhi"/>
    <x v="0"/>
    <s v="Stationery"/>
    <x v="10"/>
    <n v="2"/>
    <n v="280"/>
    <x v="5"/>
    <n v="448"/>
    <n v="320"/>
    <n v="128"/>
  </r>
  <r>
    <s v="ORD13147"/>
    <x v="2546"/>
    <s v="CUST1322"/>
    <s v="Customer 322"/>
    <x v="0"/>
    <s v="West Bengal"/>
    <x v="2"/>
    <s v="Accessories"/>
    <x v="13"/>
    <n v="4"/>
    <n v="1400"/>
    <x v="2"/>
    <n v="5600"/>
    <n v="3600"/>
    <n v="2000"/>
  </r>
  <r>
    <s v="ORD13525"/>
    <x v="2547"/>
    <s v="CUST1146"/>
    <s v="Customer 146"/>
    <x v="1"/>
    <s v="Telangana"/>
    <x v="1"/>
    <s v="Appliances"/>
    <x v="7"/>
    <n v="2"/>
    <n v="2400"/>
    <x v="3"/>
    <n v="4080"/>
    <n v="3300"/>
    <n v="780"/>
  </r>
  <r>
    <s v="ORD10015"/>
    <x v="2548"/>
    <s v="CUST1359"/>
    <s v="Customer 359"/>
    <x v="1"/>
    <s v="Andhra Pradesh"/>
    <x v="2"/>
    <s v="Audio"/>
    <x v="5"/>
    <n v="3"/>
    <n v="2200"/>
    <x v="2"/>
    <n v="6600"/>
    <n v="4350"/>
    <n v="2250"/>
  </r>
  <r>
    <s v="ORD12285"/>
    <x v="2549"/>
    <s v="CUST1341"/>
    <s v="Customer 341"/>
    <x v="0"/>
    <s v="West Bengal"/>
    <x v="2"/>
    <s v="Accessories"/>
    <x v="8"/>
    <n v="1"/>
    <n v="1800"/>
    <x v="3"/>
    <n v="1530"/>
    <n v="1100"/>
    <n v="430"/>
  </r>
  <r>
    <s v="ORD10475"/>
    <x v="2550"/>
    <s v="CUST1318"/>
    <s v="Customer 318"/>
    <x v="1"/>
    <s v="Andhra Pradesh"/>
    <x v="2"/>
    <s v="Monitors"/>
    <x v="11"/>
    <n v="3"/>
    <n v="10500"/>
    <x v="3"/>
    <n v="26775"/>
    <n v="22800"/>
    <n v="3975"/>
  </r>
  <r>
    <s v="ORD12336"/>
    <x v="2551"/>
    <s v="CUST1270"/>
    <s v="Customer 270"/>
    <x v="1"/>
    <s v="Tamil Nadu"/>
    <x v="1"/>
    <s v="Kitchen"/>
    <x v="2"/>
    <n v="2"/>
    <n v="4200"/>
    <x v="3"/>
    <n v="7140"/>
    <n v="5800"/>
    <n v="1340"/>
  </r>
  <r>
    <s v="ORD12212"/>
    <x v="2552"/>
    <s v="CUST1388"/>
    <s v="Customer 388"/>
    <x v="1"/>
    <s v="Tamil Nadu"/>
    <x v="3"/>
    <s v="Storage"/>
    <x v="14"/>
    <n v="3"/>
    <n v="4800"/>
    <x v="3"/>
    <n v="12240"/>
    <n v="9900"/>
    <n v="2340"/>
  </r>
  <r>
    <s v="ORD13108"/>
    <x v="2553"/>
    <s v="CUST1185"/>
    <s v="Customer 185"/>
    <x v="1"/>
    <s v="Karnataka"/>
    <x v="3"/>
    <s v="Storage"/>
    <x v="6"/>
    <n v="3"/>
    <n v="5600"/>
    <x v="0"/>
    <n v="15120"/>
    <n v="11700"/>
    <n v="3420"/>
  </r>
  <r>
    <s v="ORD13916"/>
    <x v="2554"/>
    <s v="CUST1040"/>
    <s v="Customer 040"/>
    <x v="2"/>
    <s v="Gujarat"/>
    <x v="0"/>
    <s v="Paper"/>
    <x v="3"/>
    <n v="5"/>
    <n v="520"/>
    <x v="2"/>
    <n v="2600"/>
    <n v="1650"/>
    <n v="950"/>
  </r>
  <r>
    <s v="ORD13427"/>
    <x v="2555"/>
    <s v="CUST1241"/>
    <s v="Customer 241"/>
    <x v="0"/>
    <s v="Odisha"/>
    <x v="1"/>
    <s v="Kitchen"/>
    <x v="4"/>
    <n v="5"/>
    <n v="6800"/>
    <x v="2"/>
    <n v="34000"/>
    <n v="23500"/>
    <n v="10500"/>
  </r>
  <r>
    <s v="ORD11300"/>
    <x v="2556"/>
    <s v="CUST1015"/>
    <s v="Customer 015"/>
    <x v="1"/>
    <s v="Karnataka"/>
    <x v="2"/>
    <s v="Audio"/>
    <x v="5"/>
    <n v="5"/>
    <n v="2200"/>
    <x v="5"/>
    <n v="8800"/>
    <n v="7250"/>
    <n v="1550"/>
  </r>
  <r>
    <s v="ORD10739"/>
    <x v="2557"/>
    <s v="CUST1370"/>
    <s v="Customer 370"/>
    <x v="3"/>
    <s v="Delhi"/>
    <x v="0"/>
    <s v="Stationery"/>
    <x v="10"/>
    <n v="1"/>
    <n v="280"/>
    <x v="4"/>
    <n v="266"/>
    <n v="160"/>
    <n v="106"/>
  </r>
  <r>
    <s v="ORD13223"/>
    <x v="2558"/>
    <s v="CUST1388"/>
    <s v="Customer 388"/>
    <x v="1"/>
    <s v="Tamil Nadu"/>
    <x v="2"/>
    <s v="Accessories"/>
    <x v="13"/>
    <n v="1"/>
    <n v="1400"/>
    <x v="4"/>
    <n v="1330"/>
    <n v="900"/>
    <n v="430"/>
  </r>
  <r>
    <s v="ORD13730"/>
    <x v="2559"/>
    <s v="CUST1320"/>
    <s v="Customer 320"/>
    <x v="1"/>
    <s v="Telangana"/>
    <x v="2"/>
    <s v="Accessories"/>
    <x v="9"/>
    <n v="5"/>
    <n v="850"/>
    <x v="0"/>
    <n v="3825"/>
    <n v="2800"/>
    <n v="1025"/>
  </r>
  <r>
    <s v="ORD11814"/>
    <x v="2560"/>
    <s v="CUST1248"/>
    <s v="Customer 248"/>
    <x v="1"/>
    <s v="Telangana"/>
    <x v="2"/>
    <s v="Monitors"/>
    <x v="11"/>
    <n v="3"/>
    <n v="10500"/>
    <x v="2"/>
    <n v="31500"/>
    <n v="22800"/>
    <n v="8700"/>
  </r>
  <r>
    <s v="ORD11286"/>
    <x v="2561"/>
    <s v="CUST1025"/>
    <s v="Customer 025"/>
    <x v="2"/>
    <s v="Maharashtra"/>
    <x v="2"/>
    <s v="Accessories"/>
    <x v="13"/>
    <n v="3"/>
    <n v="1400"/>
    <x v="5"/>
    <n v="3360"/>
    <n v="2700"/>
    <n v="660"/>
  </r>
  <r>
    <s v="ORD11755"/>
    <x v="2562"/>
    <s v="CUST1314"/>
    <s v="Customer 314"/>
    <x v="2"/>
    <s v="Rajasthan"/>
    <x v="0"/>
    <s v="Paper"/>
    <x v="3"/>
    <n v="2"/>
    <n v="520"/>
    <x v="0"/>
    <n v="936"/>
    <n v="660"/>
    <n v="276"/>
  </r>
  <r>
    <s v="ORD13603"/>
    <x v="2563"/>
    <s v="CUST1078"/>
    <s v="Customer 078"/>
    <x v="0"/>
    <s v="Bihar"/>
    <x v="2"/>
    <s v="Monitors"/>
    <x v="11"/>
    <n v="3"/>
    <n v="10500"/>
    <x v="5"/>
    <n v="25200"/>
    <n v="22800"/>
    <n v="2400"/>
  </r>
  <r>
    <s v="ORD12945"/>
    <x v="2564"/>
    <s v="CUST1412"/>
    <s v="Customer 412"/>
    <x v="2"/>
    <s v="Gujarat"/>
    <x v="1"/>
    <s v="Kitchen"/>
    <x v="4"/>
    <n v="1"/>
    <n v="6800"/>
    <x v="5"/>
    <n v="5440"/>
    <n v="4700"/>
    <n v="740"/>
  </r>
  <r>
    <s v="ORD11507"/>
    <x v="2565"/>
    <s v="CUST1458"/>
    <s v="Customer 458"/>
    <x v="2"/>
    <s v="Goa"/>
    <x v="0"/>
    <s v="Stationery"/>
    <x v="10"/>
    <n v="4"/>
    <n v="280"/>
    <x v="3"/>
    <n v="952"/>
    <n v="640"/>
    <n v="312"/>
  </r>
  <r>
    <s v="ORD11865"/>
    <x v="2566"/>
    <s v="CUST1418"/>
    <s v="Customer 418"/>
    <x v="0"/>
    <s v="Jharkhand"/>
    <x v="2"/>
    <s v="Audio"/>
    <x v="5"/>
    <n v="2"/>
    <n v="2200"/>
    <x v="5"/>
    <n v="3520"/>
    <n v="2900"/>
    <n v="620"/>
  </r>
  <r>
    <s v="ORD11981"/>
    <x v="2567"/>
    <s v="CUST1329"/>
    <s v="Customer 329"/>
    <x v="1"/>
    <s v="Andhra Pradesh"/>
    <x v="2"/>
    <s v="Monitors"/>
    <x v="11"/>
    <n v="2"/>
    <n v="10500"/>
    <x v="4"/>
    <n v="19950"/>
    <n v="15200"/>
    <n v="4750"/>
  </r>
  <r>
    <s v="ORD13622"/>
    <x v="2568"/>
    <s v="CUST1112"/>
    <s v="Customer 112"/>
    <x v="1"/>
    <s v="Tamil Nadu"/>
    <x v="3"/>
    <s v="Chairs"/>
    <x v="12"/>
    <n v="5"/>
    <n v="7500"/>
    <x v="2"/>
    <n v="37500"/>
    <n v="26000"/>
    <n v="11500"/>
  </r>
  <r>
    <s v="ORD13752"/>
    <x v="2569"/>
    <s v="CUST1400"/>
    <s v="Customer 400"/>
    <x v="1"/>
    <s v="Tamil Nadu"/>
    <x v="2"/>
    <s v="Accessories"/>
    <x v="13"/>
    <n v="1"/>
    <n v="1400"/>
    <x v="0"/>
    <n v="1260"/>
    <n v="900"/>
    <n v="360"/>
  </r>
  <r>
    <s v="ORD12781"/>
    <x v="2570"/>
    <s v="CUST1156"/>
    <s v="Customer 156"/>
    <x v="1"/>
    <s v="Andhra Pradesh"/>
    <x v="3"/>
    <s v="Storage"/>
    <x v="14"/>
    <n v="2"/>
    <n v="4800"/>
    <x v="3"/>
    <n v="8160"/>
    <n v="6600"/>
    <n v="1560"/>
  </r>
  <r>
    <s v="ORD12462"/>
    <x v="2571"/>
    <s v="CUST1108"/>
    <s v="Customer 108"/>
    <x v="1"/>
    <s v="Karnataka"/>
    <x v="0"/>
    <s v="Stationery"/>
    <x v="10"/>
    <n v="1"/>
    <n v="280"/>
    <x v="0"/>
    <n v="252"/>
    <n v="160"/>
    <n v="92"/>
  </r>
  <r>
    <s v="ORD11192"/>
    <x v="2572"/>
    <s v="CUST1140"/>
    <s v="Customer 140"/>
    <x v="1"/>
    <s v="Karnataka"/>
    <x v="2"/>
    <s v="Monitors"/>
    <x v="11"/>
    <n v="2"/>
    <n v="10500"/>
    <x v="0"/>
    <n v="18900"/>
    <n v="15200"/>
    <n v="3700"/>
  </r>
  <r>
    <s v="ORD10188"/>
    <x v="2573"/>
    <s v="CUST1191"/>
    <s v="Customer 191"/>
    <x v="2"/>
    <s v="Goa"/>
    <x v="3"/>
    <s v="Tables"/>
    <x v="16"/>
    <n v="1"/>
    <n v="6200"/>
    <x v="0"/>
    <n v="5580"/>
    <n v="4300"/>
    <n v="1280"/>
  </r>
  <r>
    <s v="ORD12946"/>
    <x v="2574"/>
    <s v="CUST1054"/>
    <s v="Customer 054"/>
    <x v="3"/>
    <s v="Punjab"/>
    <x v="1"/>
    <s v="Kitchen"/>
    <x v="1"/>
    <n v="4"/>
    <n v="1900"/>
    <x v="0"/>
    <n v="6840"/>
    <n v="5000"/>
    <n v="1840"/>
  </r>
  <r>
    <s v="ORD11665"/>
    <x v="2575"/>
    <s v="CUST1263"/>
    <s v="Customer 263"/>
    <x v="1"/>
    <s v="Tamil Nadu"/>
    <x v="2"/>
    <s v="Accessories"/>
    <x v="9"/>
    <n v="3"/>
    <n v="850"/>
    <x v="4"/>
    <n v="2422.5"/>
    <n v="1680"/>
    <n v="742.5"/>
  </r>
  <r>
    <s v="ORD10794"/>
    <x v="2576"/>
    <s v="CUST1413"/>
    <s v="Customer 413"/>
    <x v="0"/>
    <s v="Jharkhand"/>
    <x v="0"/>
    <s v="Paper"/>
    <x v="3"/>
    <n v="3"/>
    <n v="520"/>
    <x v="1"/>
    <n v="1170"/>
    <n v="990"/>
    <n v="180"/>
  </r>
  <r>
    <s v="ORD10604"/>
    <x v="2577"/>
    <s v="CUST1068"/>
    <s v="Customer 068"/>
    <x v="3"/>
    <s v="Punjab"/>
    <x v="1"/>
    <s v="Kitchen"/>
    <x v="2"/>
    <n v="4"/>
    <n v="4200"/>
    <x v="3"/>
    <n v="14280"/>
    <n v="11600"/>
    <n v="2680"/>
  </r>
  <r>
    <s v="ORD10926"/>
    <x v="2578"/>
    <s v="CUST1474"/>
    <s v="Customer 474"/>
    <x v="2"/>
    <s v="Goa"/>
    <x v="3"/>
    <s v="Chairs"/>
    <x v="12"/>
    <n v="1"/>
    <n v="7500"/>
    <x v="4"/>
    <n v="7125"/>
    <n v="5200"/>
    <n v="1925"/>
  </r>
  <r>
    <s v="ORD11404"/>
    <x v="2579"/>
    <s v="CUST1162"/>
    <s v="Customer 162"/>
    <x v="0"/>
    <s v="Bihar"/>
    <x v="3"/>
    <s v="Storage"/>
    <x v="14"/>
    <n v="1"/>
    <n v="4800"/>
    <x v="0"/>
    <n v="4320"/>
    <n v="3300"/>
    <n v="1020"/>
  </r>
  <r>
    <s v="ORD12769"/>
    <x v="2580"/>
    <s v="CUST1240"/>
    <s v="Customer 240"/>
    <x v="1"/>
    <s v="Kerala"/>
    <x v="0"/>
    <s v="Paper"/>
    <x v="3"/>
    <n v="5"/>
    <n v="520"/>
    <x v="2"/>
    <n v="2600"/>
    <n v="1650"/>
    <n v="950"/>
  </r>
  <r>
    <s v="ORD11168"/>
    <x v="2581"/>
    <s v="CUST1200"/>
    <s v="Customer 200"/>
    <x v="1"/>
    <s v="Tamil Nadu"/>
    <x v="2"/>
    <s v="Monitors"/>
    <x v="11"/>
    <n v="5"/>
    <n v="10500"/>
    <x v="0"/>
    <n v="47250"/>
    <n v="38000"/>
    <n v="9250"/>
  </r>
  <r>
    <s v="ORD11013"/>
    <x v="2582"/>
    <s v="CUST1123"/>
    <s v="Customer 123"/>
    <x v="3"/>
    <s v="Uttar Pradesh"/>
    <x v="1"/>
    <s v="Kitchen"/>
    <x v="4"/>
    <n v="5"/>
    <n v="6800"/>
    <x v="0"/>
    <n v="30600"/>
    <n v="23500"/>
    <n v="7100"/>
  </r>
  <r>
    <s v="ORD11430"/>
    <x v="2583"/>
    <s v="CUST1394"/>
    <s v="Customer 394"/>
    <x v="3"/>
    <s v="Haryana"/>
    <x v="1"/>
    <s v="Kitchen"/>
    <x v="1"/>
    <n v="1"/>
    <n v="1900"/>
    <x v="1"/>
    <n v="1425"/>
    <n v="1250"/>
    <n v="175"/>
  </r>
  <r>
    <s v="ORD13253"/>
    <x v="2584"/>
    <s v="CUST1079"/>
    <s v="Customer 079"/>
    <x v="1"/>
    <s v="Tamil Nadu"/>
    <x v="2"/>
    <s v="Accessories"/>
    <x v="8"/>
    <n v="4"/>
    <n v="1800"/>
    <x v="5"/>
    <n v="5760"/>
    <n v="4400"/>
    <n v="1360"/>
  </r>
  <r>
    <s v="ORD12058"/>
    <x v="2585"/>
    <s v="CUST1370"/>
    <s v="Customer 370"/>
    <x v="0"/>
    <s v="Bihar"/>
    <x v="3"/>
    <s v="Chairs"/>
    <x v="12"/>
    <n v="3"/>
    <n v="7500"/>
    <x v="1"/>
    <n v="16875"/>
    <n v="15600"/>
    <n v="1275"/>
  </r>
  <r>
    <s v="ORD12617"/>
    <x v="2586"/>
    <s v="CUST1497"/>
    <s v="Customer 497"/>
    <x v="1"/>
    <s v="Telangana"/>
    <x v="2"/>
    <s v="Audio"/>
    <x v="17"/>
    <n v="3"/>
    <n v="2800"/>
    <x v="0"/>
    <n v="7560"/>
    <n v="5400"/>
    <n v="2160"/>
  </r>
  <r>
    <s v="ORD13485"/>
    <x v="2587"/>
    <s v="CUST1204"/>
    <s v="Customer 204"/>
    <x v="0"/>
    <s v="Bihar"/>
    <x v="2"/>
    <s v="Audio"/>
    <x v="17"/>
    <n v="4"/>
    <n v="2800"/>
    <x v="0"/>
    <n v="10080"/>
    <n v="7200"/>
    <n v="2880"/>
  </r>
  <r>
    <s v="ORD12129"/>
    <x v="2588"/>
    <s v="CUST1033"/>
    <s v="Customer 033"/>
    <x v="3"/>
    <s v="Punjab"/>
    <x v="2"/>
    <s v="Accessories"/>
    <x v="8"/>
    <n v="2"/>
    <n v="1800"/>
    <x v="2"/>
    <n v="3600"/>
    <n v="2200"/>
    <n v="1400"/>
  </r>
  <r>
    <s v="ORD12904"/>
    <x v="2589"/>
    <s v="CUST1309"/>
    <s v="Customer 309"/>
    <x v="0"/>
    <s v="Odisha"/>
    <x v="3"/>
    <s v="Storage"/>
    <x v="14"/>
    <n v="1"/>
    <n v="4800"/>
    <x v="3"/>
    <n v="4080"/>
    <n v="3300"/>
    <n v="780"/>
  </r>
  <r>
    <s v="ORD13849"/>
    <x v="2590"/>
    <s v="CUST1371"/>
    <s v="Customer 371"/>
    <x v="1"/>
    <s v="Tamil Nadu"/>
    <x v="2"/>
    <s v="Monitors"/>
    <x v="11"/>
    <n v="1"/>
    <n v="10500"/>
    <x v="4"/>
    <n v="9975"/>
    <n v="7600"/>
    <n v="2375"/>
  </r>
  <r>
    <s v="ORD10781"/>
    <x v="2591"/>
    <s v="CUST1439"/>
    <s v="Customer 439"/>
    <x v="1"/>
    <s v="Kerala"/>
    <x v="0"/>
    <s v="Stationery"/>
    <x v="10"/>
    <n v="5"/>
    <n v="280"/>
    <x v="0"/>
    <n v="1260"/>
    <n v="800"/>
    <n v="460"/>
  </r>
  <r>
    <s v="ORD12842"/>
    <x v="2592"/>
    <s v="CUST1353"/>
    <s v="Customer 353"/>
    <x v="2"/>
    <s v="Maharashtra"/>
    <x v="0"/>
    <s v="Paper"/>
    <x v="3"/>
    <n v="3"/>
    <n v="520"/>
    <x v="2"/>
    <n v="1560"/>
    <n v="990"/>
    <n v="570"/>
  </r>
  <r>
    <s v="ORD12098"/>
    <x v="2593"/>
    <s v="CUST1431"/>
    <s v="Customer 431"/>
    <x v="2"/>
    <s v="Goa"/>
    <x v="1"/>
    <s v="Appliances"/>
    <x v="7"/>
    <n v="2"/>
    <n v="2400"/>
    <x v="4"/>
    <n v="4560"/>
    <n v="3300"/>
    <n v="1260"/>
  </r>
  <r>
    <s v="ORD10436"/>
    <x v="2594"/>
    <s v="CUST1062"/>
    <s v="Customer 062"/>
    <x v="0"/>
    <s v="Bihar"/>
    <x v="0"/>
    <s v="Paper"/>
    <x v="3"/>
    <n v="3"/>
    <n v="520"/>
    <x v="3"/>
    <n v="1326"/>
    <n v="990"/>
    <n v="336"/>
  </r>
  <r>
    <s v="ORD12747"/>
    <x v="2595"/>
    <s v="CUST1113"/>
    <s v="Customer 113"/>
    <x v="2"/>
    <s v="Maharashtra"/>
    <x v="3"/>
    <s v="Storage"/>
    <x v="6"/>
    <n v="5"/>
    <n v="5600"/>
    <x v="4"/>
    <n v="26600"/>
    <n v="19500"/>
    <n v="7100"/>
  </r>
  <r>
    <s v="ORD13425"/>
    <x v="2596"/>
    <s v="CUST1306"/>
    <s v="Customer 306"/>
    <x v="0"/>
    <s v="Bihar"/>
    <x v="2"/>
    <s v="Audio"/>
    <x v="5"/>
    <n v="2"/>
    <n v="2200"/>
    <x v="4"/>
    <n v="4180"/>
    <n v="2900"/>
    <n v="1280"/>
  </r>
  <r>
    <s v="ORD11591"/>
    <x v="2597"/>
    <s v="CUST1368"/>
    <s v="Customer 368"/>
    <x v="3"/>
    <s v="Delhi"/>
    <x v="0"/>
    <s v="Paper"/>
    <x v="3"/>
    <n v="5"/>
    <n v="520"/>
    <x v="2"/>
    <n v="2600"/>
    <n v="1650"/>
    <n v="950"/>
  </r>
  <r>
    <s v="ORD13456"/>
    <x v="2598"/>
    <s v="CUST1433"/>
    <s v="Customer 433"/>
    <x v="2"/>
    <s v="Gujarat"/>
    <x v="2"/>
    <s v="Monitors"/>
    <x v="11"/>
    <n v="5"/>
    <n v="10500"/>
    <x v="5"/>
    <n v="42000"/>
    <n v="38000"/>
    <n v="4000"/>
  </r>
  <r>
    <s v="ORD12407"/>
    <x v="2599"/>
    <s v="CUST1186"/>
    <s v="Customer 186"/>
    <x v="0"/>
    <s v="Bihar"/>
    <x v="0"/>
    <s v="Accessories"/>
    <x v="0"/>
    <n v="3"/>
    <n v="650"/>
    <x v="0"/>
    <n v="1755"/>
    <n v="1170"/>
    <n v="585"/>
  </r>
  <r>
    <s v="ORD12197"/>
    <x v="2600"/>
    <s v="CUST1146"/>
    <s v="Customer 146"/>
    <x v="1"/>
    <s v="Tamil Nadu"/>
    <x v="2"/>
    <s v="Audio"/>
    <x v="17"/>
    <n v="3"/>
    <n v="2800"/>
    <x v="0"/>
    <n v="7560"/>
    <n v="5400"/>
    <n v="2160"/>
  </r>
  <r>
    <s v="ORD13748"/>
    <x v="2601"/>
    <s v="CUST1493"/>
    <s v="Customer 493"/>
    <x v="0"/>
    <s v="West Bengal"/>
    <x v="2"/>
    <s v="Accessories"/>
    <x v="8"/>
    <n v="4"/>
    <n v="1800"/>
    <x v="3"/>
    <n v="6120"/>
    <n v="4400"/>
    <n v="1720"/>
  </r>
  <r>
    <s v="ORD10932"/>
    <x v="2602"/>
    <s v="CUST1350"/>
    <s v="Customer 350"/>
    <x v="1"/>
    <s v="Andhra Pradesh"/>
    <x v="2"/>
    <s v="Monitors"/>
    <x v="11"/>
    <n v="4"/>
    <n v="10500"/>
    <x v="0"/>
    <n v="37800"/>
    <n v="30400"/>
    <n v="7400"/>
  </r>
  <r>
    <s v="ORD11055"/>
    <x v="2603"/>
    <s v="CUST1039"/>
    <s v="Customer 039"/>
    <x v="2"/>
    <s v="Gujarat"/>
    <x v="1"/>
    <s v="Kitchen"/>
    <x v="2"/>
    <n v="5"/>
    <n v="4200"/>
    <x v="2"/>
    <n v="21000"/>
    <n v="14500"/>
    <n v="6500"/>
  </r>
  <r>
    <s v="ORD11395"/>
    <x v="2604"/>
    <s v="CUST1108"/>
    <s v="Customer 108"/>
    <x v="3"/>
    <s v="Punjab"/>
    <x v="0"/>
    <s v="Paper"/>
    <x v="3"/>
    <n v="3"/>
    <n v="520"/>
    <x v="0"/>
    <n v="1404"/>
    <n v="990"/>
    <n v="414"/>
  </r>
  <r>
    <s v="ORD12864"/>
    <x v="2605"/>
    <s v="CUST1307"/>
    <s v="Customer 307"/>
    <x v="3"/>
    <s v="Haryana"/>
    <x v="2"/>
    <s v="Audio"/>
    <x v="5"/>
    <n v="1"/>
    <n v="2200"/>
    <x v="2"/>
    <n v="2200"/>
    <n v="1450"/>
    <n v="750"/>
  </r>
  <r>
    <s v="ORD10922"/>
    <x v="2606"/>
    <s v="CUST1287"/>
    <s v="Customer 287"/>
    <x v="1"/>
    <s v="Karnataka"/>
    <x v="0"/>
    <s v="Stationery"/>
    <x v="18"/>
    <n v="2"/>
    <n v="300"/>
    <x v="2"/>
    <n v="600"/>
    <n v="340"/>
    <n v="260"/>
  </r>
  <r>
    <s v="ORD11719"/>
    <x v="2607"/>
    <s v="CUST1207"/>
    <s v="Customer 207"/>
    <x v="0"/>
    <s v="West Bengal"/>
    <x v="1"/>
    <s v="Kitchen"/>
    <x v="1"/>
    <n v="4"/>
    <n v="1900"/>
    <x v="1"/>
    <n v="5700"/>
    <n v="5000"/>
    <n v="700"/>
  </r>
  <r>
    <s v="ORD13200"/>
    <x v="2608"/>
    <s v="CUST1133"/>
    <s v="Customer 133"/>
    <x v="2"/>
    <s v="Goa"/>
    <x v="2"/>
    <s v="Audio"/>
    <x v="17"/>
    <n v="3"/>
    <n v="2800"/>
    <x v="3"/>
    <n v="7140"/>
    <n v="5400"/>
    <n v="1740"/>
  </r>
  <r>
    <s v="ORD10893"/>
    <x v="2609"/>
    <s v="CUST1262"/>
    <s v="Customer 262"/>
    <x v="2"/>
    <s v="Maharashtra"/>
    <x v="0"/>
    <s v="Paper"/>
    <x v="3"/>
    <n v="5"/>
    <n v="520"/>
    <x v="3"/>
    <n v="2210"/>
    <n v="1650"/>
    <n v="560"/>
  </r>
  <r>
    <s v="ORD11325"/>
    <x v="2610"/>
    <s v="CUST1434"/>
    <s v="Customer 434"/>
    <x v="2"/>
    <s v="Gujarat"/>
    <x v="3"/>
    <s v="Storage"/>
    <x v="14"/>
    <n v="2"/>
    <n v="4800"/>
    <x v="1"/>
    <n v="7200"/>
    <n v="6600"/>
    <n v="600"/>
  </r>
  <r>
    <s v="ORD12187"/>
    <x v="2611"/>
    <s v="CUST1153"/>
    <s v="Customer 153"/>
    <x v="1"/>
    <s v="Kerala"/>
    <x v="0"/>
    <s v="Paper"/>
    <x v="3"/>
    <n v="5"/>
    <n v="520"/>
    <x v="2"/>
    <n v="2600"/>
    <n v="1650"/>
    <n v="950"/>
  </r>
  <r>
    <s v="ORD11134"/>
    <x v="2612"/>
    <s v="CUST1382"/>
    <s v="Customer 382"/>
    <x v="1"/>
    <s v="Kerala"/>
    <x v="0"/>
    <s v="Stationery"/>
    <x v="10"/>
    <n v="1"/>
    <n v="280"/>
    <x v="0"/>
    <n v="252"/>
    <n v="160"/>
    <n v="92"/>
  </r>
  <r>
    <s v="ORD11119"/>
    <x v="2613"/>
    <s v="CUST1362"/>
    <s v="Customer 362"/>
    <x v="1"/>
    <s v="Telangana"/>
    <x v="0"/>
    <s v="Stationery"/>
    <x v="10"/>
    <n v="4"/>
    <n v="280"/>
    <x v="3"/>
    <n v="952"/>
    <n v="640"/>
    <n v="312"/>
  </r>
  <r>
    <s v="ORD12365"/>
    <x v="2614"/>
    <s v="CUST1380"/>
    <s v="Customer 380"/>
    <x v="3"/>
    <s v="Punjab"/>
    <x v="2"/>
    <s v="Accessories"/>
    <x v="9"/>
    <n v="1"/>
    <n v="850"/>
    <x v="4"/>
    <n v="807.5"/>
    <n v="560"/>
    <n v="247.5"/>
  </r>
  <r>
    <s v="ORD10073"/>
    <x v="2615"/>
    <s v="CUST1232"/>
    <s v="Customer 232"/>
    <x v="1"/>
    <s v="Kerala"/>
    <x v="2"/>
    <s v="Audio"/>
    <x v="5"/>
    <n v="4"/>
    <n v="2200"/>
    <x v="0"/>
    <n v="7920"/>
    <n v="5800"/>
    <n v="2120"/>
  </r>
  <r>
    <s v="ORD13179"/>
    <x v="2616"/>
    <s v="CUST1108"/>
    <s v="Customer 108"/>
    <x v="2"/>
    <s v="Gujarat"/>
    <x v="1"/>
    <s v="Kitchen"/>
    <x v="1"/>
    <n v="1"/>
    <n v="1900"/>
    <x v="2"/>
    <n v="1900"/>
    <n v="1250"/>
    <n v="650"/>
  </r>
  <r>
    <s v="ORD12340"/>
    <x v="2617"/>
    <s v="CUST1047"/>
    <s v="Customer 047"/>
    <x v="3"/>
    <s v="Delhi"/>
    <x v="0"/>
    <s v="Paper"/>
    <x v="3"/>
    <n v="1"/>
    <n v="520"/>
    <x v="2"/>
    <n v="520"/>
    <n v="330"/>
    <n v="190"/>
  </r>
  <r>
    <s v="ORD13613"/>
    <x v="2618"/>
    <s v="CUST1305"/>
    <s v="Customer 305"/>
    <x v="1"/>
    <s v="Kerala"/>
    <x v="2"/>
    <s v="Accessories"/>
    <x v="13"/>
    <n v="1"/>
    <n v="1400"/>
    <x v="0"/>
    <n v="1260"/>
    <n v="900"/>
    <n v="360"/>
  </r>
  <r>
    <s v="ORD11259"/>
    <x v="2619"/>
    <s v="CUST1271"/>
    <s v="Customer 271"/>
    <x v="2"/>
    <s v="Gujarat"/>
    <x v="3"/>
    <s v="Chairs"/>
    <x v="12"/>
    <n v="2"/>
    <n v="7500"/>
    <x v="5"/>
    <n v="12000"/>
    <n v="10400"/>
    <n v="1600"/>
  </r>
  <r>
    <s v="ORD10559"/>
    <x v="2620"/>
    <s v="CUST1397"/>
    <s v="Customer 397"/>
    <x v="2"/>
    <s v="Gujarat"/>
    <x v="2"/>
    <s v="Accessories"/>
    <x v="8"/>
    <n v="1"/>
    <n v="1800"/>
    <x v="4"/>
    <n v="1710"/>
    <n v="1100"/>
    <n v="610"/>
  </r>
  <r>
    <s v="ORD12412"/>
    <x v="2621"/>
    <s v="CUST1025"/>
    <s v="Customer 025"/>
    <x v="1"/>
    <s v="Kerala"/>
    <x v="2"/>
    <s v="Audio"/>
    <x v="5"/>
    <n v="5"/>
    <n v="2200"/>
    <x v="2"/>
    <n v="11000"/>
    <n v="7250"/>
    <n v="3750"/>
  </r>
  <r>
    <s v="ORD12909"/>
    <x v="2622"/>
    <s v="CUST1064"/>
    <s v="Customer 064"/>
    <x v="3"/>
    <s v="Haryana"/>
    <x v="0"/>
    <s v="Paper"/>
    <x v="3"/>
    <n v="3"/>
    <n v="520"/>
    <x v="4"/>
    <n v="1482"/>
    <n v="990"/>
    <n v="492"/>
  </r>
  <r>
    <s v="ORD12726"/>
    <x v="2623"/>
    <s v="CUST1310"/>
    <s v="Customer 310"/>
    <x v="1"/>
    <s v="Andhra Pradesh"/>
    <x v="1"/>
    <s v="Kitchen"/>
    <x v="2"/>
    <n v="2"/>
    <n v="4200"/>
    <x v="3"/>
    <n v="7140"/>
    <n v="5800"/>
    <n v="1340"/>
  </r>
  <r>
    <s v="ORD11303"/>
    <x v="2624"/>
    <s v="CUST1350"/>
    <s v="Customer 350"/>
    <x v="1"/>
    <s v="Kerala"/>
    <x v="2"/>
    <s v="Audio"/>
    <x v="17"/>
    <n v="4"/>
    <n v="2800"/>
    <x v="5"/>
    <n v="8960"/>
    <n v="7200"/>
    <n v="1760"/>
  </r>
  <r>
    <s v="ORD12718"/>
    <x v="2625"/>
    <s v="CUST1346"/>
    <s v="Customer 346"/>
    <x v="2"/>
    <s v="Gujarat"/>
    <x v="0"/>
    <s v="Stationery"/>
    <x v="10"/>
    <n v="4"/>
    <n v="280"/>
    <x v="3"/>
    <n v="952"/>
    <n v="640"/>
    <n v="312"/>
  </r>
  <r>
    <s v="ORD12509"/>
    <x v="2626"/>
    <s v="CUST1204"/>
    <s v="Customer 204"/>
    <x v="3"/>
    <s v="Haryana"/>
    <x v="2"/>
    <s v="Accessories"/>
    <x v="8"/>
    <n v="1"/>
    <n v="1800"/>
    <x v="5"/>
    <n v="1440"/>
    <n v="1100"/>
    <n v="340"/>
  </r>
  <r>
    <s v="ORD12557"/>
    <x v="2627"/>
    <s v="CUST1400"/>
    <s v="Customer 400"/>
    <x v="3"/>
    <s v="Haryana"/>
    <x v="3"/>
    <s v="Chairs"/>
    <x v="12"/>
    <n v="5"/>
    <n v="7500"/>
    <x v="2"/>
    <n v="37500"/>
    <n v="26000"/>
    <n v="11500"/>
  </r>
  <r>
    <s v="ORD12048"/>
    <x v="2628"/>
    <s v="CUST1266"/>
    <s v="Customer 266"/>
    <x v="1"/>
    <s v="Kerala"/>
    <x v="3"/>
    <s v="Chairs"/>
    <x v="12"/>
    <n v="4"/>
    <n v="7500"/>
    <x v="2"/>
    <n v="30000"/>
    <n v="20800"/>
    <n v="9200"/>
  </r>
  <r>
    <s v="ORD13141"/>
    <x v="2629"/>
    <s v="CUST1246"/>
    <s v="Customer 246"/>
    <x v="2"/>
    <s v="Maharashtra"/>
    <x v="2"/>
    <s v="Accessories"/>
    <x v="9"/>
    <n v="5"/>
    <n v="850"/>
    <x v="0"/>
    <n v="3825"/>
    <n v="2800"/>
    <n v="1025"/>
  </r>
  <r>
    <s v="ORD13693"/>
    <x v="2630"/>
    <s v="CUST1098"/>
    <s v="Customer 098"/>
    <x v="2"/>
    <s v="Maharashtra"/>
    <x v="2"/>
    <s v="Audio"/>
    <x v="5"/>
    <n v="1"/>
    <n v="2200"/>
    <x v="3"/>
    <n v="1870"/>
    <n v="1450"/>
    <n v="420"/>
  </r>
  <r>
    <s v="ORD10817"/>
    <x v="2631"/>
    <s v="CUST1022"/>
    <s v="Customer 022"/>
    <x v="1"/>
    <s v="Kerala"/>
    <x v="1"/>
    <s v="Appliances"/>
    <x v="7"/>
    <n v="3"/>
    <n v="2400"/>
    <x v="3"/>
    <n v="6120"/>
    <n v="4950"/>
    <n v="1170"/>
  </r>
  <r>
    <s v="ORD11012"/>
    <x v="2632"/>
    <s v="CUST1400"/>
    <s v="Customer 400"/>
    <x v="0"/>
    <s v="West Bengal"/>
    <x v="0"/>
    <s v="Stationery"/>
    <x v="15"/>
    <n v="4"/>
    <n v="450"/>
    <x v="3"/>
    <n v="1530"/>
    <n v="1040"/>
    <n v="490"/>
  </r>
  <r>
    <s v="ORD12344"/>
    <x v="2633"/>
    <s v="CUST1369"/>
    <s v="Customer 369"/>
    <x v="1"/>
    <s v="Kerala"/>
    <x v="1"/>
    <s v="Kitchen"/>
    <x v="1"/>
    <n v="4"/>
    <n v="1900"/>
    <x v="4"/>
    <n v="7220"/>
    <n v="5000"/>
    <n v="2220"/>
  </r>
  <r>
    <s v="ORD11852"/>
    <x v="2634"/>
    <s v="CUST1127"/>
    <s v="Customer 127"/>
    <x v="1"/>
    <s v="Tamil Nadu"/>
    <x v="0"/>
    <s v="Stationery"/>
    <x v="15"/>
    <n v="5"/>
    <n v="450"/>
    <x v="5"/>
    <n v="1800"/>
    <n v="1300"/>
    <n v="500"/>
  </r>
  <r>
    <s v="ORD11470"/>
    <x v="2635"/>
    <s v="CUST1031"/>
    <s v="Customer 031"/>
    <x v="0"/>
    <s v="West Bengal"/>
    <x v="2"/>
    <s v="Monitors"/>
    <x v="11"/>
    <n v="2"/>
    <n v="10500"/>
    <x v="4"/>
    <n v="19950"/>
    <n v="15200"/>
    <n v="4750"/>
  </r>
  <r>
    <s v="ORD10789"/>
    <x v="2636"/>
    <s v="CUST1273"/>
    <s v="Customer 273"/>
    <x v="0"/>
    <s v="Odisha"/>
    <x v="2"/>
    <s v="Audio"/>
    <x v="5"/>
    <n v="1"/>
    <n v="2200"/>
    <x v="1"/>
    <n v="1650"/>
    <n v="1450"/>
    <n v="200"/>
  </r>
  <r>
    <s v="ORD11759"/>
    <x v="2637"/>
    <s v="CUST1286"/>
    <s v="Customer 286"/>
    <x v="0"/>
    <s v="Jharkhand"/>
    <x v="2"/>
    <s v="Monitors"/>
    <x v="11"/>
    <n v="1"/>
    <n v="10500"/>
    <x v="3"/>
    <n v="8925"/>
    <n v="7600"/>
    <n v="1325"/>
  </r>
  <r>
    <s v="ORD13440"/>
    <x v="2638"/>
    <s v="CUST1415"/>
    <s v="Customer 415"/>
    <x v="1"/>
    <s v="Kerala"/>
    <x v="1"/>
    <s v="Kitchen"/>
    <x v="1"/>
    <n v="2"/>
    <n v="1900"/>
    <x v="0"/>
    <n v="3420"/>
    <n v="2500"/>
    <n v="920"/>
  </r>
  <r>
    <s v="ORD12992"/>
    <x v="2639"/>
    <s v="CUST1319"/>
    <s v="Customer 319"/>
    <x v="3"/>
    <s v="Haryana"/>
    <x v="0"/>
    <s v="Stationery"/>
    <x v="10"/>
    <n v="2"/>
    <n v="280"/>
    <x v="5"/>
    <n v="448"/>
    <n v="320"/>
    <n v="128"/>
  </r>
  <r>
    <s v="ORD12612"/>
    <x v="2640"/>
    <s v="CUST1464"/>
    <s v="Customer 464"/>
    <x v="1"/>
    <s v="Kerala"/>
    <x v="2"/>
    <s v="Accessories"/>
    <x v="13"/>
    <n v="5"/>
    <n v="1400"/>
    <x v="5"/>
    <n v="5600"/>
    <n v="4500"/>
    <n v="1100"/>
  </r>
  <r>
    <s v="ORD11112"/>
    <x v="2641"/>
    <s v="CUST1117"/>
    <s v="Customer 117"/>
    <x v="1"/>
    <s v="Karnataka"/>
    <x v="3"/>
    <s v="Tables"/>
    <x v="16"/>
    <n v="1"/>
    <n v="6200"/>
    <x v="0"/>
    <n v="5580"/>
    <n v="4300"/>
    <n v="1280"/>
  </r>
  <r>
    <s v="ORD12055"/>
    <x v="2642"/>
    <s v="CUST1358"/>
    <s v="Customer 358"/>
    <x v="3"/>
    <s v="Delhi"/>
    <x v="1"/>
    <s v="Kitchen"/>
    <x v="1"/>
    <n v="1"/>
    <n v="1900"/>
    <x v="5"/>
    <n v="1520"/>
    <n v="1250"/>
    <n v="270"/>
  </r>
  <r>
    <s v="ORD13103"/>
    <x v="2643"/>
    <s v="CUST1008"/>
    <s v="Customer 008"/>
    <x v="1"/>
    <s v="Kerala"/>
    <x v="0"/>
    <s v="Paper"/>
    <x v="3"/>
    <n v="3"/>
    <n v="520"/>
    <x v="4"/>
    <n v="1482"/>
    <n v="990"/>
    <n v="492"/>
  </r>
  <r>
    <s v="ORD13052"/>
    <x v="2644"/>
    <s v="CUST1088"/>
    <s v="Customer 088"/>
    <x v="2"/>
    <s v="Maharashtra"/>
    <x v="3"/>
    <s v="Chairs"/>
    <x v="12"/>
    <n v="3"/>
    <n v="7500"/>
    <x v="4"/>
    <n v="21375"/>
    <n v="15600"/>
    <n v="5775"/>
  </r>
  <r>
    <s v="ORD12922"/>
    <x v="2645"/>
    <s v="CUST1386"/>
    <s v="Customer 386"/>
    <x v="1"/>
    <s v="Kerala"/>
    <x v="0"/>
    <s v="Stationery"/>
    <x v="15"/>
    <n v="5"/>
    <n v="450"/>
    <x v="2"/>
    <n v="2250"/>
    <n v="1300"/>
    <n v="950"/>
  </r>
  <r>
    <s v="ORD11919"/>
    <x v="2646"/>
    <s v="CUST1226"/>
    <s v="Customer 226"/>
    <x v="2"/>
    <s v="Maharashtra"/>
    <x v="2"/>
    <s v="Monitors"/>
    <x v="11"/>
    <n v="1"/>
    <n v="10500"/>
    <x v="2"/>
    <n v="10500"/>
    <n v="7600"/>
    <n v="2900"/>
  </r>
  <r>
    <s v="ORD10964"/>
    <x v="2647"/>
    <s v="CUST1109"/>
    <s v="Customer 109"/>
    <x v="2"/>
    <s v="Gujarat"/>
    <x v="3"/>
    <s v="Storage"/>
    <x v="14"/>
    <n v="5"/>
    <n v="4800"/>
    <x v="4"/>
    <n v="22800"/>
    <n v="16500"/>
    <n v="6300"/>
  </r>
  <r>
    <s v="ORD10783"/>
    <x v="2648"/>
    <s v="CUST1062"/>
    <s v="Customer 062"/>
    <x v="2"/>
    <s v="Goa"/>
    <x v="1"/>
    <s v="Kitchen"/>
    <x v="2"/>
    <n v="1"/>
    <n v="4200"/>
    <x v="4"/>
    <n v="3990"/>
    <n v="2900"/>
    <n v="1090"/>
  </r>
  <r>
    <s v="ORD12273"/>
    <x v="2649"/>
    <s v="CUST1149"/>
    <s v="Customer 149"/>
    <x v="3"/>
    <s v="Haryana"/>
    <x v="0"/>
    <s v="Stationery"/>
    <x v="15"/>
    <n v="2"/>
    <n v="450"/>
    <x v="2"/>
    <n v="900"/>
    <n v="520"/>
    <n v="380"/>
  </r>
  <r>
    <s v="ORD13381"/>
    <x v="2650"/>
    <s v="CUST1417"/>
    <s v="Customer 417"/>
    <x v="1"/>
    <s v="Tamil Nadu"/>
    <x v="0"/>
    <s v="Stationery"/>
    <x v="18"/>
    <n v="2"/>
    <n v="300"/>
    <x v="3"/>
    <n v="510"/>
    <n v="340"/>
    <n v="170"/>
  </r>
  <r>
    <s v="ORD11181"/>
    <x v="2651"/>
    <s v="CUST1304"/>
    <s v="Customer 304"/>
    <x v="0"/>
    <s v="Bihar"/>
    <x v="3"/>
    <s v="Chairs"/>
    <x v="12"/>
    <n v="5"/>
    <n v="7500"/>
    <x v="0"/>
    <n v="33750"/>
    <n v="26000"/>
    <n v="7750"/>
  </r>
  <r>
    <s v="ORD10803"/>
    <x v="2652"/>
    <s v="CUST1258"/>
    <s v="Customer 258"/>
    <x v="1"/>
    <s v="Karnataka"/>
    <x v="2"/>
    <s v="Accessories"/>
    <x v="9"/>
    <n v="5"/>
    <n v="850"/>
    <x v="2"/>
    <n v="4250"/>
    <n v="2800"/>
    <n v="1450"/>
  </r>
  <r>
    <s v="ORD12474"/>
    <x v="2653"/>
    <s v="CUST1104"/>
    <s v="Customer 104"/>
    <x v="1"/>
    <s v="Karnataka"/>
    <x v="1"/>
    <s v="Kitchen"/>
    <x v="1"/>
    <n v="4"/>
    <n v="1900"/>
    <x v="5"/>
    <n v="6080"/>
    <n v="5000"/>
    <n v="1080"/>
  </r>
  <r>
    <s v="ORD11529"/>
    <x v="2654"/>
    <s v="CUST1011"/>
    <s v="Customer 011"/>
    <x v="3"/>
    <s v="Haryana"/>
    <x v="0"/>
    <s v="Stationery"/>
    <x v="18"/>
    <n v="4"/>
    <n v="300"/>
    <x v="3"/>
    <n v="1020"/>
    <n v="680"/>
    <n v="340"/>
  </r>
  <r>
    <s v="ORD13546"/>
    <x v="2655"/>
    <s v="CUST1316"/>
    <s v="Customer 316"/>
    <x v="1"/>
    <s v="Tamil Nadu"/>
    <x v="0"/>
    <s v="Accessories"/>
    <x v="0"/>
    <n v="4"/>
    <n v="650"/>
    <x v="2"/>
    <n v="2600"/>
    <n v="1560"/>
    <n v="1040"/>
  </r>
  <r>
    <s v="ORD13119"/>
    <x v="2656"/>
    <s v="CUST1012"/>
    <s v="Customer 012"/>
    <x v="1"/>
    <s v="Karnataka"/>
    <x v="3"/>
    <s v="Tables"/>
    <x v="16"/>
    <n v="2"/>
    <n v="6200"/>
    <x v="4"/>
    <n v="11780"/>
    <n v="8600"/>
    <n v="3180"/>
  </r>
  <r>
    <s v="ORD13737"/>
    <x v="2657"/>
    <s v="CUST1190"/>
    <s v="Customer 190"/>
    <x v="2"/>
    <s v="Rajasthan"/>
    <x v="1"/>
    <s v="Kitchen"/>
    <x v="4"/>
    <n v="1"/>
    <n v="6800"/>
    <x v="2"/>
    <n v="6800"/>
    <n v="4700"/>
    <n v="2100"/>
  </r>
  <r>
    <s v="ORD11821"/>
    <x v="2658"/>
    <s v="CUST1157"/>
    <s v="Customer 157"/>
    <x v="3"/>
    <s v="Punjab"/>
    <x v="0"/>
    <s v="Paper"/>
    <x v="3"/>
    <n v="2"/>
    <n v="520"/>
    <x v="5"/>
    <n v="832"/>
    <n v="660"/>
    <n v="172"/>
  </r>
  <r>
    <s v="ORD12428"/>
    <x v="2659"/>
    <s v="CUST1193"/>
    <s v="Customer 193"/>
    <x v="1"/>
    <s v="Telangana"/>
    <x v="0"/>
    <s v="Paper"/>
    <x v="3"/>
    <n v="5"/>
    <n v="520"/>
    <x v="5"/>
    <n v="2080"/>
    <n v="1650"/>
    <n v="430"/>
  </r>
  <r>
    <s v="ORD10621"/>
    <x v="2660"/>
    <s v="CUST1217"/>
    <s v="Customer 217"/>
    <x v="0"/>
    <s v="Jharkhand"/>
    <x v="1"/>
    <s v="Kitchen"/>
    <x v="2"/>
    <n v="5"/>
    <n v="4200"/>
    <x v="4"/>
    <n v="19950"/>
    <n v="14500"/>
    <n v="5450"/>
  </r>
  <r>
    <s v="ORD10972"/>
    <x v="2661"/>
    <s v="CUST1210"/>
    <s v="Customer 210"/>
    <x v="2"/>
    <s v="Rajasthan"/>
    <x v="3"/>
    <s v="Storage"/>
    <x v="14"/>
    <n v="5"/>
    <n v="4800"/>
    <x v="2"/>
    <n v="24000"/>
    <n v="16500"/>
    <n v="7500"/>
  </r>
  <r>
    <s v="ORD13770"/>
    <x v="2662"/>
    <s v="CUST1167"/>
    <s v="Customer 167"/>
    <x v="3"/>
    <s v="Delhi"/>
    <x v="2"/>
    <s v="Audio"/>
    <x v="17"/>
    <n v="2"/>
    <n v="2800"/>
    <x v="0"/>
    <n v="5040"/>
    <n v="3600"/>
    <n v="1440"/>
  </r>
  <r>
    <s v="ORD11604"/>
    <x v="2663"/>
    <s v="CUST1159"/>
    <s v="Customer 159"/>
    <x v="1"/>
    <s v="Telangana"/>
    <x v="3"/>
    <s v="Storage"/>
    <x v="14"/>
    <n v="3"/>
    <n v="4800"/>
    <x v="0"/>
    <n v="12960"/>
    <n v="9900"/>
    <n v="3060"/>
  </r>
  <r>
    <s v="ORD10006"/>
    <x v="2664"/>
    <s v="CUST1430"/>
    <s v="Customer 430"/>
    <x v="0"/>
    <s v="Bihar"/>
    <x v="0"/>
    <s v="Stationery"/>
    <x v="15"/>
    <n v="2"/>
    <n v="450"/>
    <x v="3"/>
    <n v="765"/>
    <n v="520"/>
    <n v="245"/>
  </r>
  <r>
    <s v="ORD12823"/>
    <x v="2665"/>
    <s v="CUST1064"/>
    <s v="Customer 064"/>
    <x v="2"/>
    <s v="Gujarat"/>
    <x v="2"/>
    <s v="Accessories"/>
    <x v="13"/>
    <n v="1"/>
    <n v="1400"/>
    <x v="3"/>
    <n v="1190"/>
    <n v="900"/>
    <n v="290"/>
  </r>
  <r>
    <s v="ORD12155"/>
    <x v="2666"/>
    <s v="CUST1353"/>
    <s v="Customer 353"/>
    <x v="2"/>
    <s v="Gujarat"/>
    <x v="3"/>
    <s v="Storage"/>
    <x v="14"/>
    <n v="5"/>
    <n v="4800"/>
    <x v="3"/>
    <n v="20400"/>
    <n v="16500"/>
    <n v="3900"/>
  </r>
  <r>
    <s v="ORD12445"/>
    <x v="2667"/>
    <s v="CUST1300"/>
    <s v="Customer 300"/>
    <x v="1"/>
    <s v="Tamil Nadu"/>
    <x v="3"/>
    <s v="Tables"/>
    <x v="16"/>
    <n v="3"/>
    <n v="6200"/>
    <x v="4"/>
    <n v="17670"/>
    <n v="12900"/>
    <n v="4770"/>
  </r>
  <r>
    <s v="ORD12755"/>
    <x v="2668"/>
    <s v="CUST1496"/>
    <s v="Customer 496"/>
    <x v="0"/>
    <s v="Jharkhand"/>
    <x v="0"/>
    <s v="Stationery"/>
    <x v="18"/>
    <n v="1"/>
    <n v="300"/>
    <x v="3"/>
    <n v="255"/>
    <n v="170"/>
    <n v="85"/>
  </r>
  <r>
    <s v="ORD12548"/>
    <x v="2669"/>
    <s v="CUST1293"/>
    <s v="Customer 293"/>
    <x v="1"/>
    <s v="Karnataka"/>
    <x v="3"/>
    <s v="Chairs"/>
    <x v="12"/>
    <n v="4"/>
    <n v="7500"/>
    <x v="0"/>
    <n v="27000"/>
    <n v="20800"/>
    <n v="6200"/>
  </r>
  <r>
    <s v="ORD10541"/>
    <x v="2670"/>
    <s v="CUST1355"/>
    <s v="Customer 355"/>
    <x v="2"/>
    <s v="Rajasthan"/>
    <x v="2"/>
    <s v="Monitors"/>
    <x v="11"/>
    <n v="4"/>
    <n v="10500"/>
    <x v="3"/>
    <n v="35700"/>
    <n v="30400"/>
    <n v="5300"/>
  </r>
  <r>
    <s v="ORD10493"/>
    <x v="2671"/>
    <s v="CUST1377"/>
    <s v="Customer 377"/>
    <x v="1"/>
    <s v="Karnataka"/>
    <x v="3"/>
    <s v="Tables"/>
    <x v="16"/>
    <n v="3"/>
    <n v="6200"/>
    <x v="2"/>
    <n v="18600"/>
    <n v="12900"/>
    <n v="5700"/>
  </r>
  <r>
    <s v="ORD11833"/>
    <x v="2672"/>
    <s v="CUST1295"/>
    <s v="Customer 295"/>
    <x v="1"/>
    <s v="Andhra Pradesh"/>
    <x v="0"/>
    <s v="Stationery"/>
    <x v="15"/>
    <n v="1"/>
    <n v="450"/>
    <x v="3"/>
    <n v="382.5"/>
    <n v="260"/>
    <n v="122.5"/>
  </r>
  <r>
    <s v="ORD13823"/>
    <x v="2673"/>
    <s v="CUST1275"/>
    <s v="Customer 275"/>
    <x v="3"/>
    <s v="Delhi"/>
    <x v="0"/>
    <s v="Paper"/>
    <x v="3"/>
    <n v="1"/>
    <n v="520"/>
    <x v="4"/>
    <n v="494"/>
    <n v="330"/>
    <n v="164"/>
  </r>
  <r>
    <s v="ORD12591"/>
    <x v="2674"/>
    <s v="CUST1036"/>
    <s v="Customer 036"/>
    <x v="1"/>
    <s v="Telangana"/>
    <x v="2"/>
    <s v="Accessories"/>
    <x v="8"/>
    <n v="2"/>
    <n v="1800"/>
    <x v="0"/>
    <n v="3240"/>
    <n v="2200"/>
    <n v="1040"/>
  </r>
  <r>
    <s v="ORD11401"/>
    <x v="2675"/>
    <s v="CUST1428"/>
    <s v="Customer 428"/>
    <x v="1"/>
    <s v="Andhra Pradesh"/>
    <x v="0"/>
    <s v="Stationery"/>
    <x v="15"/>
    <n v="4"/>
    <n v="450"/>
    <x v="3"/>
    <n v="1530"/>
    <n v="1040"/>
    <n v="490"/>
  </r>
  <r>
    <s v="ORD13318"/>
    <x v="2676"/>
    <s v="CUST1200"/>
    <s v="Customer 200"/>
    <x v="0"/>
    <s v="West Bengal"/>
    <x v="2"/>
    <s v="Audio"/>
    <x v="17"/>
    <n v="2"/>
    <n v="2800"/>
    <x v="0"/>
    <n v="5040"/>
    <n v="3600"/>
    <n v="1440"/>
  </r>
  <r>
    <s v="ORD13110"/>
    <x v="2677"/>
    <s v="CUST1118"/>
    <s v="Customer 118"/>
    <x v="3"/>
    <s v="Haryana"/>
    <x v="3"/>
    <s v="Storage"/>
    <x v="6"/>
    <n v="1"/>
    <n v="5600"/>
    <x v="4"/>
    <n v="5320"/>
    <n v="3900"/>
    <n v="1420"/>
  </r>
  <r>
    <s v="ORD13385"/>
    <x v="2678"/>
    <s v="CUST1400"/>
    <s v="Customer 400"/>
    <x v="1"/>
    <s v="Kerala"/>
    <x v="2"/>
    <s v="Accessories"/>
    <x v="9"/>
    <n v="1"/>
    <n v="850"/>
    <x v="0"/>
    <n v="765"/>
    <n v="560"/>
    <n v="205"/>
  </r>
  <r>
    <s v="ORD10782"/>
    <x v="2679"/>
    <s v="CUST1319"/>
    <s v="Customer 319"/>
    <x v="1"/>
    <s v="Tamil Nadu"/>
    <x v="2"/>
    <s v="Audio"/>
    <x v="5"/>
    <n v="5"/>
    <n v="2200"/>
    <x v="1"/>
    <n v="8250"/>
    <n v="7250"/>
    <n v="1000"/>
  </r>
  <r>
    <s v="ORD12446"/>
    <x v="2680"/>
    <s v="CUST1448"/>
    <s v="Customer 448"/>
    <x v="2"/>
    <s v="Goa"/>
    <x v="2"/>
    <s v="Audio"/>
    <x v="17"/>
    <n v="2"/>
    <n v="2800"/>
    <x v="0"/>
    <n v="5040"/>
    <n v="3600"/>
    <n v="1440"/>
  </r>
  <r>
    <s v="ORD12687"/>
    <x v="2681"/>
    <s v="CUST1123"/>
    <s v="Customer 123"/>
    <x v="1"/>
    <s v="Karnataka"/>
    <x v="1"/>
    <s v="Appliances"/>
    <x v="7"/>
    <n v="1"/>
    <n v="2400"/>
    <x v="1"/>
    <n v="1800"/>
    <n v="1650"/>
    <n v="150"/>
  </r>
  <r>
    <s v="ORD13969"/>
    <x v="2682"/>
    <s v="CUST1295"/>
    <s v="Customer 295"/>
    <x v="2"/>
    <s v="Goa"/>
    <x v="3"/>
    <s v="Tables"/>
    <x v="16"/>
    <n v="4"/>
    <n v="6200"/>
    <x v="0"/>
    <n v="22320"/>
    <n v="17200"/>
    <n v="5120"/>
  </r>
  <r>
    <s v="ORD13206"/>
    <x v="2683"/>
    <s v="CUST1339"/>
    <s v="Customer 339"/>
    <x v="1"/>
    <s v="Kerala"/>
    <x v="2"/>
    <s v="Audio"/>
    <x v="5"/>
    <n v="1"/>
    <n v="2200"/>
    <x v="0"/>
    <n v="1980"/>
    <n v="1450"/>
    <n v="530"/>
  </r>
  <r>
    <s v="ORD13788"/>
    <x v="2684"/>
    <s v="CUST1011"/>
    <s v="Customer 011"/>
    <x v="3"/>
    <s v="Delhi"/>
    <x v="2"/>
    <s v="Audio"/>
    <x v="5"/>
    <n v="2"/>
    <n v="2200"/>
    <x v="0"/>
    <n v="3960"/>
    <n v="2900"/>
    <n v="1060"/>
  </r>
  <r>
    <s v="ORD12730"/>
    <x v="2685"/>
    <s v="CUST1231"/>
    <s v="Customer 231"/>
    <x v="1"/>
    <s v="Tamil Nadu"/>
    <x v="1"/>
    <s v="Kitchen"/>
    <x v="2"/>
    <n v="4"/>
    <n v="4200"/>
    <x v="0"/>
    <n v="15120"/>
    <n v="11600"/>
    <n v="3520"/>
  </r>
  <r>
    <s v="ORD10315"/>
    <x v="2686"/>
    <s v="CUST1122"/>
    <s v="Customer 122"/>
    <x v="1"/>
    <s v="Kerala"/>
    <x v="2"/>
    <s v="Accessories"/>
    <x v="9"/>
    <n v="1"/>
    <n v="850"/>
    <x v="2"/>
    <n v="850"/>
    <n v="560"/>
    <n v="290"/>
  </r>
  <r>
    <s v="ORD12664"/>
    <x v="2687"/>
    <s v="CUST1249"/>
    <s v="Customer 249"/>
    <x v="1"/>
    <s v="Andhra Pradesh"/>
    <x v="0"/>
    <s v="Stationery"/>
    <x v="10"/>
    <n v="2"/>
    <n v="280"/>
    <x v="4"/>
    <n v="532"/>
    <n v="320"/>
    <n v="212"/>
  </r>
  <r>
    <s v="ORD13189"/>
    <x v="2688"/>
    <s v="CUST1030"/>
    <s v="Customer 030"/>
    <x v="0"/>
    <s v="West Bengal"/>
    <x v="2"/>
    <s v="Audio"/>
    <x v="17"/>
    <n v="4"/>
    <n v="2800"/>
    <x v="0"/>
    <n v="10080"/>
    <n v="7200"/>
    <n v="2880"/>
  </r>
  <r>
    <s v="ORD11609"/>
    <x v="2689"/>
    <s v="CUST1119"/>
    <s v="Customer 119"/>
    <x v="1"/>
    <s v="Tamil Nadu"/>
    <x v="1"/>
    <s v="Kitchen"/>
    <x v="4"/>
    <n v="5"/>
    <n v="6800"/>
    <x v="4"/>
    <n v="32300"/>
    <n v="23500"/>
    <n v="8800"/>
  </r>
  <r>
    <s v="ORD12607"/>
    <x v="2690"/>
    <s v="CUST1267"/>
    <s v="Customer 267"/>
    <x v="3"/>
    <s v="Uttar Pradesh"/>
    <x v="3"/>
    <s v="Chairs"/>
    <x v="12"/>
    <n v="4"/>
    <n v="7500"/>
    <x v="0"/>
    <n v="27000"/>
    <n v="20800"/>
    <n v="6200"/>
  </r>
  <r>
    <s v="ORD11027"/>
    <x v="2691"/>
    <s v="CUST1039"/>
    <s v="Customer 039"/>
    <x v="1"/>
    <s v="Karnataka"/>
    <x v="0"/>
    <s v="Stationery"/>
    <x v="15"/>
    <n v="4"/>
    <n v="450"/>
    <x v="2"/>
    <n v="1800"/>
    <n v="1040"/>
    <n v="760"/>
  </r>
  <r>
    <s v="ORD13045"/>
    <x v="2692"/>
    <s v="CUST1095"/>
    <s v="Customer 095"/>
    <x v="1"/>
    <s v="Tamil Nadu"/>
    <x v="0"/>
    <s v="Stationery"/>
    <x v="15"/>
    <n v="4"/>
    <n v="450"/>
    <x v="3"/>
    <n v="1530"/>
    <n v="1040"/>
    <n v="490"/>
  </r>
  <r>
    <s v="ORD10238"/>
    <x v="2693"/>
    <s v="CUST1217"/>
    <s v="Customer 217"/>
    <x v="1"/>
    <s v="Andhra Pradesh"/>
    <x v="3"/>
    <s v="Chairs"/>
    <x v="12"/>
    <n v="5"/>
    <n v="7500"/>
    <x v="3"/>
    <n v="31875"/>
    <n v="26000"/>
    <n v="5875"/>
  </r>
  <r>
    <s v="ORD13905"/>
    <x v="2694"/>
    <s v="CUST1437"/>
    <s v="Customer 437"/>
    <x v="2"/>
    <s v="Gujarat"/>
    <x v="2"/>
    <s v="Accessories"/>
    <x v="8"/>
    <n v="5"/>
    <n v="1800"/>
    <x v="4"/>
    <n v="8550"/>
    <n v="5500"/>
    <n v="3050"/>
  </r>
  <r>
    <s v="ORD13809"/>
    <x v="2695"/>
    <s v="CUST1260"/>
    <s v="Customer 260"/>
    <x v="1"/>
    <s v="Kerala"/>
    <x v="2"/>
    <s v="Accessories"/>
    <x v="8"/>
    <n v="4"/>
    <n v="1800"/>
    <x v="0"/>
    <n v="6480"/>
    <n v="4400"/>
    <n v="2080"/>
  </r>
  <r>
    <s v="ORD11706"/>
    <x v="2696"/>
    <s v="CUST1430"/>
    <s v="Customer 430"/>
    <x v="1"/>
    <s v="Telangana"/>
    <x v="2"/>
    <s v="Accessories"/>
    <x v="9"/>
    <n v="1"/>
    <n v="850"/>
    <x v="3"/>
    <n v="722.5"/>
    <n v="560"/>
    <n v="162.5"/>
  </r>
  <r>
    <s v="ORD10072"/>
    <x v="2697"/>
    <s v="CUST1095"/>
    <s v="Customer 095"/>
    <x v="2"/>
    <s v="Rajasthan"/>
    <x v="3"/>
    <s v="Storage"/>
    <x v="6"/>
    <n v="5"/>
    <n v="5600"/>
    <x v="1"/>
    <n v="21000"/>
    <n v="19500"/>
    <n v="1500"/>
  </r>
  <r>
    <s v="ORD13701"/>
    <x v="2698"/>
    <s v="CUST1077"/>
    <s v="Customer 077"/>
    <x v="3"/>
    <s v="Punjab"/>
    <x v="3"/>
    <s v="Storage"/>
    <x v="6"/>
    <n v="4"/>
    <n v="5600"/>
    <x v="4"/>
    <n v="21280"/>
    <n v="15600"/>
    <n v="5680"/>
  </r>
  <r>
    <s v="ORD13856"/>
    <x v="2699"/>
    <s v="CUST1356"/>
    <s v="Customer 356"/>
    <x v="3"/>
    <s v="Punjab"/>
    <x v="2"/>
    <s v="Accessories"/>
    <x v="13"/>
    <n v="5"/>
    <n v="1400"/>
    <x v="5"/>
    <n v="5600"/>
    <n v="4500"/>
    <n v="1100"/>
  </r>
  <r>
    <s v="ORD13389"/>
    <x v="2700"/>
    <s v="CUST1145"/>
    <s v="Customer 145"/>
    <x v="2"/>
    <s v="Gujarat"/>
    <x v="2"/>
    <s v="Accessories"/>
    <x v="8"/>
    <n v="4"/>
    <n v="1800"/>
    <x v="5"/>
    <n v="5760"/>
    <n v="4400"/>
    <n v="1360"/>
  </r>
  <r>
    <s v="ORD12771"/>
    <x v="2701"/>
    <s v="CUST1331"/>
    <s v="Customer 331"/>
    <x v="2"/>
    <s v="Maharashtra"/>
    <x v="2"/>
    <s v="Accessories"/>
    <x v="13"/>
    <n v="1"/>
    <n v="1400"/>
    <x v="2"/>
    <n v="1400"/>
    <n v="900"/>
    <n v="500"/>
  </r>
  <r>
    <s v="ORD12125"/>
    <x v="2702"/>
    <s v="CUST1373"/>
    <s v="Customer 373"/>
    <x v="0"/>
    <s v="West Bengal"/>
    <x v="2"/>
    <s v="Accessories"/>
    <x v="13"/>
    <n v="1"/>
    <n v="1400"/>
    <x v="3"/>
    <n v="1190"/>
    <n v="900"/>
    <n v="290"/>
  </r>
  <r>
    <s v="ORD13747"/>
    <x v="2703"/>
    <s v="CUST1225"/>
    <s v="Customer 225"/>
    <x v="1"/>
    <s v="Andhra Pradesh"/>
    <x v="2"/>
    <s v="Audio"/>
    <x v="17"/>
    <n v="4"/>
    <n v="2800"/>
    <x v="0"/>
    <n v="10080"/>
    <n v="7200"/>
    <n v="2880"/>
  </r>
  <r>
    <s v="ORD10959"/>
    <x v="2704"/>
    <s v="CUST1486"/>
    <s v="Customer 486"/>
    <x v="1"/>
    <s v="Kerala"/>
    <x v="2"/>
    <s v="Audio"/>
    <x v="5"/>
    <n v="2"/>
    <n v="2200"/>
    <x v="3"/>
    <n v="3740"/>
    <n v="2900"/>
    <n v="840"/>
  </r>
  <r>
    <s v="ORD10896"/>
    <x v="2705"/>
    <s v="CUST1306"/>
    <s v="Customer 306"/>
    <x v="1"/>
    <s v="Kerala"/>
    <x v="2"/>
    <s v="Audio"/>
    <x v="17"/>
    <n v="1"/>
    <n v="2800"/>
    <x v="0"/>
    <n v="2520"/>
    <n v="1800"/>
    <n v="720"/>
  </r>
  <r>
    <s v="ORD12209"/>
    <x v="2706"/>
    <s v="CUST1118"/>
    <s v="Customer 118"/>
    <x v="2"/>
    <s v="Rajasthan"/>
    <x v="2"/>
    <s v="Accessories"/>
    <x v="9"/>
    <n v="5"/>
    <n v="850"/>
    <x v="4"/>
    <n v="4037.5"/>
    <n v="2800"/>
    <n v="1237.5"/>
  </r>
  <r>
    <s v="ORD10554"/>
    <x v="2707"/>
    <s v="CUST1159"/>
    <s v="Customer 159"/>
    <x v="0"/>
    <s v="West Bengal"/>
    <x v="0"/>
    <s v="Stationery"/>
    <x v="18"/>
    <n v="1"/>
    <n v="300"/>
    <x v="3"/>
    <n v="255"/>
    <n v="170"/>
    <n v="85"/>
  </r>
  <r>
    <s v="ORD11724"/>
    <x v="2708"/>
    <s v="CUST1366"/>
    <s v="Customer 366"/>
    <x v="2"/>
    <s v="Rajasthan"/>
    <x v="3"/>
    <s v="Storage"/>
    <x v="6"/>
    <n v="5"/>
    <n v="5600"/>
    <x v="0"/>
    <n v="25200"/>
    <n v="19500"/>
    <n v="5700"/>
  </r>
  <r>
    <s v="ORD11565"/>
    <x v="2709"/>
    <s v="CUST1279"/>
    <s v="Customer 279"/>
    <x v="0"/>
    <s v="Bihar"/>
    <x v="0"/>
    <s v="Accessories"/>
    <x v="0"/>
    <n v="4"/>
    <n v="650"/>
    <x v="2"/>
    <n v="2600"/>
    <n v="1560"/>
    <n v="1040"/>
  </r>
  <r>
    <s v="ORD13016"/>
    <x v="2710"/>
    <s v="CUST1230"/>
    <s v="Customer 230"/>
    <x v="1"/>
    <s v="Andhra Pradesh"/>
    <x v="0"/>
    <s v="Accessories"/>
    <x v="0"/>
    <n v="2"/>
    <n v="650"/>
    <x v="4"/>
    <n v="1235"/>
    <n v="780"/>
    <n v="455"/>
  </r>
  <r>
    <s v="ORD13198"/>
    <x v="2711"/>
    <s v="CUST1406"/>
    <s v="Customer 406"/>
    <x v="1"/>
    <s v="Kerala"/>
    <x v="2"/>
    <s v="Audio"/>
    <x v="5"/>
    <n v="1"/>
    <n v="2200"/>
    <x v="3"/>
    <n v="1870"/>
    <n v="1450"/>
    <n v="420"/>
  </r>
  <r>
    <s v="ORD13592"/>
    <x v="2712"/>
    <s v="CUST1148"/>
    <s v="Customer 148"/>
    <x v="3"/>
    <s v="Haryana"/>
    <x v="2"/>
    <s v="Audio"/>
    <x v="17"/>
    <n v="3"/>
    <n v="2800"/>
    <x v="0"/>
    <n v="7560"/>
    <n v="5400"/>
    <n v="2160"/>
  </r>
  <r>
    <s v="ORD11267"/>
    <x v="2713"/>
    <s v="CUST1028"/>
    <s v="Customer 028"/>
    <x v="1"/>
    <s v="Telangana"/>
    <x v="3"/>
    <s v="Storage"/>
    <x v="6"/>
    <n v="4"/>
    <n v="5600"/>
    <x v="1"/>
    <n v="16800"/>
    <n v="15600"/>
    <n v="1200"/>
  </r>
  <r>
    <s v="ORD12808"/>
    <x v="2714"/>
    <s v="CUST1156"/>
    <s v="Customer 156"/>
    <x v="2"/>
    <s v="Goa"/>
    <x v="2"/>
    <s v="Monitors"/>
    <x v="11"/>
    <n v="2"/>
    <n v="10500"/>
    <x v="1"/>
    <n v="15750"/>
    <n v="15200"/>
    <n v="550"/>
  </r>
  <r>
    <s v="ORD11420"/>
    <x v="2715"/>
    <s v="CUST1239"/>
    <s v="Customer 239"/>
    <x v="3"/>
    <s v="Delhi"/>
    <x v="1"/>
    <s v="Kitchen"/>
    <x v="2"/>
    <n v="3"/>
    <n v="4200"/>
    <x v="5"/>
    <n v="10080"/>
    <n v="8700"/>
    <n v="1380"/>
  </r>
  <r>
    <s v="ORD10644"/>
    <x v="2716"/>
    <s v="CUST1241"/>
    <s v="Customer 241"/>
    <x v="3"/>
    <s v="Punjab"/>
    <x v="2"/>
    <s v="Audio"/>
    <x v="5"/>
    <n v="4"/>
    <n v="2200"/>
    <x v="4"/>
    <n v="8360"/>
    <n v="5800"/>
    <n v="2560"/>
  </r>
  <r>
    <s v="ORD12453"/>
    <x v="2717"/>
    <s v="CUST1048"/>
    <s v="Customer 048"/>
    <x v="2"/>
    <s v="Goa"/>
    <x v="0"/>
    <s v="Stationery"/>
    <x v="18"/>
    <n v="3"/>
    <n v="300"/>
    <x v="2"/>
    <n v="900"/>
    <n v="510"/>
    <n v="390"/>
  </r>
  <r>
    <s v="ORD10864"/>
    <x v="2718"/>
    <s v="CUST1387"/>
    <s v="Customer 387"/>
    <x v="1"/>
    <s v="Kerala"/>
    <x v="0"/>
    <s v="Stationery"/>
    <x v="18"/>
    <n v="2"/>
    <n v="300"/>
    <x v="5"/>
    <n v="480"/>
    <n v="340"/>
    <n v="140"/>
  </r>
  <r>
    <s v="ORD11111"/>
    <x v="2719"/>
    <s v="CUST1317"/>
    <s v="Customer 317"/>
    <x v="1"/>
    <s v="Tamil Nadu"/>
    <x v="1"/>
    <s v="Appliances"/>
    <x v="7"/>
    <n v="3"/>
    <n v="2400"/>
    <x v="2"/>
    <n v="7200"/>
    <n v="4950"/>
    <n v="2250"/>
  </r>
  <r>
    <s v="ORD11772"/>
    <x v="2720"/>
    <s v="CUST1189"/>
    <s v="Customer 189"/>
    <x v="0"/>
    <s v="Jharkhand"/>
    <x v="0"/>
    <s v="Stationery"/>
    <x v="18"/>
    <n v="2"/>
    <n v="300"/>
    <x v="2"/>
    <n v="600"/>
    <n v="340"/>
    <n v="260"/>
  </r>
  <r>
    <s v="ORD10144"/>
    <x v="2721"/>
    <s v="CUST1205"/>
    <s v="Customer 205"/>
    <x v="3"/>
    <s v="Delhi"/>
    <x v="2"/>
    <s v="Accessories"/>
    <x v="9"/>
    <n v="3"/>
    <n v="850"/>
    <x v="2"/>
    <n v="2550"/>
    <n v="1680"/>
    <n v="870"/>
  </r>
  <r>
    <s v="ORD12419"/>
    <x v="2722"/>
    <s v="CUST1145"/>
    <s v="Customer 145"/>
    <x v="1"/>
    <s v="Karnataka"/>
    <x v="2"/>
    <s v="Monitors"/>
    <x v="11"/>
    <n v="5"/>
    <n v="10500"/>
    <x v="4"/>
    <n v="49875"/>
    <n v="38000"/>
    <n v="11875"/>
  </r>
  <r>
    <s v="ORD10165"/>
    <x v="2723"/>
    <s v="CUST1209"/>
    <s v="Customer 209"/>
    <x v="0"/>
    <s v="West Bengal"/>
    <x v="3"/>
    <s v="Chairs"/>
    <x v="12"/>
    <n v="2"/>
    <n v="7500"/>
    <x v="4"/>
    <n v="14250"/>
    <n v="10400"/>
    <n v="3850"/>
  </r>
  <r>
    <s v="ORD10785"/>
    <x v="2724"/>
    <s v="CUST1240"/>
    <s v="Customer 240"/>
    <x v="1"/>
    <s v="Andhra Pradesh"/>
    <x v="0"/>
    <s v="Paper"/>
    <x v="3"/>
    <n v="1"/>
    <n v="520"/>
    <x v="4"/>
    <n v="494"/>
    <n v="330"/>
    <n v="164"/>
  </r>
  <r>
    <s v="ORD10064"/>
    <x v="2725"/>
    <s v="CUST1484"/>
    <s v="Customer 484"/>
    <x v="1"/>
    <s v="Kerala"/>
    <x v="0"/>
    <s v="Accessories"/>
    <x v="0"/>
    <n v="5"/>
    <n v="650"/>
    <x v="0"/>
    <n v="2925"/>
    <n v="1950"/>
    <n v="975"/>
  </r>
  <r>
    <s v="ORD11735"/>
    <x v="2726"/>
    <s v="CUST1431"/>
    <s v="Customer 431"/>
    <x v="1"/>
    <s v="Telangana"/>
    <x v="2"/>
    <s v="Monitors"/>
    <x v="11"/>
    <n v="2"/>
    <n v="10500"/>
    <x v="3"/>
    <n v="17850"/>
    <n v="15200"/>
    <n v="2650"/>
  </r>
  <r>
    <s v="ORD13468"/>
    <x v="2727"/>
    <s v="CUST1129"/>
    <s v="Customer 129"/>
    <x v="1"/>
    <s v="Karnataka"/>
    <x v="3"/>
    <s v="Storage"/>
    <x v="6"/>
    <n v="1"/>
    <n v="5600"/>
    <x v="5"/>
    <n v="4480"/>
    <n v="3900"/>
    <n v="580"/>
  </r>
  <r>
    <s v="ORD13334"/>
    <x v="2728"/>
    <s v="CUST1425"/>
    <s v="Customer 425"/>
    <x v="1"/>
    <s v="Telangana"/>
    <x v="3"/>
    <s v="Storage"/>
    <x v="14"/>
    <n v="2"/>
    <n v="4800"/>
    <x v="1"/>
    <n v="7200"/>
    <n v="6600"/>
    <n v="600"/>
  </r>
  <r>
    <s v="ORD10530"/>
    <x v="2729"/>
    <s v="CUST1461"/>
    <s v="Customer 461"/>
    <x v="2"/>
    <s v="Gujarat"/>
    <x v="2"/>
    <s v="Monitors"/>
    <x v="11"/>
    <n v="5"/>
    <n v="10500"/>
    <x v="2"/>
    <n v="52500"/>
    <n v="38000"/>
    <n v="14500"/>
  </r>
  <r>
    <s v="ORD10517"/>
    <x v="2730"/>
    <s v="CUST1441"/>
    <s v="Customer 441"/>
    <x v="1"/>
    <s v="Andhra Pradesh"/>
    <x v="1"/>
    <s v="Appliances"/>
    <x v="7"/>
    <n v="3"/>
    <n v="2400"/>
    <x v="3"/>
    <n v="6120"/>
    <n v="4950"/>
    <n v="1170"/>
  </r>
  <r>
    <s v="ORD12095"/>
    <x v="2731"/>
    <s v="CUST1082"/>
    <s v="Customer 082"/>
    <x v="1"/>
    <s v="Karnataka"/>
    <x v="1"/>
    <s v="Kitchen"/>
    <x v="1"/>
    <n v="5"/>
    <n v="1900"/>
    <x v="4"/>
    <n v="9025"/>
    <n v="6250"/>
    <n v="2775"/>
  </r>
  <r>
    <s v="ORD11125"/>
    <x v="2732"/>
    <s v="CUST1421"/>
    <s v="Customer 421"/>
    <x v="1"/>
    <s v="Tamil Nadu"/>
    <x v="1"/>
    <s v="Appliances"/>
    <x v="7"/>
    <n v="3"/>
    <n v="2400"/>
    <x v="2"/>
    <n v="7200"/>
    <n v="4950"/>
    <n v="2250"/>
  </r>
  <r>
    <s v="ORD12913"/>
    <x v="2733"/>
    <s v="CUST1236"/>
    <s v="Customer 236"/>
    <x v="1"/>
    <s v="Kerala"/>
    <x v="0"/>
    <s v="Stationery"/>
    <x v="10"/>
    <n v="5"/>
    <n v="280"/>
    <x v="0"/>
    <n v="1260"/>
    <n v="800"/>
    <n v="460"/>
  </r>
  <r>
    <s v="ORD10845"/>
    <x v="2734"/>
    <s v="CUST1003"/>
    <s v="Customer 003"/>
    <x v="1"/>
    <s v="Telangana"/>
    <x v="0"/>
    <s v="Stationery"/>
    <x v="18"/>
    <n v="5"/>
    <n v="300"/>
    <x v="4"/>
    <n v="1425"/>
    <n v="850"/>
    <n v="575"/>
  </r>
  <r>
    <s v="ORD13029"/>
    <x v="2735"/>
    <s v="CUST1113"/>
    <s v="Customer 113"/>
    <x v="2"/>
    <s v="Gujarat"/>
    <x v="3"/>
    <s v="Storage"/>
    <x v="14"/>
    <n v="1"/>
    <n v="4800"/>
    <x v="3"/>
    <n v="4080"/>
    <n v="3300"/>
    <n v="780"/>
  </r>
  <r>
    <s v="ORD13496"/>
    <x v="2736"/>
    <s v="CUST1266"/>
    <s v="Customer 266"/>
    <x v="1"/>
    <s v="Telangana"/>
    <x v="3"/>
    <s v="Tables"/>
    <x v="16"/>
    <n v="4"/>
    <n v="6200"/>
    <x v="4"/>
    <n v="23560"/>
    <n v="17200"/>
    <n v="6360"/>
  </r>
  <r>
    <s v="ORD13944"/>
    <x v="2737"/>
    <s v="CUST1485"/>
    <s v="Customer 485"/>
    <x v="3"/>
    <s v="Delhi"/>
    <x v="2"/>
    <s v="Accessories"/>
    <x v="13"/>
    <n v="4"/>
    <n v="1400"/>
    <x v="0"/>
    <n v="5040"/>
    <n v="3600"/>
    <n v="1440"/>
  </r>
  <r>
    <s v="ORD12275"/>
    <x v="2738"/>
    <s v="CUST1089"/>
    <s v="Customer 089"/>
    <x v="1"/>
    <s v="Kerala"/>
    <x v="2"/>
    <s v="Audio"/>
    <x v="5"/>
    <n v="1"/>
    <n v="2200"/>
    <x v="3"/>
    <n v="1870"/>
    <n v="1450"/>
    <n v="420"/>
  </r>
  <r>
    <s v="ORD10795"/>
    <x v="2739"/>
    <s v="CUST1216"/>
    <s v="Customer 216"/>
    <x v="3"/>
    <s v="Punjab"/>
    <x v="3"/>
    <s v="Storage"/>
    <x v="14"/>
    <n v="2"/>
    <n v="4800"/>
    <x v="4"/>
    <n v="9120"/>
    <n v="6600"/>
    <n v="2520"/>
  </r>
  <r>
    <s v="ORD12263"/>
    <x v="2740"/>
    <s v="CUST1016"/>
    <s v="Customer 016"/>
    <x v="1"/>
    <s v="Kerala"/>
    <x v="2"/>
    <s v="Audio"/>
    <x v="5"/>
    <n v="2"/>
    <n v="2200"/>
    <x v="4"/>
    <n v="4180"/>
    <n v="2900"/>
    <n v="1280"/>
  </r>
  <r>
    <s v="ORD13166"/>
    <x v="2741"/>
    <s v="CUST1201"/>
    <s v="Customer 201"/>
    <x v="3"/>
    <s v="Delhi"/>
    <x v="0"/>
    <s v="Accessories"/>
    <x v="0"/>
    <n v="3"/>
    <n v="650"/>
    <x v="0"/>
    <n v="1755"/>
    <n v="1170"/>
    <n v="585"/>
  </r>
  <r>
    <s v="ORD13893"/>
    <x v="2742"/>
    <s v="CUST1218"/>
    <s v="Customer 218"/>
    <x v="2"/>
    <s v="Goa"/>
    <x v="0"/>
    <s v="Accessories"/>
    <x v="0"/>
    <n v="1"/>
    <n v="650"/>
    <x v="0"/>
    <n v="585"/>
    <n v="390"/>
    <n v="195"/>
  </r>
  <r>
    <s v="ORD13637"/>
    <x v="2743"/>
    <s v="CUST1271"/>
    <s v="Customer 271"/>
    <x v="1"/>
    <s v="Karnataka"/>
    <x v="0"/>
    <s v="Stationery"/>
    <x v="18"/>
    <n v="5"/>
    <n v="300"/>
    <x v="2"/>
    <n v="1500"/>
    <n v="850"/>
    <n v="650"/>
  </r>
  <r>
    <s v="ORD13680"/>
    <x v="2744"/>
    <s v="CUST1367"/>
    <s v="Customer 367"/>
    <x v="1"/>
    <s v="Karnataka"/>
    <x v="3"/>
    <s v="Storage"/>
    <x v="14"/>
    <n v="4"/>
    <n v="4800"/>
    <x v="0"/>
    <n v="17280"/>
    <n v="13200"/>
    <n v="4080"/>
  </r>
  <r>
    <s v="ORD10623"/>
    <x v="2745"/>
    <s v="CUST1083"/>
    <s v="Customer 083"/>
    <x v="1"/>
    <s v="Karnataka"/>
    <x v="2"/>
    <s v="Accessories"/>
    <x v="8"/>
    <n v="2"/>
    <n v="1800"/>
    <x v="2"/>
    <n v="3600"/>
    <n v="2200"/>
    <n v="1400"/>
  </r>
  <r>
    <s v="ORD11123"/>
    <x v="2746"/>
    <s v="CUST1135"/>
    <s v="Customer 135"/>
    <x v="1"/>
    <s v="Kerala"/>
    <x v="1"/>
    <s v="Kitchen"/>
    <x v="2"/>
    <n v="1"/>
    <n v="4200"/>
    <x v="1"/>
    <n v="3150"/>
    <n v="2900"/>
    <n v="250"/>
  </r>
  <r>
    <s v="ORD10220"/>
    <x v="2747"/>
    <s v="CUST1452"/>
    <s v="Customer 452"/>
    <x v="1"/>
    <s v="Telangana"/>
    <x v="0"/>
    <s v="Stationery"/>
    <x v="15"/>
    <n v="5"/>
    <n v="450"/>
    <x v="4"/>
    <n v="2137.5"/>
    <n v="1300"/>
    <n v="837.5"/>
  </r>
  <r>
    <s v="ORD12237"/>
    <x v="2748"/>
    <s v="CUST1125"/>
    <s v="Customer 125"/>
    <x v="1"/>
    <s v="Andhra Pradesh"/>
    <x v="1"/>
    <s v="Kitchen"/>
    <x v="2"/>
    <n v="4"/>
    <n v="4200"/>
    <x v="0"/>
    <n v="15120"/>
    <n v="11600"/>
    <n v="3520"/>
  </r>
  <r>
    <s v="ORD10820"/>
    <x v="2749"/>
    <s v="CUST1500"/>
    <s v="Customer 500"/>
    <x v="0"/>
    <s v="West Bengal"/>
    <x v="1"/>
    <s v="Kitchen"/>
    <x v="4"/>
    <n v="3"/>
    <n v="6800"/>
    <x v="3"/>
    <n v="17340"/>
    <n v="14100"/>
    <n v="3240"/>
  </r>
  <r>
    <s v="ORD10568"/>
    <x v="2750"/>
    <s v="CUST1125"/>
    <s v="Customer 125"/>
    <x v="1"/>
    <s v="Tamil Nadu"/>
    <x v="3"/>
    <s v="Tables"/>
    <x v="16"/>
    <n v="3"/>
    <n v="6200"/>
    <x v="4"/>
    <n v="17670"/>
    <n v="12900"/>
    <n v="4770"/>
  </r>
  <r>
    <s v="ORD13102"/>
    <x v="2751"/>
    <s v="CUST1066"/>
    <s v="Customer 066"/>
    <x v="1"/>
    <s v="Andhra Pradesh"/>
    <x v="2"/>
    <s v="Accessories"/>
    <x v="9"/>
    <n v="2"/>
    <n v="850"/>
    <x v="0"/>
    <n v="1530"/>
    <n v="1120"/>
    <n v="410"/>
  </r>
  <r>
    <s v="ORD10489"/>
    <x v="2752"/>
    <s v="CUST1383"/>
    <s v="Customer 383"/>
    <x v="1"/>
    <s v="Tamil Nadu"/>
    <x v="0"/>
    <s v="Paper"/>
    <x v="3"/>
    <n v="3"/>
    <n v="520"/>
    <x v="0"/>
    <n v="1404"/>
    <n v="990"/>
    <n v="414"/>
  </r>
  <r>
    <s v="ORD12999"/>
    <x v="2753"/>
    <s v="CUST1218"/>
    <s v="Customer 218"/>
    <x v="1"/>
    <s v="Kerala"/>
    <x v="3"/>
    <s v="Storage"/>
    <x v="6"/>
    <n v="1"/>
    <n v="5600"/>
    <x v="5"/>
    <n v="4480"/>
    <n v="3900"/>
    <n v="580"/>
  </r>
  <r>
    <s v="ORD10565"/>
    <x v="2754"/>
    <s v="CUST1445"/>
    <s v="Customer 445"/>
    <x v="2"/>
    <s v="Rajasthan"/>
    <x v="3"/>
    <s v="Storage"/>
    <x v="14"/>
    <n v="2"/>
    <n v="4800"/>
    <x v="3"/>
    <n v="8160"/>
    <n v="6600"/>
    <n v="1560"/>
  </r>
  <r>
    <s v="ORD13227"/>
    <x v="2755"/>
    <s v="CUST1290"/>
    <s v="Customer 290"/>
    <x v="1"/>
    <s v="Karnataka"/>
    <x v="2"/>
    <s v="Accessories"/>
    <x v="13"/>
    <n v="2"/>
    <n v="1400"/>
    <x v="0"/>
    <n v="2520"/>
    <n v="1800"/>
    <n v="720"/>
  </r>
  <r>
    <s v="ORD10876"/>
    <x v="2756"/>
    <s v="CUST1253"/>
    <s v="Customer 253"/>
    <x v="1"/>
    <s v="Karnataka"/>
    <x v="2"/>
    <s v="Accessories"/>
    <x v="9"/>
    <n v="5"/>
    <n v="850"/>
    <x v="0"/>
    <n v="3825"/>
    <n v="2800"/>
    <n v="1025"/>
  </r>
  <r>
    <s v="ORD11752"/>
    <x v="2757"/>
    <s v="CUST1444"/>
    <s v="Customer 444"/>
    <x v="2"/>
    <s v="Goa"/>
    <x v="1"/>
    <s v="Kitchen"/>
    <x v="2"/>
    <n v="1"/>
    <n v="4200"/>
    <x v="3"/>
    <n v="3570"/>
    <n v="2900"/>
    <n v="670"/>
  </r>
  <r>
    <s v="ORD12377"/>
    <x v="2758"/>
    <s v="CUST1427"/>
    <s v="Customer 427"/>
    <x v="3"/>
    <s v="Punjab"/>
    <x v="0"/>
    <s v="Accessories"/>
    <x v="0"/>
    <n v="3"/>
    <n v="650"/>
    <x v="5"/>
    <n v="1560"/>
    <n v="1170"/>
    <n v="390"/>
  </r>
  <r>
    <s v="ORD11392"/>
    <x v="2759"/>
    <s v="CUST1265"/>
    <s v="Customer 265"/>
    <x v="3"/>
    <s v="Punjab"/>
    <x v="1"/>
    <s v="Appliances"/>
    <x v="7"/>
    <n v="3"/>
    <n v="2400"/>
    <x v="2"/>
    <n v="7200"/>
    <n v="4950"/>
    <n v="2250"/>
  </r>
  <r>
    <s v="ORD12345"/>
    <x v="2760"/>
    <s v="CUST1294"/>
    <s v="Customer 294"/>
    <x v="3"/>
    <s v="Delhi"/>
    <x v="3"/>
    <s v="Tables"/>
    <x v="16"/>
    <n v="3"/>
    <n v="6200"/>
    <x v="5"/>
    <n v="14880"/>
    <n v="12900"/>
    <n v="1980"/>
  </r>
  <r>
    <s v="ORD12735"/>
    <x v="2761"/>
    <s v="CUST1224"/>
    <s v="Customer 224"/>
    <x v="0"/>
    <s v="Jharkhand"/>
    <x v="2"/>
    <s v="Accessories"/>
    <x v="13"/>
    <n v="1"/>
    <n v="1400"/>
    <x v="4"/>
    <n v="1330"/>
    <n v="900"/>
    <n v="430"/>
  </r>
  <r>
    <s v="ORD12603"/>
    <x v="2762"/>
    <s v="CUST1391"/>
    <s v="Customer 391"/>
    <x v="0"/>
    <s v="Jharkhand"/>
    <x v="1"/>
    <s v="Kitchen"/>
    <x v="2"/>
    <n v="5"/>
    <n v="4200"/>
    <x v="2"/>
    <n v="21000"/>
    <n v="14500"/>
    <n v="6500"/>
  </r>
  <r>
    <s v="ORD12159"/>
    <x v="2763"/>
    <s v="CUST1407"/>
    <s v="Customer 407"/>
    <x v="2"/>
    <s v="Gujarat"/>
    <x v="2"/>
    <s v="Accessories"/>
    <x v="8"/>
    <n v="1"/>
    <n v="1800"/>
    <x v="4"/>
    <n v="1710"/>
    <n v="1100"/>
    <n v="610"/>
  </r>
  <r>
    <s v="ORD10860"/>
    <x v="2764"/>
    <s v="CUST1401"/>
    <s v="Customer 401"/>
    <x v="2"/>
    <s v="Maharashtra"/>
    <x v="2"/>
    <s v="Audio"/>
    <x v="5"/>
    <n v="1"/>
    <n v="2200"/>
    <x v="3"/>
    <n v="1870"/>
    <n v="1450"/>
    <n v="420"/>
  </r>
  <r>
    <s v="ORD12886"/>
    <x v="2765"/>
    <s v="CUST1077"/>
    <s v="Customer 077"/>
    <x v="3"/>
    <s v="Haryana"/>
    <x v="2"/>
    <s v="Audio"/>
    <x v="5"/>
    <n v="4"/>
    <n v="2200"/>
    <x v="4"/>
    <n v="8360"/>
    <n v="5800"/>
    <n v="2560"/>
  </r>
  <r>
    <s v="ORD10967"/>
    <x v="2766"/>
    <s v="CUST1301"/>
    <s v="Customer 301"/>
    <x v="1"/>
    <s v="Telangana"/>
    <x v="3"/>
    <s v="Storage"/>
    <x v="6"/>
    <n v="5"/>
    <n v="5600"/>
    <x v="3"/>
    <n v="23800"/>
    <n v="19500"/>
    <n v="4300"/>
  </r>
  <r>
    <s v="ORD13946"/>
    <x v="2767"/>
    <s v="CUST1367"/>
    <s v="Customer 367"/>
    <x v="1"/>
    <s v="Kerala"/>
    <x v="0"/>
    <s v="Stationery"/>
    <x v="15"/>
    <n v="2"/>
    <n v="450"/>
    <x v="5"/>
    <n v="720"/>
    <n v="520"/>
    <n v="200"/>
  </r>
  <r>
    <s v="ORD13100"/>
    <x v="2768"/>
    <s v="CUST1137"/>
    <s v="Customer 137"/>
    <x v="3"/>
    <s v="Delhi"/>
    <x v="3"/>
    <s v="Tables"/>
    <x v="16"/>
    <n v="1"/>
    <n v="6200"/>
    <x v="3"/>
    <n v="5270"/>
    <n v="4300"/>
    <n v="970"/>
  </r>
  <r>
    <s v="ORD10042"/>
    <x v="2769"/>
    <s v="CUST1380"/>
    <s v="Customer 380"/>
    <x v="3"/>
    <s v="Uttar Pradesh"/>
    <x v="3"/>
    <s v="Tables"/>
    <x v="16"/>
    <n v="1"/>
    <n v="6200"/>
    <x v="5"/>
    <n v="4960"/>
    <n v="4300"/>
    <n v="660"/>
  </r>
  <r>
    <s v="ORD13888"/>
    <x v="2770"/>
    <s v="CUST1089"/>
    <s v="Customer 089"/>
    <x v="1"/>
    <s v="Kerala"/>
    <x v="2"/>
    <s v="Accessories"/>
    <x v="13"/>
    <n v="2"/>
    <n v="1400"/>
    <x v="3"/>
    <n v="2380"/>
    <n v="1800"/>
    <n v="580"/>
  </r>
  <r>
    <s v="ORD13718"/>
    <x v="2771"/>
    <s v="CUST1126"/>
    <s v="Customer 126"/>
    <x v="0"/>
    <s v="Jharkhand"/>
    <x v="0"/>
    <s v="Stationery"/>
    <x v="10"/>
    <n v="1"/>
    <n v="280"/>
    <x v="0"/>
    <n v="252"/>
    <n v="160"/>
    <n v="92"/>
  </r>
  <r>
    <s v="ORD10328"/>
    <x v="2772"/>
    <s v="CUST1019"/>
    <s v="Customer 019"/>
    <x v="1"/>
    <s v="Kerala"/>
    <x v="0"/>
    <s v="Accessories"/>
    <x v="0"/>
    <n v="1"/>
    <n v="650"/>
    <x v="0"/>
    <n v="585"/>
    <n v="390"/>
    <n v="195"/>
  </r>
  <r>
    <s v="ORD12699"/>
    <x v="2773"/>
    <s v="CUST1065"/>
    <s v="Customer 065"/>
    <x v="2"/>
    <s v="Gujarat"/>
    <x v="1"/>
    <s v="Appliances"/>
    <x v="7"/>
    <n v="5"/>
    <n v="2400"/>
    <x v="5"/>
    <n v="9600"/>
    <n v="8250"/>
    <n v="1350"/>
  </r>
  <r>
    <s v="ORD10894"/>
    <x v="2774"/>
    <s v="CUST1491"/>
    <s v="Customer 491"/>
    <x v="2"/>
    <s v="Goa"/>
    <x v="2"/>
    <s v="Monitors"/>
    <x v="11"/>
    <n v="3"/>
    <n v="10500"/>
    <x v="2"/>
    <n v="31500"/>
    <n v="22800"/>
    <n v="8700"/>
  </r>
  <r>
    <s v="ORD10984"/>
    <x v="2775"/>
    <s v="CUST1324"/>
    <s v="Customer 324"/>
    <x v="2"/>
    <s v="Goa"/>
    <x v="1"/>
    <s v="Kitchen"/>
    <x v="2"/>
    <n v="1"/>
    <n v="4200"/>
    <x v="2"/>
    <n v="4200"/>
    <n v="2900"/>
    <n v="1300"/>
  </r>
  <r>
    <s v="ORD11904"/>
    <x v="2776"/>
    <s v="CUST1125"/>
    <s v="Customer 125"/>
    <x v="2"/>
    <s v="Rajasthan"/>
    <x v="3"/>
    <s v="Chairs"/>
    <x v="12"/>
    <n v="5"/>
    <n v="7500"/>
    <x v="4"/>
    <n v="35625"/>
    <n v="26000"/>
    <n v="9625"/>
  </r>
  <r>
    <s v="ORD11741"/>
    <x v="2777"/>
    <s v="CUST1216"/>
    <s v="Customer 216"/>
    <x v="1"/>
    <s v="Kerala"/>
    <x v="3"/>
    <s v="Storage"/>
    <x v="14"/>
    <n v="4"/>
    <n v="4800"/>
    <x v="0"/>
    <n v="17280"/>
    <n v="13200"/>
    <n v="4080"/>
  </r>
  <r>
    <s v="ORD11427"/>
    <x v="2778"/>
    <s v="CUST1336"/>
    <s v="Customer 336"/>
    <x v="1"/>
    <s v="Tamil Nadu"/>
    <x v="2"/>
    <s v="Audio"/>
    <x v="5"/>
    <n v="3"/>
    <n v="2200"/>
    <x v="3"/>
    <n v="5610"/>
    <n v="4350"/>
    <n v="1260"/>
  </r>
  <r>
    <s v="ORD10170"/>
    <x v="2779"/>
    <s v="CUST1012"/>
    <s v="Customer 012"/>
    <x v="2"/>
    <s v="Maharashtra"/>
    <x v="3"/>
    <s v="Storage"/>
    <x v="6"/>
    <n v="4"/>
    <n v="5600"/>
    <x v="3"/>
    <n v="19040"/>
    <n v="15600"/>
    <n v="3440"/>
  </r>
  <r>
    <s v="ORD12982"/>
    <x v="2780"/>
    <s v="CUST1031"/>
    <s v="Customer 031"/>
    <x v="1"/>
    <s v="Andhra Pradesh"/>
    <x v="2"/>
    <s v="Accessories"/>
    <x v="13"/>
    <n v="4"/>
    <n v="1400"/>
    <x v="3"/>
    <n v="4760"/>
    <n v="3600"/>
    <n v="1160"/>
  </r>
  <r>
    <s v="ORD10506"/>
    <x v="2781"/>
    <s v="CUST1227"/>
    <s v="Customer 227"/>
    <x v="1"/>
    <s v="Kerala"/>
    <x v="2"/>
    <s v="Monitors"/>
    <x v="11"/>
    <n v="3"/>
    <n v="10500"/>
    <x v="3"/>
    <n v="26775"/>
    <n v="22800"/>
    <n v="3975"/>
  </r>
  <r>
    <s v="ORD10766"/>
    <x v="2782"/>
    <s v="CUST1391"/>
    <s v="Customer 391"/>
    <x v="0"/>
    <s v="Bihar"/>
    <x v="3"/>
    <s v="Storage"/>
    <x v="6"/>
    <n v="5"/>
    <n v="5600"/>
    <x v="0"/>
    <n v="25200"/>
    <n v="19500"/>
    <n v="5700"/>
  </r>
  <r>
    <s v="ORD13966"/>
    <x v="2783"/>
    <s v="CUST1426"/>
    <s v="Customer 426"/>
    <x v="1"/>
    <s v="Andhra Pradesh"/>
    <x v="2"/>
    <s v="Monitors"/>
    <x v="11"/>
    <n v="5"/>
    <n v="10500"/>
    <x v="4"/>
    <n v="49875"/>
    <n v="38000"/>
    <n v="11875"/>
  </r>
  <r>
    <s v="ORD11544"/>
    <x v="2784"/>
    <s v="CUST1285"/>
    <s v="Customer 285"/>
    <x v="1"/>
    <s v="Kerala"/>
    <x v="3"/>
    <s v="Tables"/>
    <x v="16"/>
    <n v="5"/>
    <n v="6200"/>
    <x v="0"/>
    <n v="27900"/>
    <n v="21500"/>
    <n v="6400"/>
  </r>
  <r>
    <s v="ORD11731"/>
    <x v="2785"/>
    <s v="CUST1390"/>
    <s v="Customer 390"/>
    <x v="0"/>
    <s v="Odisha"/>
    <x v="2"/>
    <s v="Audio"/>
    <x v="17"/>
    <n v="5"/>
    <n v="2800"/>
    <x v="3"/>
    <n v="11900"/>
    <n v="9000"/>
    <n v="2900"/>
  </r>
  <r>
    <s v="ORD10880"/>
    <x v="2786"/>
    <s v="CUST1316"/>
    <s v="Customer 316"/>
    <x v="1"/>
    <s v="Kerala"/>
    <x v="3"/>
    <s v="Tables"/>
    <x v="16"/>
    <n v="2"/>
    <n v="6200"/>
    <x v="0"/>
    <n v="11160"/>
    <n v="8600"/>
    <n v="2560"/>
  </r>
  <r>
    <s v="ORD12052"/>
    <x v="2787"/>
    <s v="CUST1152"/>
    <s v="Customer 152"/>
    <x v="2"/>
    <s v="Goa"/>
    <x v="2"/>
    <s v="Accessories"/>
    <x v="9"/>
    <n v="1"/>
    <n v="850"/>
    <x v="3"/>
    <n v="722.5"/>
    <n v="560"/>
    <n v="162.5"/>
  </r>
  <r>
    <s v="ORD11541"/>
    <x v="2788"/>
    <s v="CUST1238"/>
    <s v="Customer 238"/>
    <x v="0"/>
    <s v="West Bengal"/>
    <x v="1"/>
    <s v="Kitchen"/>
    <x v="4"/>
    <n v="4"/>
    <n v="6800"/>
    <x v="2"/>
    <n v="27200"/>
    <n v="18800"/>
    <n v="8400"/>
  </r>
  <r>
    <s v="ORD13518"/>
    <x v="2789"/>
    <s v="CUST1452"/>
    <s v="Customer 452"/>
    <x v="1"/>
    <s v="Karnataka"/>
    <x v="3"/>
    <s v="Chairs"/>
    <x v="12"/>
    <n v="2"/>
    <n v="7500"/>
    <x v="3"/>
    <n v="12750"/>
    <n v="10400"/>
    <n v="2350"/>
  </r>
  <r>
    <s v="ORD10853"/>
    <x v="2790"/>
    <s v="CUST1482"/>
    <s v="Customer 482"/>
    <x v="3"/>
    <s v="Punjab"/>
    <x v="2"/>
    <s v="Accessories"/>
    <x v="8"/>
    <n v="5"/>
    <n v="1800"/>
    <x v="3"/>
    <n v="7650"/>
    <n v="5500"/>
    <n v="2150"/>
  </r>
  <r>
    <s v="ORD10963"/>
    <x v="2791"/>
    <s v="CUST1421"/>
    <s v="Customer 421"/>
    <x v="1"/>
    <s v="Tamil Nadu"/>
    <x v="0"/>
    <s v="Stationery"/>
    <x v="18"/>
    <n v="1"/>
    <n v="300"/>
    <x v="3"/>
    <n v="255"/>
    <n v="170"/>
    <n v="85"/>
  </r>
  <r>
    <s v="ORD12065"/>
    <x v="2792"/>
    <s v="CUST1295"/>
    <s v="Customer 295"/>
    <x v="1"/>
    <s v="Karnataka"/>
    <x v="0"/>
    <s v="Accessories"/>
    <x v="0"/>
    <n v="5"/>
    <n v="650"/>
    <x v="0"/>
    <n v="2925"/>
    <n v="1950"/>
    <n v="975"/>
  </r>
  <r>
    <s v="ORD13431"/>
    <x v="2793"/>
    <s v="CUST1125"/>
    <s v="Customer 125"/>
    <x v="1"/>
    <s v="Telangana"/>
    <x v="2"/>
    <s v="Accessories"/>
    <x v="13"/>
    <n v="2"/>
    <n v="1400"/>
    <x v="3"/>
    <n v="2380"/>
    <n v="1800"/>
    <n v="580"/>
  </r>
  <r>
    <s v="ORD12194"/>
    <x v="2794"/>
    <s v="CUST1110"/>
    <s v="Customer 110"/>
    <x v="3"/>
    <s v="Punjab"/>
    <x v="3"/>
    <s v="Chairs"/>
    <x v="12"/>
    <n v="2"/>
    <n v="7500"/>
    <x v="0"/>
    <n v="13500"/>
    <n v="10400"/>
    <n v="3100"/>
  </r>
  <r>
    <s v="ORD11087"/>
    <x v="2795"/>
    <s v="CUST1401"/>
    <s v="Customer 401"/>
    <x v="1"/>
    <s v="Telangana"/>
    <x v="2"/>
    <s v="Audio"/>
    <x v="17"/>
    <n v="3"/>
    <n v="2800"/>
    <x v="0"/>
    <n v="7560"/>
    <n v="5400"/>
    <n v="2160"/>
  </r>
  <r>
    <s v="ORD10004"/>
    <x v="2796"/>
    <s v="CUST1220"/>
    <s v="Customer 220"/>
    <x v="2"/>
    <s v="Maharashtra"/>
    <x v="2"/>
    <s v="Audio"/>
    <x v="5"/>
    <n v="2"/>
    <n v="2200"/>
    <x v="0"/>
    <n v="3960"/>
    <n v="2900"/>
    <n v="1060"/>
  </r>
  <r>
    <s v="ORD10157"/>
    <x v="2797"/>
    <s v="CUST1064"/>
    <s v="Customer 064"/>
    <x v="1"/>
    <s v="Andhra Pradesh"/>
    <x v="1"/>
    <s v="Kitchen"/>
    <x v="1"/>
    <n v="2"/>
    <n v="1900"/>
    <x v="3"/>
    <n v="3230"/>
    <n v="2500"/>
    <n v="730"/>
  </r>
  <r>
    <s v="ORD11236"/>
    <x v="2798"/>
    <s v="CUST1174"/>
    <s v="Customer 174"/>
    <x v="1"/>
    <s v="Andhra Pradesh"/>
    <x v="2"/>
    <s v="Audio"/>
    <x v="5"/>
    <n v="5"/>
    <n v="2200"/>
    <x v="2"/>
    <n v="11000"/>
    <n v="7250"/>
    <n v="3750"/>
  </r>
  <r>
    <s v="ORD10046"/>
    <x v="2799"/>
    <s v="CUST1486"/>
    <s v="Customer 486"/>
    <x v="1"/>
    <s v="Tamil Nadu"/>
    <x v="2"/>
    <s v="Accessories"/>
    <x v="13"/>
    <n v="5"/>
    <n v="1400"/>
    <x v="2"/>
    <n v="7000"/>
    <n v="4500"/>
    <n v="2500"/>
  </r>
  <r>
    <s v="ORD11944"/>
    <x v="2800"/>
    <s v="CUST1016"/>
    <s v="Customer 016"/>
    <x v="2"/>
    <s v="Gujarat"/>
    <x v="0"/>
    <s v="Paper"/>
    <x v="3"/>
    <n v="5"/>
    <n v="520"/>
    <x v="4"/>
    <n v="2470"/>
    <n v="1650"/>
    <n v="820"/>
  </r>
  <r>
    <s v="ORD12514"/>
    <x v="2801"/>
    <s v="CUST1378"/>
    <s v="Customer 378"/>
    <x v="1"/>
    <s v="Kerala"/>
    <x v="3"/>
    <s v="Tables"/>
    <x v="16"/>
    <n v="3"/>
    <n v="6200"/>
    <x v="4"/>
    <n v="17670"/>
    <n v="12900"/>
    <n v="4770"/>
  </r>
  <r>
    <s v="ORD13428"/>
    <x v="2802"/>
    <s v="CUST1442"/>
    <s v="Customer 442"/>
    <x v="3"/>
    <s v="Delhi"/>
    <x v="2"/>
    <s v="Audio"/>
    <x v="5"/>
    <n v="3"/>
    <n v="2200"/>
    <x v="3"/>
    <n v="5610"/>
    <n v="4350"/>
    <n v="1260"/>
  </r>
  <r>
    <s v="ORD11258"/>
    <x v="2803"/>
    <s v="CUST1278"/>
    <s v="Customer 278"/>
    <x v="1"/>
    <s v="Karnataka"/>
    <x v="1"/>
    <s v="Kitchen"/>
    <x v="2"/>
    <n v="1"/>
    <n v="4200"/>
    <x v="0"/>
    <n v="3780"/>
    <n v="2900"/>
    <n v="880"/>
  </r>
  <r>
    <s v="ORD11973"/>
    <x v="2804"/>
    <s v="CUST1341"/>
    <s v="Customer 341"/>
    <x v="2"/>
    <s v="Maharashtra"/>
    <x v="1"/>
    <s v="Kitchen"/>
    <x v="1"/>
    <n v="2"/>
    <n v="1900"/>
    <x v="5"/>
    <n v="3040"/>
    <n v="2500"/>
    <n v="540"/>
  </r>
  <r>
    <s v="ORD13582"/>
    <x v="2805"/>
    <s v="CUST1383"/>
    <s v="Customer 383"/>
    <x v="1"/>
    <s v="Telangana"/>
    <x v="0"/>
    <s v="Stationery"/>
    <x v="10"/>
    <n v="5"/>
    <n v="280"/>
    <x v="3"/>
    <n v="1190"/>
    <n v="800"/>
    <n v="390"/>
  </r>
  <r>
    <s v="ORD11813"/>
    <x v="2806"/>
    <s v="CUST1337"/>
    <s v="Customer 337"/>
    <x v="2"/>
    <s v="Gujarat"/>
    <x v="0"/>
    <s v="Paper"/>
    <x v="3"/>
    <n v="2"/>
    <n v="520"/>
    <x v="3"/>
    <n v="884"/>
    <n v="660"/>
    <n v="224"/>
  </r>
  <r>
    <s v="ORD12815"/>
    <x v="2807"/>
    <s v="CUST1100"/>
    <s v="Customer 100"/>
    <x v="2"/>
    <s v="Goa"/>
    <x v="2"/>
    <s v="Accessories"/>
    <x v="13"/>
    <n v="3"/>
    <n v="1400"/>
    <x v="0"/>
    <n v="3780"/>
    <n v="2700"/>
    <n v="1080"/>
  </r>
  <r>
    <s v="ORD10800"/>
    <x v="2808"/>
    <s v="CUST1222"/>
    <s v="Customer 222"/>
    <x v="3"/>
    <s v="Uttar Pradesh"/>
    <x v="3"/>
    <s v="Storage"/>
    <x v="14"/>
    <n v="3"/>
    <n v="4800"/>
    <x v="0"/>
    <n v="12960"/>
    <n v="9900"/>
    <n v="3060"/>
  </r>
  <r>
    <s v="ORD10029"/>
    <x v="2809"/>
    <s v="CUST1273"/>
    <s v="Customer 273"/>
    <x v="2"/>
    <s v="Goa"/>
    <x v="1"/>
    <s v="Kitchen"/>
    <x v="4"/>
    <n v="1"/>
    <n v="6800"/>
    <x v="0"/>
    <n v="6120"/>
    <n v="4700"/>
    <n v="1420"/>
  </r>
  <r>
    <s v="ORD12703"/>
    <x v="2810"/>
    <s v="CUST1111"/>
    <s v="Customer 111"/>
    <x v="1"/>
    <s v="Telangana"/>
    <x v="2"/>
    <s v="Accessories"/>
    <x v="8"/>
    <n v="4"/>
    <n v="1800"/>
    <x v="0"/>
    <n v="6480"/>
    <n v="4400"/>
    <n v="2080"/>
  </r>
  <r>
    <s v="ORD13137"/>
    <x v="2811"/>
    <s v="CUST1291"/>
    <s v="Customer 291"/>
    <x v="1"/>
    <s v="Tamil Nadu"/>
    <x v="1"/>
    <s v="Kitchen"/>
    <x v="2"/>
    <n v="4"/>
    <n v="4200"/>
    <x v="2"/>
    <n v="16800"/>
    <n v="11600"/>
    <n v="5200"/>
  </r>
  <r>
    <s v="ORD12156"/>
    <x v="2812"/>
    <s v="CUST1245"/>
    <s v="Customer 245"/>
    <x v="1"/>
    <s v="Andhra Pradesh"/>
    <x v="3"/>
    <s v="Storage"/>
    <x v="6"/>
    <n v="4"/>
    <n v="5600"/>
    <x v="5"/>
    <n v="17920"/>
    <n v="15600"/>
    <n v="2320"/>
  </r>
  <r>
    <s v="ORD13596"/>
    <x v="2813"/>
    <s v="CUST1145"/>
    <s v="Customer 145"/>
    <x v="2"/>
    <s v="Rajasthan"/>
    <x v="2"/>
    <s v="Audio"/>
    <x v="5"/>
    <n v="2"/>
    <n v="2200"/>
    <x v="4"/>
    <n v="4180"/>
    <n v="2900"/>
    <n v="1280"/>
  </r>
  <r>
    <s v="ORD10863"/>
    <x v="2814"/>
    <s v="CUST1061"/>
    <s v="Customer 061"/>
    <x v="1"/>
    <s v="Kerala"/>
    <x v="1"/>
    <s v="Kitchen"/>
    <x v="1"/>
    <n v="5"/>
    <n v="1900"/>
    <x v="5"/>
    <n v="7600"/>
    <n v="6250"/>
    <n v="1350"/>
  </r>
  <r>
    <s v="ORD13881"/>
    <x v="2815"/>
    <s v="CUST1433"/>
    <s v="Customer 433"/>
    <x v="1"/>
    <s v="Andhra Pradesh"/>
    <x v="0"/>
    <s v="Accessories"/>
    <x v="0"/>
    <n v="5"/>
    <n v="650"/>
    <x v="3"/>
    <n v="2762.5"/>
    <n v="1950"/>
    <n v="812.5"/>
  </r>
  <r>
    <s v="ORD12039"/>
    <x v="2816"/>
    <s v="CUST1494"/>
    <s v="Customer 494"/>
    <x v="1"/>
    <s v="Tamil Nadu"/>
    <x v="3"/>
    <s v="Tables"/>
    <x v="16"/>
    <n v="3"/>
    <n v="6200"/>
    <x v="2"/>
    <n v="18600"/>
    <n v="12900"/>
    <n v="5700"/>
  </r>
  <r>
    <s v="ORD10552"/>
    <x v="2817"/>
    <s v="CUST1197"/>
    <s v="Customer 197"/>
    <x v="2"/>
    <s v="Goa"/>
    <x v="0"/>
    <s v="Stationery"/>
    <x v="10"/>
    <n v="1"/>
    <n v="280"/>
    <x v="4"/>
    <n v="266"/>
    <n v="160"/>
    <n v="106"/>
  </r>
  <r>
    <s v="ORD12075"/>
    <x v="2818"/>
    <s v="CUST1349"/>
    <s v="Customer 349"/>
    <x v="1"/>
    <s v="Andhra Pradesh"/>
    <x v="2"/>
    <s v="Accessories"/>
    <x v="8"/>
    <n v="1"/>
    <n v="1800"/>
    <x v="4"/>
    <n v="1710"/>
    <n v="1100"/>
    <n v="610"/>
  </r>
  <r>
    <s v="ORD12824"/>
    <x v="2819"/>
    <s v="CUST1488"/>
    <s v="Customer 488"/>
    <x v="3"/>
    <s v="Haryana"/>
    <x v="3"/>
    <s v="Chairs"/>
    <x v="12"/>
    <n v="5"/>
    <n v="7500"/>
    <x v="3"/>
    <n v="31875"/>
    <n v="26000"/>
    <n v="5875"/>
  </r>
  <r>
    <s v="ORD13269"/>
    <x v="2820"/>
    <s v="CUST1068"/>
    <s v="Customer 068"/>
    <x v="0"/>
    <s v="Odisha"/>
    <x v="2"/>
    <s v="Audio"/>
    <x v="5"/>
    <n v="2"/>
    <n v="2200"/>
    <x v="1"/>
    <n v="3300"/>
    <n v="2900"/>
    <n v="400"/>
  </r>
  <r>
    <s v="ORD13602"/>
    <x v="2821"/>
    <s v="CUST1306"/>
    <s v="Customer 306"/>
    <x v="1"/>
    <s v="Tamil Nadu"/>
    <x v="2"/>
    <s v="Accessories"/>
    <x v="13"/>
    <n v="3"/>
    <n v="1400"/>
    <x v="0"/>
    <n v="3780"/>
    <n v="2700"/>
    <n v="1080"/>
  </r>
  <r>
    <s v="ORD13983"/>
    <x v="2822"/>
    <s v="CUST1336"/>
    <s v="Customer 336"/>
    <x v="3"/>
    <s v="Uttar Pradesh"/>
    <x v="3"/>
    <s v="Tables"/>
    <x v="16"/>
    <n v="5"/>
    <n v="6200"/>
    <x v="1"/>
    <n v="23250"/>
    <n v="21500"/>
    <n v="1750"/>
  </r>
  <r>
    <s v="ORD13658"/>
    <x v="2823"/>
    <s v="CUST1461"/>
    <s v="Customer 461"/>
    <x v="3"/>
    <s v="Uttar Pradesh"/>
    <x v="0"/>
    <s v="Stationery"/>
    <x v="10"/>
    <n v="3"/>
    <n v="280"/>
    <x v="0"/>
    <n v="756"/>
    <n v="480"/>
    <n v="276"/>
  </r>
  <r>
    <s v="ORD10142"/>
    <x v="2824"/>
    <s v="CUST1108"/>
    <s v="Customer 108"/>
    <x v="2"/>
    <s v="Rajasthan"/>
    <x v="2"/>
    <s v="Monitors"/>
    <x v="11"/>
    <n v="1"/>
    <n v="10500"/>
    <x v="0"/>
    <n v="9450"/>
    <n v="7600"/>
    <n v="1850"/>
  </r>
  <r>
    <s v="ORD13571"/>
    <x v="2825"/>
    <s v="CUST1400"/>
    <s v="Customer 400"/>
    <x v="1"/>
    <s v="Andhra Pradesh"/>
    <x v="1"/>
    <s v="Kitchen"/>
    <x v="4"/>
    <n v="4"/>
    <n v="6800"/>
    <x v="0"/>
    <n v="24480"/>
    <n v="18800"/>
    <n v="5680"/>
  </r>
  <r>
    <s v="ORD12994"/>
    <x v="2826"/>
    <s v="CUST1429"/>
    <s v="Customer 429"/>
    <x v="1"/>
    <s v="Karnataka"/>
    <x v="2"/>
    <s v="Accessories"/>
    <x v="13"/>
    <n v="5"/>
    <n v="1400"/>
    <x v="3"/>
    <n v="5950"/>
    <n v="4500"/>
    <n v="1450"/>
  </r>
  <r>
    <s v="ORD13914"/>
    <x v="2827"/>
    <s v="CUST1276"/>
    <s v="Customer 276"/>
    <x v="1"/>
    <s v="Karnataka"/>
    <x v="2"/>
    <s v="Accessories"/>
    <x v="13"/>
    <n v="4"/>
    <n v="1400"/>
    <x v="5"/>
    <n v="4480"/>
    <n v="3600"/>
    <n v="880"/>
  </r>
  <r>
    <s v="ORD11971"/>
    <x v="2828"/>
    <s v="CUST1415"/>
    <s v="Customer 415"/>
    <x v="0"/>
    <s v="Jharkhand"/>
    <x v="0"/>
    <s v="Paper"/>
    <x v="3"/>
    <n v="3"/>
    <n v="520"/>
    <x v="5"/>
    <n v="1248"/>
    <n v="990"/>
    <n v="258"/>
  </r>
  <r>
    <s v="ORD11202"/>
    <x v="2829"/>
    <s v="CUST1239"/>
    <s v="Customer 239"/>
    <x v="0"/>
    <s v="West Bengal"/>
    <x v="1"/>
    <s v="Kitchen"/>
    <x v="4"/>
    <n v="2"/>
    <n v="6800"/>
    <x v="0"/>
    <n v="12240"/>
    <n v="9400"/>
    <n v="2840"/>
  </r>
  <r>
    <s v="ORD13274"/>
    <x v="2830"/>
    <s v="CUST1202"/>
    <s v="Customer 202"/>
    <x v="3"/>
    <s v="Punjab"/>
    <x v="2"/>
    <s v="Accessories"/>
    <x v="9"/>
    <n v="1"/>
    <n v="850"/>
    <x v="4"/>
    <n v="807.5"/>
    <n v="560"/>
    <n v="247.5"/>
  </r>
  <r>
    <s v="ORD11284"/>
    <x v="2831"/>
    <s v="CUST1401"/>
    <s v="Customer 401"/>
    <x v="1"/>
    <s v="Andhra Pradesh"/>
    <x v="2"/>
    <s v="Audio"/>
    <x v="17"/>
    <n v="2"/>
    <n v="2800"/>
    <x v="4"/>
    <n v="5320"/>
    <n v="3600"/>
    <n v="1720"/>
  </r>
  <r>
    <s v="ORD10519"/>
    <x v="2832"/>
    <s v="CUST1238"/>
    <s v="Customer 238"/>
    <x v="2"/>
    <s v="Goa"/>
    <x v="3"/>
    <s v="Storage"/>
    <x v="14"/>
    <n v="2"/>
    <n v="4800"/>
    <x v="3"/>
    <n v="8160"/>
    <n v="6600"/>
    <n v="1560"/>
  </r>
  <r>
    <s v="ORD11368"/>
    <x v="2833"/>
    <s v="CUST1227"/>
    <s v="Customer 227"/>
    <x v="2"/>
    <s v="Rajasthan"/>
    <x v="0"/>
    <s v="Stationery"/>
    <x v="15"/>
    <n v="4"/>
    <n v="450"/>
    <x v="5"/>
    <n v="1440"/>
    <n v="1040"/>
    <n v="400"/>
  </r>
  <r>
    <s v="ORD13540"/>
    <x v="2834"/>
    <s v="CUST1414"/>
    <s v="Customer 414"/>
    <x v="1"/>
    <s v="Telangana"/>
    <x v="0"/>
    <s v="Paper"/>
    <x v="3"/>
    <n v="3"/>
    <n v="520"/>
    <x v="2"/>
    <n v="1560"/>
    <n v="990"/>
    <n v="570"/>
  </r>
  <r>
    <s v="ORD10386"/>
    <x v="2835"/>
    <s v="CUST1062"/>
    <s v="Customer 062"/>
    <x v="3"/>
    <s v="Delhi"/>
    <x v="3"/>
    <s v="Chairs"/>
    <x v="12"/>
    <n v="5"/>
    <n v="7500"/>
    <x v="4"/>
    <n v="35625"/>
    <n v="26000"/>
    <n v="9625"/>
  </r>
  <r>
    <s v="ORD11356"/>
    <x v="2836"/>
    <s v="CUST1249"/>
    <s v="Customer 249"/>
    <x v="1"/>
    <s v="Andhra Pradesh"/>
    <x v="2"/>
    <s v="Audio"/>
    <x v="17"/>
    <n v="2"/>
    <n v="2800"/>
    <x v="2"/>
    <n v="5600"/>
    <n v="3600"/>
    <n v="2000"/>
  </r>
  <r>
    <s v="ORD11288"/>
    <x v="2837"/>
    <s v="CUST1118"/>
    <s v="Customer 118"/>
    <x v="2"/>
    <s v="Gujarat"/>
    <x v="0"/>
    <s v="Paper"/>
    <x v="3"/>
    <n v="4"/>
    <n v="520"/>
    <x v="0"/>
    <n v="1872"/>
    <n v="1320"/>
    <n v="552"/>
  </r>
  <r>
    <s v="ORD13134"/>
    <x v="2838"/>
    <s v="CUST1041"/>
    <s v="Customer 041"/>
    <x v="2"/>
    <s v="Maharashtra"/>
    <x v="1"/>
    <s v="Kitchen"/>
    <x v="2"/>
    <n v="2"/>
    <n v="4200"/>
    <x v="3"/>
    <n v="7140"/>
    <n v="5800"/>
    <n v="1340"/>
  </r>
  <r>
    <s v="ORD10636"/>
    <x v="2839"/>
    <s v="CUST1343"/>
    <s v="Customer 343"/>
    <x v="2"/>
    <s v="Goa"/>
    <x v="3"/>
    <s v="Storage"/>
    <x v="14"/>
    <n v="3"/>
    <n v="4800"/>
    <x v="3"/>
    <n v="12240"/>
    <n v="9900"/>
    <n v="2340"/>
  </r>
  <r>
    <s v="ORD11964"/>
    <x v="2840"/>
    <s v="CUST1410"/>
    <s v="Customer 410"/>
    <x v="1"/>
    <s v="Andhra Pradesh"/>
    <x v="1"/>
    <s v="Kitchen"/>
    <x v="1"/>
    <n v="2"/>
    <n v="1900"/>
    <x v="1"/>
    <n v="2850"/>
    <n v="2500"/>
    <n v="350"/>
  </r>
  <r>
    <s v="ORD12856"/>
    <x v="2841"/>
    <s v="CUST1039"/>
    <s v="Customer 039"/>
    <x v="0"/>
    <s v="West Bengal"/>
    <x v="2"/>
    <s v="Audio"/>
    <x v="5"/>
    <n v="1"/>
    <n v="2200"/>
    <x v="0"/>
    <n v="1980"/>
    <n v="1450"/>
    <n v="530"/>
  </r>
  <r>
    <s v="ORD13131"/>
    <x v="2842"/>
    <s v="CUST1180"/>
    <s v="Customer 180"/>
    <x v="1"/>
    <s v="Andhra Pradesh"/>
    <x v="2"/>
    <s v="Accessories"/>
    <x v="8"/>
    <n v="3"/>
    <n v="1800"/>
    <x v="5"/>
    <n v="4320"/>
    <n v="3300"/>
    <n v="1020"/>
  </r>
  <r>
    <s v="ORD11446"/>
    <x v="2843"/>
    <s v="CUST1018"/>
    <s v="Customer 018"/>
    <x v="1"/>
    <s v="Kerala"/>
    <x v="2"/>
    <s v="Accessories"/>
    <x v="9"/>
    <n v="2"/>
    <n v="850"/>
    <x v="0"/>
    <n v="1530"/>
    <n v="1120"/>
    <n v="410"/>
  </r>
  <r>
    <s v="ORD12499"/>
    <x v="2844"/>
    <s v="CUST1017"/>
    <s v="Customer 017"/>
    <x v="3"/>
    <s v="Uttar Pradesh"/>
    <x v="0"/>
    <s v="Stationery"/>
    <x v="10"/>
    <n v="1"/>
    <n v="280"/>
    <x v="4"/>
    <n v="266"/>
    <n v="160"/>
    <n v="106"/>
  </r>
  <r>
    <s v="ORD10683"/>
    <x v="2845"/>
    <s v="CUST1480"/>
    <s v="Customer 480"/>
    <x v="1"/>
    <s v="Andhra Pradesh"/>
    <x v="0"/>
    <s v="Stationery"/>
    <x v="18"/>
    <n v="4"/>
    <n v="300"/>
    <x v="2"/>
    <n v="1200"/>
    <n v="680"/>
    <n v="520"/>
  </r>
  <r>
    <s v="ORD12867"/>
    <x v="2846"/>
    <s v="CUST1158"/>
    <s v="Customer 158"/>
    <x v="1"/>
    <s v="Telangana"/>
    <x v="2"/>
    <s v="Audio"/>
    <x v="17"/>
    <n v="4"/>
    <n v="2800"/>
    <x v="4"/>
    <n v="10640"/>
    <n v="7200"/>
    <n v="3440"/>
  </r>
  <r>
    <s v="ORD11093"/>
    <x v="2847"/>
    <s v="CUST1422"/>
    <s v="Customer 422"/>
    <x v="3"/>
    <s v="Uttar Pradesh"/>
    <x v="2"/>
    <s v="Audio"/>
    <x v="5"/>
    <n v="3"/>
    <n v="2200"/>
    <x v="2"/>
    <n v="6600"/>
    <n v="4350"/>
    <n v="2250"/>
  </r>
  <r>
    <s v="ORD12235"/>
    <x v="2848"/>
    <s v="CUST1295"/>
    <s v="Customer 295"/>
    <x v="1"/>
    <s v="Kerala"/>
    <x v="0"/>
    <s v="Stationery"/>
    <x v="15"/>
    <n v="1"/>
    <n v="450"/>
    <x v="4"/>
    <n v="427.5"/>
    <n v="260"/>
    <n v="167.5"/>
  </r>
  <r>
    <s v="ORD10270"/>
    <x v="2849"/>
    <s v="CUST1296"/>
    <s v="Customer 296"/>
    <x v="3"/>
    <s v="Punjab"/>
    <x v="3"/>
    <s v="Storage"/>
    <x v="6"/>
    <n v="3"/>
    <n v="5600"/>
    <x v="3"/>
    <n v="14280"/>
    <n v="11700"/>
    <n v="2580"/>
  </r>
  <r>
    <s v="ORD10086"/>
    <x v="2850"/>
    <s v="CUST1351"/>
    <s v="Customer 351"/>
    <x v="1"/>
    <s v="Telangana"/>
    <x v="0"/>
    <s v="Stationery"/>
    <x v="18"/>
    <n v="1"/>
    <n v="300"/>
    <x v="4"/>
    <n v="285"/>
    <n v="170"/>
    <n v="115"/>
  </r>
  <r>
    <s v="ORD13974"/>
    <x v="2851"/>
    <s v="CUST1129"/>
    <s v="Customer 129"/>
    <x v="0"/>
    <s v="Jharkhand"/>
    <x v="2"/>
    <s v="Accessories"/>
    <x v="9"/>
    <n v="1"/>
    <n v="850"/>
    <x v="4"/>
    <n v="807.5"/>
    <n v="560"/>
    <n v="247.5"/>
  </r>
  <r>
    <s v="ORD13585"/>
    <x v="2852"/>
    <s v="CUST1377"/>
    <s v="Customer 377"/>
    <x v="3"/>
    <s v="Uttar Pradesh"/>
    <x v="1"/>
    <s v="Kitchen"/>
    <x v="4"/>
    <n v="3"/>
    <n v="6800"/>
    <x v="2"/>
    <n v="20400"/>
    <n v="14100"/>
    <n v="6300"/>
  </r>
  <r>
    <s v="ORD11937"/>
    <x v="2853"/>
    <s v="CUST1187"/>
    <s v="Customer 187"/>
    <x v="1"/>
    <s v="Kerala"/>
    <x v="2"/>
    <s v="Audio"/>
    <x v="5"/>
    <n v="3"/>
    <n v="2200"/>
    <x v="0"/>
    <n v="5940"/>
    <n v="4350"/>
    <n v="1590"/>
  </r>
  <r>
    <s v="ORD13185"/>
    <x v="2854"/>
    <s v="CUST1315"/>
    <s v="Customer 315"/>
    <x v="1"/>
    <s v="Andhra Pradesh"/>
    <x v="2"/>
    <s v="Audio"/>
    <x v="17"/>
    <n v="1"/>
    <n v="2800"/>
    <x v="0"/>
    <n v="2520"/>
    <n v="1800"/>
    <n v="720"/>
  </r>
  <r>
    <s v="ORD12586"/>
    <x v="2855"/>
    <s v="CUST1278"/>
    <s v="Customer 278"/>
    <x v="3"/>
    <s v="Uttar Pradesh"/>
    <x v="0"/>
    <s v="Accessories"/>
    <x v="0"/>
    <n v="5"/>
    <n v="650"/>
    <x v="4"/>
    <n v="3087.5"/>
    <n v="1950"/>
    <n v="1137.5"/>
  </r>
  <r>
    <s v="ORD12582"/>
    <x v="2856"/>
    <s v="CUST1231"/>
    <s v="Customer 231"/>
    <x v="3"/>
    <s v="Punjab"/>
    <x v="3"/>
    <s v="Storage"/>
    <x v="6"/>
    <n v="4"/>
    <n v="5600"/>
    <x v="0"/>
    <n v="20160"/>
    <n v="15600"/>
    <n v="4560"/>
  </r>
  <r>
    <s v="ORD12642"/>
    <x v="2857"/>
    <s v="CUST1249"/>
    <s v="Customer 249"/>
    <x v="1"/>
    <s v="Tamil Nadu"/>
    <x v="1"/>
    <s v="Kitchen"/>
    <x v="1"/>
    <n v="1"/>
    <n v="1900"/>
    <x v="1"/>
    <n v="1425"/>
    <n v="1250"/>
    <n v="175"/>
  </r>
  <r>
    <s v="ORD10527"/>
    <x v="2858"/>
    <s v="CUST1462"/>
    <s v="Customer 462"/>
    <x v="0"/>
    <s v="Odisha"/>
    <x v="1"/>
    <s v="Kitchen"/>
    <x v="2"/>
    <n v="1"/>
    <n v="4200"/>
    <x v="2"/>
    <n v="4200"/>
    <n v="2900"/>
    <n v="1300"/>
  </r>
  <r>
    <s v="ORD11910"/>
    <x v="2859"/>
    <s v="CUST1471"/>
    <s v="Customer 471"/>
    <x v="3"/>
    <s v="Haryana"/>
    <x v="1"/>
    <s v="Appliances"/>
    <x v="7"/>
    <n v="4"/>
    <n v="2400"/>
    <x v="4"/>
    <n v="9120"/>
    <n v="6600"/>
    <n v="2520"/>
  </r>
  <r>
    <s v="ORD11386"/>
    <x v="2860"/>
    <s v="CUST1118"/>
    <s v="Customer 118"/>
    <x v="3"/>
    <s v="Uttar Pradesh"/>
    <x v="3"/>
    <s v="Storage"/>
    <x v="6"/>
    <n v="3"/>
    <n v="5600"/>
    <x v="5"/>
    <n v="13440"/>
    <n v="11700"/>
    <n v="1740"/>
  </r>
  <r>
    <s v="ORD10355"/>
    <x v="2861"/>
    <s v="CUST1485"/>
    <s v="Customer 485"/>
    <x v="2"/>
    <s v="Goa"/>
    <x v="3"/>
    <s v="Chairs"/>
    <x v="12"/>
    <n v="1"/>
    <n v="7500"/>
    <x v="4"/>
    <n v="7125"/>
    <n v="5200"/>
    <n v="1925"/>
  </r>
  <r>
    <s v="ORD13640"/>
    <x v="2862"/>
    <s v="CUST1310"/>
    <s v="Customer 310"/>
    <x v="2"/>
    <s v="Gujarat"/>
    <x v="1"/>
    <s v="Appliances"/>
    <x v="7"/>
    <n v="2"/>
    <n v="2400"/>
    <x v="0"/>
    <n v="4320"/>
    <n v="3300"/>
    <n v="1020"/>
  </r>
  <r>
    <s v="ORD10408"/>
    <x v="2863"/>
    <s v="CUST1072"/>
    <s v="Customer 072"/>
    <x v="1"/>
    <s v="Tamil Nadu"/>
    <x v="0"/>
    <s v="Stationery"/>
    <x v="18"/>
    <n v="4"/>
    <n v="300"/>
    <x v="0"/>
    <n v="1080"/>
    <n v="680"/>
    <n v="400"/>
  </r>
  <r>
    <s v="ORD11065"/>
    <x v="2864"/>
    <s v="CUST1377"/>
    <s v="Customer 377"/>
    <x v="1"/>
    <s v="Karnataka"/>
    <x v="2"/>
    <s v="Accessories"/>
    <x v="13"/>
    <n v="5"/>
    <n v="1400"/>
    <x v="0"/>
    <n v="6300"/>
    <n v="4500"/>
    <n v="1800"/>
  </r>
  <r>
    <s v="ORD12733"/>
    <x v="2865"/>
    <s v="CUST1466"/>
    <s v="Customer 466"/>
    <x v="1"/>
    <s v="Andhra Pradesh"/>
    <x v="0"/>
    <s v="Stationery"/>
    <x v="18"/>
    <n v="3"/>
    <n v="300"/>
    <x v="5"/>
    <n v="720"/>
    <n v="510"/>
    <n v="210"/>
  </r>
  <r>
    <s v="ORD11431"/>
    <x v="2866"/>
    <s v="CUST1236"/>
    <s v="Customer 236"/>
    <x v="2"/>
    <s v="Gujarat"/>
    <x v="3"/>
    <s v="Storage"/>
    <x v="6"/>
    <n v="3"/>
    <n v="5600"/>
    <x v="4"/>
    <n v="15960"/>
    <n v="11700"/>
    <n v="4260"/>
  </r>
  <r>
    <s v="ORD12571"/>
    <x v="2867"/>
    <s v="CUST1402"/>
    <s v="Customer 402"/>
    <x v="1"/>
    <s v="Tamil Nadu"/>
    <x v="0"/>
    <s v="Accessories"/>
    <x v="0"/>
    <n v="3"/>
    <n v="650"/>
    <x v="0"/>
    <n v="1755"/>
    <n v="1170"/>
    <n v="585"/>
  </r>
  <r>
    <s v="ORD11130"/>
    <x v="2868"/>
    <s v="CUST1325"/>
    <s v="Customer 325"/>
    <x v="0"/>
    <s v="Odisha"/>
    <x v="0"/>
    <s v="Paper"/>
    <x v="3"/>
    <n v="5"/>
    <n v="520"/>
    <x v="3"/>
    <n v="2210"/>
    <n v="1650"/>
    <n v="560"/>
  </r>
  <r>
    <s v="ORD10900"/>
    <x v="2869"/>
    <s v="CUST1309"/>
    <s v="Customer 309"/>
    <x v="2"/>
    <s v="Rajasthan"/>
    <x v="2"/>
    <s v="Audio"/>
    <x v="5"/>
    <n v="2"/>
    <n v="2200"/>
    <x v="0"/>
    <n v="3960"/>
    <n v="2900"/>
    <n v="1060"/>
  </r>
  <r>
    <s v="ORD10056"/>
    <x v="2870"/>
    <s v="CUST1022"/>
    <s v="Customer 022"/>
    <x v="2"/>
    <s v="Maharashtra"/>
    <x v="0"/>
    <s v="Stationery"/>
    <x v="10"/>
    <n v="5"/>
    <n v="280"/>
    <x v="4"/>
    <n v="1330"/>
    <n v="800"/>
    <n v="530"/>
  </r>
  <r>
    <s v="ORD11932"/>
    <x v="2871"/>
    <s v="CUST1242"/>
    <s v="Customer 242"/>
    <x v="2"/>
    <s v="Goa"/>
    <x v="0"/>
    <s v="Accessories"/>
    <x v="0"/>
    <n v="4"/>
    <n v="650"/>
    <x v="0"/>
    <n v="2340"/>
    <n v="1560"/>
    <n v="780"/>
  </r>
  <r>
    <s v="ORD12255"/>
    <x v="2872"/>
    <s v="CUST1148"/>
    <s v="Customer 148"/>
    <x v="3"/>
    <s v="Uttar Pradesh"/>
    <x v="0"/>
    <s v="Stationery"/>
    <x v="18"/>
    <n v="5"/>
    <n v="300"/>
    <x v="2"/>
    <n v="1500"/>
    <n v="850"/>
    <n v="650"/>
  </r>
  <r>
    <s v="ORD10027"/>
    <x v="2873"/>
    <s v="CUST1202"/>
    <s v="Customer 202"/>
    <x v="3"/>
    <s v="Delhi"/>
    <x v="3"/>
    <s v="Storage"/>
    <x v="14"/>
    <n v="1"/>
    <n v="4800"/>
    <x v="0"/>
    <n v="4320"/>
    <n v="3300"/>
    <n v="1020"/>
  </r>
  <r>
    <s v="ORD13625"/>
    <x v="2874"/>
    <s v="CUST1417"/>
    <s v="Customer 417"/>
    <x v="1"/>
    <s v="Telangana"/>
    <x v="1"/>
    <s v="Appliances"/>
    <x v="7"/>
    <n v="3"/>
    <n v="2400"/>
    <x v="5"/>
    <n v="5760"/>
    <n v="4950"/>
    <n v="810"/>
  </r>
  <r>
    <s v="ORD11174"/>
    <x v="2875"/>
    <s v="CUST1089"/>
    <s v="Customer 089"/>
    <x v="0"/>
    <s v="West Bengal"/>
    <x v="2"/>
    <s v="Accessories"/>
    <x v="9"/>
    <n v="4"/>
    <n v="850"/>
    <x v="4"/>
    <n v="3230"/>
    <n v="2240"/>
    <n v="990"/>
  </r>
  <r>
    <s v="ORD10058"/>
    <x v="2876"/>
    <s v="CUST1078"/>
    <s v="Customer 078"/>
    <x v="2"/>
    <s v="Rajasthan"/>
    <x v="2"/>
    <s v="Audio"/>
    <x v="5"/>
    <n v="4"/>
    <n v="2200"/>
    <x v="0"/>
    <n v="7920"/>
    <n v="5800"/>
    <n v="2120"/>
  </r>
  <r>
    <s v="ORD11612"/>
    <x v="2877"/>
    <s v="CUST1072"/>
    <s v="Customer 072"/>
    <x v="1"/>
    <s v="Telangana"/>
    <x v="0"/>
    <s v="Paper"/>
    <x v="3"/>
    <n v="5"/>
    <n v="520"/>
    <x v="3"/>
    <n v="2210"/>
    <n v="1650"/>
    <n v="560"/>
  </r>
  <r>
    <s v="ORD10843"/>
    <x v="2878"/>
    <s v="CUST1455"/>
    <s v="Customer 455"/>
    <x v="2"/>
    <s v="Goa"/>
    <x v="2"/>
    <s v="Audio"/>
    <x v="5"/>
    <n v="4"/>
    <n v="2200"/>
    <x v="0"/>
    <n v="7920"/>
    <n v="5800"/>
    <n v="2120"/>
  </r>
  <r>
    <s v="ORD13258"/>
    <x v="2879"/>
    <s v="CUST1098"/>
    <s v="Customer 098"/>
    <x v="2"/>
    <s v="Maharashtra"/>
    <x v="3"/>
    <s v="Storage"/>
    <x v="6"/>
    <n v="5"/>
    <n v="5600"/>
    <x v="1"/>
    <n v="21000"/>
    <n v="19500"/>
    <n v="1500"/>
  </r>
  <r>
    <s v="ORD12895"/>
    <x v="2880"/>
    <s v="CUST1131"/>
    <s v="Customer 131"/>
    <x v="3"/>
    <s v="Punjab"/>
    <x v="0"/>
    <s v="Stationery"/>
    <x v="18"/>
    <n v="2"/>
    <n v="300"/>
    <x v="0"/>
    <n v="540"/>
    <n v="340"/>
    <n v="200"/>
  </r>
  <r>
    <s v="ORD12267"/>
    <x v="2881"/>
    <s v="CUST1342"/>
    <s v="Customer 342"/>
    <x v="2"/>
    <s v="Rajasthan"/>
    <x v="3"/>
    <s v="Storage"/>
    <x v="6"/>
    <n v="5"/>
    <n v="5600"/>
    <x v="2"/>
    <n v="28000"/>
    <n v="19500"/>
    <n v="8500"/>
  </r>
  <r>
    <s v="ORD10095"/>
    <x v="2882"/>
    <s v="CUST1450"/>
    <s v="Customer 450"/>
    <x v="0"/>
    <s v="Bihar"/>
    <x v="2"/>
    <s v="Monitors"/>
    <x v="11"/>
    <n v="2"/>
    <n v="10500"/>
    <x v="0"/>
    <n v="18900"/>
    <n v="15200"/>
    <n v="3700"/>
  </r>
  <r>
    <s v="ORD13878"/>
    <x v="2883"/>
    <s v="CUST1123"/>
    <s v="Customer 123"/>
    <x v="1"/>
    <s v="Karnataka"/>
    <x v="2"/>
    <s v="Monitors"/>
    <x v="11"/>
    <n v="2"/>
    <n v="10500"/>
    <x v="4"/>
    <n v="19950"/>
    <n v="15200"/>
    <n v="4750"/>
  </r>
  <r>
    <s v="ORD11537"/>
    <x v="2884"/>
    <s v="CUST1077"/>
    <s v="Customer 077"/>
    <x v="1"/>
    <s v="Kerala"/>
    <x v="1"/>
    <s v="Kitchen"/>
    <x v="2"/>
    <n v="5"/>
    <n v="4200"/>
    <x v="3"/>
    <n v="17850"/>
    <n v="14500"/>
    <n v="3350"/>
  </r>
  <r>
    <s v="ORD13672"/>
    <x v="2885"/>
    <s v="CUST1048"/>
    <s v="Customer 048"/>
    <x v="3"/>
    <s v="Punjab"/>
    <x v="0"/>
    <s v="Accessories"/>
    <x v="0"/>
    <n v="5"/>
    <n v="650"/>
    <x v="0"/>
    <n v="2925"/>
    <n v="1950"/>
    <n v="975"/>
  </r>
  <r>
    <s v="ORD13360"/>
    <x v="2886"/>
    <s v="CUST1264"/>
    <s v="Customer 264"/>
    <x v="3"/>
    <s v="Uttar Pradesh"/>
    <x v="2"/>
    <s v="Accessories"/>
    <x v="9"/>
    <n v="3"/>
    <n v="850"/>
    <x v="2"/>
    <n v="2550"/>
    <n v="1680"/>
    <n v="870"/>
  </r>
  <r>
    <s v="ORD12478"/>
    <x v="2887"/>
    <s v="CUST1089"/>
    <s v="Customer 089"/>
    <x v="1"/>
    <s v="Kerala"/>
    <x v="3"/>
    <s v="Chairs"/>
    <x v="12"/>
    <n v="2"/>
    <n v="7500"/>
    <x v="3"/>
    <n v="12750"/>
    <n v="10400"/>
    <n v="2350"/>
  </r>
  <r>
    <s v="ORD12634"/>
    <x v="2888"/>
    <s v="CUST1282"/>
    <s v="Customer 282"/>
    <x v="1"/>
    <s v="Andhra Pradesh"/>
    <x v="0"/>
    <s v="Paper"/>
    <x v="3"/>
    <n v="4"/>
    <n v="520"/>
    <x v="5"/>
    <n v="1664"/>
    <n v="1320"/>
    <n v="344"/>
  </r>
  <r>
    <s v="ORD10651"/>
    <x v="2889"/>
    <s v="CUST1245"/>
    <s v="Customer 245"/>
    <x v="0"/>
    <s v="Odisha"/>
    <x v="2"/>
    <s v="Accessories"/>
    <x v="8"/>
    <n v="1"/>
    <n v="1800"/>
    <x v="3"/>
    <n v="1530"/>
    <n v="1100"/>
    <n v="430"/>
  </r>
  <r>
    <s v="ORD13075"/>
    <x v="2890"/>
    <s v="CUST1291"/>
    <s v="Customer 291"/>
    <x v="0"/>
    <s v="Odisha"/>
    <x v="1"/>
    <s v="Kitchen"/>
    <x v="1"/>
    <n v="4"/>
    <n v="1900"/>
    <x v="2"/>
    <n v="7600"/>
    <n v="5000"/>
    <n v="2600"/>
  </r>
  <r>
    <s v="ORD12463"/>
    <x v="2891"/>
    <s v="CUST1238"/>
    <s v="Customer 238"/>
    <x v="1"/>
    <s v="Tamil Nadu"/>
    <x v="2"/>
    <s v="Monitors"/>
    <x v="11"/>
    <n v="2"/>
    <n v="10500"/>
    <x v="3"/>
    <n v="17850"/>
    <n v="15200"/>
    <n v="2650"/>
  </r>
  <r>
    <s v="ORD12708"/>
    <x v="2892"/>
    <s v="CUST1152"/>
    <s v="Customer 152"/>
    <x v="2"/>
    <s v="Goa"/>
    <x v="3"/>
    <s v="Storage"/>
    <x v="14"/>
    <n v="1"/>
    <n v="4800"/>
    <x v="2"/>
    <n v="4800"/>
    <n v="3300"/>
    <n v="1500"/>
  </r>
  <r>
    <s v="ORD11218"/>
    <x v="2893"/>
    <s v="CUST1367"/>
    <s v="Customer 367"/>
    <x v="1"/>
    <s v="Tamil Nadu"/>
    <x v="1"/>
    <s v="Kitchen"/>
    <x v="2"/>
    <n v="1"/>
    <n v="4200"/>
    <x v="3"/>
    <n v="3570"/>
    <n v="2900"/>
    <n v="670"/>
  </r>
  <r>
    <s v="ORD11219"/>
    <x v="2894"/>
    <s v="CUST1405"/>
    <s v="Customer 405"/>
    <x v="1"/>
    <s v="Karnataka"/>
    <x v="0"/>
    <s v="Paper"/>
    <x v="3"/>
    <n v="2"/>
    <n v="520"/>
    <x v="1"/>
    <n v="780"/>
    <n v="660"/>
    <n v="120"/>
  </r>
  <r>
    <s v="ORD10438"/>
    <x v="2895"/>
    <s v="CUST1464"/>
    <s v="Customer 464"/>
    <x v="2"/>
    <s v="Maharashtra"/>
    <x v="0"/>
    <s v="Stationery"/>
    <x v="18"/>
    <n v="4"/>
    <n v="300"/>
    <x v="5"/>
    <n v="960"/>
    <n v="680"/>
    <n v="280"/>
  </r>
  <r>
    <s v="ORD11567"/>
    <x v="2896"/>
    <s v="CUST1485"/>
    <s v="Customer 485"/>
    <x v="3"/>
    <s v="Punjab"/>
    <x v="2"/>
    <s v="Audio"/>
    <x v="17"/>
    <n v="1"/>
    <n v="2800"/>
    <x v="1"/>
    <n v="2100"/>
    <n v="1800"/>
    <n v="300"/>
  </r>
  <r>
    <s v="ORD13271"/>
    <x v="2897"/>
    <s v="CUST1083"/>
    <s v="Customer 083"/>
    <x v="0"/>
    <s v="Bihar"/>
    <x v="2"/>
    <s v="Audio"/>
    <x v="5"/>
    <n v="1"/>
    <n v="2200"/>
    <x v="4"/>
    <n v="2090"/>
    <n v="1450"/>
    <n v="640"/>
  </r>
  <r>
    <s v="ORD10378"/>
    <x v="2898"/>
    <s v="CUST1374"/>
    <s v="Customer 374"/>
    <x v="2"/>
    <s v="Goa"/>
    <x v="1"/>
    <s v="Kitchen"/>
    <x v="1"/>
    <n v="5"/>
    <n v="1900"/>
    <x v="0"/>
    <n v="8550"/>
    <n v="6250"/>
    <n v="2300"/>
  </r>
  <r>
    <s v="ORD12111"/>
    <x v="2899"/>
    <s v="CUST1141"/>
    <s v="Customer 141"/>
    <x v="1"/>
    <s v="Tamil Nadu"/>
    <x v="3"/>
    <s v="Tables"/>
    <x v="16"/>
    <n v="2"/>
    <n v="6200"/>
    <x v="5"/>
    <n v="9920"/>
    <n v="8600"/>
    <n v="1320"/>
  </r>
  <r>
    <s v="ORD12073"/>
    <x v="2900"/>
    <s v="CUST1202"/>
    <s v="Customer 202"/>
    <x v="1"/>
    <s v="Tamil Nadu"/>
    <x v="2"/>
    <s v="Accessories"/>
    <x v="8"/>
    <n v="1"/>
    <n v="1800"/>
    <x v="4"/>
    <n v="1710"/>
    <n v="1100"/>
    <n v="610"/>
  </r>
  <r>
    <s v="ORD13577"/>
    <x v="2901"/>
    <s v="CUST1323"/>
    <s v="Customer 323"/>
    <x v="0"/>
    <s v="Bihar"/>
    <x v="2"/>
    <s v="Accessories"/>
    <x v="13"/>
    <n v="3"/>
    <n v="1400"/>
    <x v="0"/>
    <n v="3780"/>
    <n v="2700"/>
    <n v="1080"/>
  </r>
  <r>
    <s v="ORD13610"/>
    <x v="2902"/>
    <s v="CUST1338"/>
    <s v="Customer 338"/>
    <x v="3"/>
    <s v="Delhi"/>
    <x v="2"/>
    <s v="Audio"/>
    <x v="17"/>
    <n v="1"/>
    <n v="2800"/>
    <x v="0"/>
    <n v="2520"/>
    <n v="1800"/>
    <n v="720"/>
  </r>
  <r>
    <s v="ORD10790"/>
    <x v="2903"/>
    <s v="CUST1007"/>
    <s v="Customer 007"/>
    <x v="1"/>
    <s v="Telangana"/>
    <x v="0"/>
    <s v="Stationery"/>
    <x v="15"/>
    <n v="1"/>
    <n v="450"/>
    <x v="5"/>
    <n v="360"/>
    <n v="260"/>
    <n v="100"/>
  </r>
  <r>
    <s v="ORD11274"/>
    <x v="2904"/>
    <s v="CUST1338"/>
    <s v="Customer 338"/>
    <x v="3"/>
    <s v="Delhi"/>
    <x v="0"/>
    <s v="Stationery"/>
    <x v="15"/>
    <n v="5"/>
    <n v="450"/>
    <x v="4"/>
    <n v="2137.5"/>
    <n v="1300"/>
    <n v="837.5"/>
  </r>
  <r>
    <s v="ORD12628"/>
    <x v="2905"/>
    <s v="CUST1003"/>
    <s v="Customer 003"/>
    <x v="1"/>
    <s v="Telangana"/>
    <x v="2"/>
    <s v="Monitors"/>
    <x v="11"/>
    <n v="5"/>
    <n v="10500"/>
    <x v="1"/>
    <n v="39375"/>
    <n v="38000"/>
    <n v="1375"/>
  </r>
  <r>
    <s v="ORD13777"/>
    <x v="2906"/>
    <s v="CUST1267"/>
    <s v="Customer 267"/>
    <x v="3"/>
    <s v="Punjab"/>
    <x v="2"/>
    <s v="Audio"/>
    <x v="5"/>
    <n v="4"/>
    <n v="2200"/>
    <x v="2"/>
    <n v="8800"/>
    <n v="5800"/>
    <n v="3000"/>
  </r>
  <r>
    <s v="ORD10502"/>
    <x v="2907"/>
    <s v="CUST1326"/>
    <s v="Customer 326"/>
    <x v="3"/>
    <s v="Uttar Pradesh"/>
    <x v="0"/>
    <s v="Stationery"/>
    <x v="15"/>
    <n v="1"/>
    <n v="450"/>
    <x v="3"/>
    <n v="382.5"/>
    <n v="260"/>
    <n v="122.5"/>
  </r>
  <r>
    <s v="ORD10808"/>
    <x v="2908"/>
    <s v="CUST1056"/>
    <s v="Customer 056"/>
    <x v="3"/>
    <s v="Haryana"/>
    <x v="0"/>
    <s v="Paper"/>
    <x v="3"/>
    <n v="3"/>
    <n v="520"/>
    <x v="2"/>
    <n v="1560"/>
    <n v="990"/>
    <n v="570"/>
  </r>
  <r>
    <s v="ORD13051"/>
    <x v="2909"/>
    <s v="CUST1419"/>
    <s v="Customer 419"/>
    <x v="1"/>
    <s v="Tamil Nadu"/>
    <x v="2"/>
    <s v="Accessories"/>
    <x v="8"/>
    <n v="4"/>
    <n v="1800"/>
    <x v="0"/>
    <n v="6480"/>
    <n v="4400"/>
    <n v="2080"/>
  </r>
  <r>
    <s v="ORD12750"/>
    <x v="2910"/>
    <s v="CUST1488"/>
    <s v="Customer 488"/>
    <x v="1"/>
    <s v="Kerala"/>
    <x v="2"/>
    <s v="Accessories"/>
    <x v="8"/>
    <n v="3"/>
    <n v="1800"/>
    <x v="3"/>
    <n v="4590"/>
    <n v="3300"/>
    <n v="1290"/>
  </r>
  <r>
    <s v="ORD10318"/>
    <x v="2911"/>
    <s v="CUST1364"/>
    <s v="Customer 364"/>
    <x v="3"/>
    <s v="Delhi"/>
    <x v="1"/>
    <s v="Kitchen"/>
    <x v="1"/>
    <n v="5"/>
    <n v="1900"/>
    <x v="1"/>
    <n v="7125"/>
    <n v="6250"/>
    <n v="875"/>
  </r>
  <r>
    <s v="ORD11436"/>
    <x v="2912"/>
    <s v="CUST1051"/>
    <s v="Customer 051"/>
    <x v="2"/>
    <s v="Rajasthan"/>
    <x v="3"/>
    <s v="Storage"/>
    <x v="14"/>
    <n v="2"/>
    <n v="4800"/>
    <x v="3"/>
    <n v="8160"/>
    <n v="6600"/>
    <n v="1560"/>
  </r>
  <r>
    <s v="ORD13248"/>
    <x v="2913"/>
    <s v="CUST1045"/>
    <s v="Customer 045"/>
    <x v="1"/>
    <s v="Tamil Nadu"/>
    <x v="3"/>
    <s v="Storage"/>
    <x v="6"/>
    <n v="4"/>
    <n v="5600"/>
    <x v="0"/>
    <n v="20160"/>
    <n v="15600"/>
    <n v="4560"/>
  </r>
  <r>
    <s v="ORD11999"/>
    <x v="2914"/>
    <s v="CUST1141"/>
    <s v="Customer 141"/>
    <x v="1"/>
    <s v="Kerala"/>
    <x v="3"/>
    <s v="Storage"/>
    <x v="14"/>
    <n v="3"/>
    <n v="4800"/>
    <x v="3"/>
    <n v="12240"/>
    <n v="9900"/>
    <n v="2340"/>
  </r>
  <r>
    <s v="ORD11452"/>
    <x v="2915"/>
    <s v="CUST1021"/>
    <s v="Customer 021"/>
    <x v="2"/>
    <s v="Gujarat"/>
    <x v="2"/>
    <s v="Accessories"/>
    <x v="9"/>
    <n v="3"/>
    <n v="850"/>
    <x v="2"/>
    <n v="2550"/>
    <n v="1680"/>
    <n v="870"/>
  </r>
  <r>
    <s v="ORD11113"/>
    <x v="2916"/>
    <s v="CUST1097"/>
    <s v="Customer 097"/>
    <x v="3"/>
    <s v="Punjab"/>
    <x v="3"/>
    <s v="Storage"/>
    <x v="6"/>
    <n v="4"/>
    <n v="5600"/>
    <x v="3"/>
    <n v="19040"/>
    <n v="15600"/>
    <n v="3440"/>
  </r>
  <r>
    <s v="ORD10836"/>
    <x v="2917"/>
    <s v="CUST1389"/>
    <s v="Customer 389"/>
    <x v="2"/>
    <s v="Maharashtra"/>
    <x v="2"/>
    <s v="Accessories"/>
    <x v="9"/>
    <n v="4"/>
    <n v="850"/>
    <x v="3"/>
    <n v="2890"/>
    <n v="2240"/>
    <n v="650"/>
  </r>
  <r>
    <s v="ORD12326"/>
    <x v="2918"/>
    <s v="CUST1412"/>
    <s v="Customer 412"/>
    <x v="2"/>
    <s v="Goa"/>
    <x v="2"/>
    <s v="Monitors"/>
    <x v="11"/>
    <n v="3"/>
    <n v="10500"/>
    <x v="3"/>
    <n v="26775"/>
    <n v="22800"/>
    <n v="3975"/>
  </r>
  <r>
    <s v="ORD11955"/>
    <x v="2919"/>
    <s v="CUST1486"/>
    <s v="Customer 486"/>
    <x v="1"/>
    <s v="Andhra Pradesh"/>
    <x v="0"/>
    <s v="Stationery"/>
    <x v="18"/>
    <n v="2"/>
    <n v="300"/>
    <x v="3"/>
    <n v="510"/>
    <n v="340"/>
    <n v="170"/>
  </r>
  <r>
    <s v="ORD11103"/>
    <x v="2920"/>
    <s v="CUST1460"/>
    <s v="Customer 460"/>
    <x v="0"/>
    <s v="Odisha"/>
    <x v="3"/>
    <s v="Chairs"/>
    <x v="12"/>
    <n v="2"/>
    <n v="7500"/>
    <x v="3"/>
    <n v="12750"/>
    <n v="10400"/>
    <n v="2350"/>
  </r>
  <r>
    <s v="ORD11468"/>
    <x v="2921"/>
    <s v="CUST1193"/>
    <s v="Customer 193"/>
    <x v="1"/>
    <s v="Telangana"/>
    <x v="0"/>
    <s v="Stationery"/>
    <x v="18"/>
    <n v="3"/>
    <n v="300"/>
    <x v="1"/>
    <n v="675"/>
    <n v="510"/>
    <n v="165"/>
  </r>
  <r>
    <s v="ORD10069"/>
    <x v="2922"/>
    <s v="CUST1039"/>
    <s v="Customer 039"/>
    <x v="1"/>
    <s v="Andhra Pradesh"/>
    <x v="2"/>
    <s v="Audio"/>
    <x v="5"/>
    <n v="1"/>
    <n v="2200"/>
    <x v="5"/>
    <n v="1760"/>
    <n v="1450"/>
    <n v="310"/>
  </r>
  <r>
    <s v="ORD13844"/>
    <x v="2923"/>
    <s v="CUST1151"/>
    <s v="Customer 151"/>
    <x v="2"/>
    <s v="Gujarat"/>
    <x v="3"/>
    <s v="Storage"/>
    <x v="14"/>
    <n v="5"/>
    <n v="4800"/>
    <x v="3"/>
    <n v="20400"/>
    <n v="16500"/>
    <n v="3900"/>
  </r>
  <r>
    <s v="ORD11200"/>
    <x v="2924"/>
    <s v="CUST1311"/>
    <s v="Customer 311"/>
    <x v="0"/>
    <s v="Odisha"/>
    <x v="3"/>
    <s v="Tables"/>
    <x v="16"/>
    <n v="4"/>
    <n v="6200"/>
    <x v="0"/>
    <n v="22320"/>
    <n v="17200"/>
    <n v="5120"/>
  </r>
  <r>
    <s v="ORD11942"/>
    <x v="2925"/>
    <s v="CUST1127"/>
    <s v="Customer 127"/>
    <x v="1"/>
    <s v="Telangana"/>
    <x v="2"/>
    <s v="Accessories"/>
    <x v="9"/>
    <n v="4"/>
    <n v="850"/>
    <x v="3"/>
    <n v="2890"/>
    <n v="2240"/>
    <n v="650"/>
  </r>
  <r>
    <s v="ORD13889"/>
    <x v="2926"/>
    <s v="CUST1070"/>
    <s v="Customer 070"/>
    <x v="3"/>
    <s v="Haryana"/>
    <x v="0"/>
    <s v="Stationery"/>
    <x v="15"/>
    <n v="2"/>
    <n v="450"/>
    <x v="0"/>
    <n v="810"/>
    <n v="520"/>
    <n v="290"/>
  </r>
  <r>
    <s v="ORD12983"/>
    <x v="2927"/>
    <s v="CUST1401"/>
    <s v="Customer 401"/>
    <x v="1"/>
    <s v="Kerala"/>
    <x v="2"/>
    <s v="Accessories"/>
    <x v="13"/>
    <n v="5"/>
    <n v="1400"/>
    <x v="5"/>
    <n v="5600"/>
    <n v="4500"/>
    <n v="1100"/>
  </r>
  <r>
    <s v="ORD11211"/>
    <x v="2928"/>
    <s v="CUST1312"/>
    <s v="Customer 312"/>
    <x v="1"/>
    <s v="Tamil Nadu"/>
    <x v="1"/>
    <s v="Appliances"/>
    <x v="7"/>
    <n v="1"/>
    <n v="2400"/>
    <x v="3"/>
    <n v="2040"/>
    <n v="1650"/>
    <n v="390"/>
  </r>
  <r>
    <s v="ORD12343"/>
    <x v="2929"/>
    <s v="CUST1273"/>
    <s v="Customer 273"/>
    <x v="2"/>
    <s v="Gujarat"/>
    <x v="2"/>
    <s v="Accessories"/>
    <x v="9"/>
    <n v="3"/>
    <n v="850"/>
    <x v="5"/>
    <n v="2040"/>
    <n v="1680"/>
    <n v="360"/>
  </r>
  <r>
    <s v="ORD12565"/>
    <x v="2930"/>
    <s v="CUST1220"/>
    <s v="Customer 220"/>
    <x v="1"/>
    <s v="Telangana"/>
    <x v="0"/>
    <s v="Stationery"/>
    <x v="10"/>
    <n v="1"/>
    <n v="280"/>
    <x v="5"/>
    <n v="224"/>
    <n v="160"/>
    <n v="64"/>
  </r>
  <r>
    <s v="ORD13887"/>
    <x v="2931"/>
    <s v="CUST1042"/>
    <s v="Customer 042"/>
    <x v="1"/>
    <s v="Karnataka"/>
    <x v="1"/>
    <s v="Kitchen"/>
    <x v="4"/>
    <n v="3"/>
    <n v="6800"/>
    <x v="5"/>
    <n v="16320"/>
    <n v="14100"/>
    <n v="2220"/>
  </r>
  <r>
    <s v="ORD11462"/>
    <x v="2932"/>
    <s v="CUST1157"/>
    <s v="Customer 157"/>
    <x v="3"/>
    <s v="Uttar Pradesh"/>
    <x v="2"/>
    <s v="Accessories"/>
    <x v="8"/>
    <n v="1"/>
    <n v="1800"/>
    <x v="3"/>
    <n v="1530"/>
    <n v="1100"/>
    <n v="430"/>
  </r>
  <r>
    <s v="ORD11704"/>
    <x v="2933"/>
    <s v="CUST1100"/>
    <s v="Customer 100"/>
    <x v="3"/>
    <s v="Punjab"/>
    <x v="2"/>
    <s v="Accessories"/>
    <x v="8"/>
    <n v="3"/>
    <n v="1800"/>
    <x v="2"/>
    <n v="5400"/>
    <n v="3300"/>
    <n v="2100"/>
  </r>
  <r>
    <s v="ORD10314"/>
    <x v="2934"/>
    <s v="CUST1141"/>
    <s v="Customer 141"/>
    <x v="1"/>
    <s v="Kerala"/>
    <x v="2"/>
    <s v="Accessories"/>
    <x v="8"/>
    <n v="2"/>
    <n v="1800"/>
    <x v="4"/>
    <n v="3420"/>
    <n v="2200"/>
    <n v="1220"/>
  </r>
  <r>
    <s v="ORD10566"/>
    <x v="2935"/>
    <s v="CUST1119"/>
    <s v="Customer 119"/>
    <x v="1"/>
    <s v="Karnataka"/>
    <x v="3"/>
    <s v="Storage"/>
    <x v="6"/>
    <n v="2"/>
    <n v="5600"/>
    <x v="3"/>
    <n v="9520"/>
    <n v="7800"/>
    <n v="1720"/>
  </r>
  <r>
    <s v="ORD12206"/>
    <x v="2936"/>
    <s v="CUST1399"/>
    <s v="Customer 399"/>
    <x v="3"/>
    <s v="Haryana"/>
    <x v="0"/>
    <s v="Stationery"/>
    <x v="10"/>
    <n v="5"/>
    <n v="280"/>
    <x v="3"/>
    <n v="1190"/>
    <n v="800"/>
    <n v="390"/>
  </r>
  <r>
    <s v="ORD12456"/>
    <x v="2937"/>
    <s v="CUST1239"/>
    <s v="Customer 239"/>
    <x v="1"/>
    <s v="Karnataka"/>
    <x v="0"/>
    <s v="Stationery"/>
    <x v="10"/>
    <n v="3"/>
    <n v="280"/>
    <x v="3"/>
    <n v="714"/>
    <n v="480"/>
    <n v="234"/>
  </r>
  <r>
    <s v="ORD10140"/>
    <x v="2938"/>
    <s v="CUST1219"/>
    <s v="Customer 219"/>
    <x v="3"/>
    <s v="Delhi"/>
    <x v="2"/>
    <s v="Audio"/>
    <x v="17"/>
    <n v="1"/>
    <n v="2800"/>
    <x v="4"/>
    <n v="2660"/>
    <n v="1800"/>
    <n v="860"/>
  </r>
  <r>
    <s v="ORD11474"/>
    <x v="2939"/>
    <s v="CUST1104"/>
    <s v="Customer 104"/>
    <x v="1"/>
    <s v="Tamil Nadu"/>
    <x v="2"/>
    <s v="Accessories"/>
    <x v="13"/>
    <n v="4"/>
    <n v="1400"/>
    <x v="2"/>
    <n v="5600"/>
    <n v="3600"/>
    <n v="2000"/>
  </r>
  <r>
    <s v="ORD13751"/>
    <x v="2940"/>
    <s v="CUST1291"/>
    <s v="Customer 291"/>
    <x v="1"/>
    <s v="Andhra Pradesh"/>
    <x v="1"/>
    <s v="Kitchen"/>
    <x v="1"/>
    <n v="4"/>
    <n v="1900"/>
    <x v="1"/>
    <n v="5700"/>
    <n v="5000"/>
    <n v="700"/>
  </r>
  <r>
    <s v="ORD13358"/>
    <x v="2941"/>
    <s v="CUST1439"/>
    <s v="Customer 439"/>
    <x v="1"/>
    <s v="Andhra Pradesh"/>
    <x v="1"/>
    <s v="Kitchen"/>
    <x v="4"/>
    <n v="4"/>
    <n v="6800"/>
    <x v="3"/>
    <n v="23120"/>
    <n v="18800"/>
    <n v="4320"/>
  </r>
  <r>
    <s v="ORD12455"/>
    <x v="2942"/>
    <s v="CUST1416"/>
    <s v="Customer 416"/>
    <x v="2"/>
    <s v="Maharashtra"/>
    <x v="3"/>
    <s v="Storage"/>
    <x v="6"/>
    <n v="1"/>
    <n v="5600"/>
    <x v="4"/>
    <n v="5320"/>
    <n v="3900"/>
    <n v="1420"/>
  </r>
  <r>
    <s v="ORD11248"/>
    <x v="2943"/>
    <s v="CUST1233"/>
    <s v="Customer 233"/>
    <x v="3"/>
    <s v="Punjab"/>
    <x v="3"/>
    <s v="Storage"/>
    <x v="14"/>
    <n v="4"/>
    <n v="4800"/>
    <x v="0"/>
    <n v="17280"/>
    <n v="13200"/>
    <n v="4080"/>
  </r>
  <r>
    <s v="ORD10085"/>
    <x v="2944"/>
    <s v="CUST1315"/>
    <s v="Customer 315"/>
    <x v="3"/>
    <s v="Uttar Pradesh"/>
    <x v="2"/>
    <s v="Audio"/>
    <x v="17"/>
    <n v="4"/>
    <n v="2800"/>
    <x v="1"/>
    <n v="8400"/>
    <n v="7200"/>
    <n v="1200"/>
  </r>
  <r>
    <s v="ORD13098"/>
    <x v="2945"/>
    <s v="CUST1157"/>
    <s v="Customer 157"/>
    <x v="2"/>
    <s v="Maharashtra"/>
    <x v="0"/>
    <s v="Paper"/>
    <x v="3"/>
    <n v="3"/>
    <n v="520"/>
    <x v="0"/>
    <n v="1404"/>
    <n v="990"/>
    <n v="414"/>
  </r>
  <r>
    <s v="ORD10173"/>
    <x v="2946"/>
    <s v="CUST1386"/>
    <s v="Customer 386"/>
    <x v="2"/>
    <s v="Goa"/>
    <x v="0"/>
    <s v="Stationery"/>
    <x v="15"/>
    <n v="2"/>
    <n v="450"/>
    <x v="5"/>
    <n v="720"/>
    <n v="520"/>
    <n v="200"/>
  </r>
  <r>
    <s v="ORD13998"/>
    <x v="2947"/>
    <s v="CUST1423"/>
    <s v="Customer 423"/>
    <x v="3"/>
    <s v="Delhi"/>
    <x v="3"/>
    <s v="Chairs"/>
    <x v="12"/>
    <n v="5"/>
    <n v="7500"/>
    <x v="0"/>
    <n v="33750"/>
    <n v="26000"/>
    <n v="7750"/>
  </r>
  <r>
    <s v="ORD10910"/>
    <x v="2948"/>
    <s v="CUST1046"/>
    <s v="Customer 046"/>
    <x v="2"/>
    <s v="Goa"/>
    <x v="2"/>
    <s v="Audio"/>
    <x v="17"/>
    <n v="1"/>
    <n v="2800"/>
    <x v="0"/>
    <n v="2520"/>
    <n v="1800"/>
    <n v="720"/>
  </r>
  <r>
    <s v="ORD10455"/>
    <x v="2949"/>
    <s v="CUST1299"/>
    <s v="Customer 299"/>
    <x v="2"/>
    <s v="Maharashtra"/>
    <x v="2"/>
    <s v="Monitors"/>
    <x v="11"/>
    <n v="2"/>
    <n v="10500"/>
    <x v="5"/>
    <n v="16800"/>
    <n v="15200"/>
    <n v="1600"/>
  </r>
  <r>
    <s v="ORD12828"/>
    <x v="2950"/>
    <s v="CUST1472"/>
    <s v="Customer 472"/>
    <x v="1"/>
    <s v="Kerala"/>
    <x v="3"/>
    <s v="Tables"/>
    <x v="16"/>
    <n v="2"/>
    <n v="6200"/>
    <x v="5"/>
    <n v="9920"/>
    <n v="8600"/>
    <n v="1320"/>
  </r>
  <r>
    <s v="ORD13040"/>
    <x v="2951"/>
    <s v="CUST1099"/>
    <s v="Customer 099"/>
    <x v="3"/>
    <s v="Delhi"/>
    <x v="1"/>
    <s v="Kitchen"/>
    <x v="4"/>
    <n v="5"/>
    <n v="6800"/>
    <x v="0"/>
    <n v="30600"/>
    <n v="23500"/>
    <n v="7100"/>
  </r>
  <r>
    <s v="ORD10704"/>
    <x v="2952"/>
    <s v="CUST1086"/>
    <s v="Customer 086"/>
    <x v="3"/>
    <s v="Uttar Pradesh"/>
    <x v="3"/>
    <s v="Storage"/>
    <x v="14"/>
    <n v="3"/>
    <n v="4800"/>
    <x v="4"/>
    <n v="13680"/>
    <n v="9900"/>
    <n v="3780"/>
  </r>
  <r>
    <s v="ORD12544"/>
    <x v="2953"/>
    <s v="CUST1191"/>
    <s v="Customer 191"/>
    <x v="2"/>
    <s v="Rajasthan"/>
    <x v="0"/>
    <s v="Accessories"/>
    <x v="0"/>
    <n v="3"/>
    <n v="650"/>
    <x v="3"/>
    <n v="1657.5"/>
    <n v="1170"/>
    <n v="487.5"/>
  </r>
  <r>
    <s v="ORD11451"/>
    <x v="2954"/>
    <s v="CUST1147"/>
    <s v="Customer 147"/>
    <x v="3"/>
    <s v="Delhi"/>
    <x v="1"/>
    <s v="Appliances"/>
    <x v="7"/>
    <n v="3"/>
    <n v="2400"/>
    <x v="3"/>
    <n v="6120"/>
    <n v="4950"/>
    <n v="1170"/>
  </r>
  <r>
    <s v="ORD13232"/>
    <x v="2955"/>
    <s v="CUST1107"/>
    <s v="Customer 107"/>
    <x v="0"/>
    <s v="Jharkhand"/>
    <x v="1"/>
    <s v="Kitchen"/>
    <x v="1"/>
    <n v="4"/>
    <n v="1900"/>
    <x v="4"/>
    <n v="7220"/>
    <n v="5000"/>
    <n v="2220"/>
  </r>
  <r>
    <s v="ORD10363"/>
    <x v="2956"/>
    <s v="CUST1112"/>
    <s v="Customer 112"/>
    <x v="2"/>
    <s v="Rajasthan"/>
    <x v="3"/>
    <s v="Chairs"/>
    <x v="12"/>
    <n v="1"/>
    <n v="7500"/>
    <x v="2"/>
    <n v="7500"/>
    <n v="5200"/>
    <n v="2300"/>
  </r>
  <r>
    <s v="ORD10875"/>
    <x v="2957"/>
    <s v="CUST1349"/>
    <s v="Customer 349"/>
    <x v="1"/>
    <s v="Andhra Pradesh"/>
    <x v="2"/>
    <s v="Monitors"/>
    <x v="11"/>
    <n v="2"/>
    <n v="10500"/>
    <x v="2"/>
    <n v="21000"/>
    <n v="15200"/>
    <n v="5800"/>
  </r>
  <r>
    <s v="ORD11967"/>
    <x v="2958"/>
    <s v="CUST1186"/>
    <s v="Customer 186"/>
    <x v="2"/>
    <s v="Gujarat"/>
    <x v="3"/>
    <s v="Storage"/>
    <x v="6"/>
    <n v="4"/>
    <n v="5600"/>
    <x v="3"/>
    <n v="19040"/>
    <n v="15600"/>
    <n v="3440"/>
  </r>
  <r>
    <s v="ORD12911"/>
    <x v="2959"/>
    <s v="CUST1057"/>
    <s v="Customer 057"/>
    <x v="1"/>
    <s v="Karnataka"/>
    <x v="0"/>
    <s v="Stationery"/>
    <x v="18"/>
    <n v="2"/>
    <n v="300"/>
    <x v="2"/>
    <n v="600"/>
    <n v="340"/>
    <n v="260"/>
  </r>
  <r>
    <s v="ORD12420"/>
    <x v="2960"/>
    <s v="CUST1210"/>
    <s v="Customer 210"/>
    <x v="2"/>
    <s v="Goa"/>
    <x v="0"/>
    <s v="Stationery"/>
    <x v="18"/>
    <n v="4"/>
    <n v="300"/>
    <x v="5"/>
    <n v="960"/>
    <n v="680"/>
    <n v="280"/>
  </r>
  <r>
    <s v="ORD11952"/>
    <x v="2961"/>
    <s v="CUST1305"/>
    <s v="Customer 305"/>
    <x v="0"/>
    <s v="West Bengal"/>
    <x v="1"/>
    <s v="Kitchen"/>
    <x v="1"/>
    <n v="1"/>
    <n v="1900"/>
    <x v="0"/>
    <n v="1710"/>
    <n v="1250"/>
    <n v="460"/>
  </r>
  <r>
    <s v="ORD12422"/>
    <x v="2962"/>
    <s v="CUST1379"/>
    <s v="Customer 379"/>
    <x v="1"/>
    <s v="Kerala"/>
    <x v="2"/>
    <s v="Monitors"/>
    <x v="11"/>
    <n v="4"/>
    <n v="10500"/>
    <x v="0"/>
    <n v="37800"/>
    <n v="30400"/>
    <n v="7400"/>
  </r>
  <r>
    <s v="ORD10603"/>
    <x v="2963"/>
    <s v="CUST1370"/>
    <s v="Customer 370"/>
    <x v="2"/>
    <s v="Rajasthan"/>
    <x v="2"/>
    <s v="Audio"/>
    <x v="17"/>
    <n v="3"/>
    <n v="2800"/>
    <x v="4"/>
    <n v="7980"/>
    <n v="5400"/>
    <n v="2580"/>
  </r>
  <r>
    <s v="ORD12392"/>
    <x v="2964"/>
    <s v="CUST1097"/>
    <s v="Customer 097"/>
    <x v="3"/>
    <s v="Uttar Pradesh"/>
    <x v="1"/>
    <s v="Kitchen"/>
    <x v="4"/>
    <n v="5"/>
    <n v="6800"/>
    <x v="5"/>
    <n v="27200"/>
    <n v="23500"/>
    <n v="3700"/>
  </r>
  <r>
    <s v="ORD10645"/>
    <x v="2965"/>
    <s v="CUST1386"/>
    <s v="Customer 386"/>
    <x v="1"/>
    <s v="Telangana"/>
    <x v="2"/>
    <s v="Accessories"/>
    <x v="9"/>
    <n v="2"/>
    <n v="850"/>
    <x v="3"/>
    <n v="1445"/>
    <n v="1120"/>
    <n v="325"/>
  </r>
  <r>
    <s v="ORD13148"/>
    <x v="2966"/>
    <s v="CUST1419"/>
    <s v="Customer 419"/>
    <x v="2"/>
    <s v="Gujarat"/>
    <x v="2"/>
    <s v="Monitors"/>
    <x v="11"/>
    <n v="4"/>
    <n v="10500"/>
    <x v="0"/>
    <n v="37800"/>
    <n v="30400"/>
    <n v="7400"/>
  </r>
  <r>
    <s v="ORD13448"/>
    <x v="2967"/>
    <s v="CUST1282"/>
    <s v="Customer 282"/>
    <x v="1"/>
    <s v="Karnataka"/>
    <x v="2"/>
    <s v="Monitors"/>
    <x v="11"/>
    <n v="2"/>
    <n v="10500"/>
    <x v="3"/>
    <n v="17850"/>
    <n v="15200"/>
    <n v="2650"/>
  </r>
  <r>
    <s v="ORD12502"/>
    <x v="2968"/>
    <s v="CUST1050"/>
    <s v="Customer 050"/>
    <x v="2"/>
    <s v="Goa"/>
    <x v="2"/>
    <s v="Monitors"/>
    <x v="11"/>
    <n v="4"/>
    <n v="10500"/>
    <x v="2"/>
    <n v="42000"/>
    <n v="30400"/>
    <n v="11600"/>
  </r>
  <r>
    <s v="ORD13091"/>
    <x v="2969"/>
    <s v="CUST1172"/>
    <s v="Customer 172"/>
    <x v="1"/>
    <s v="Andhra Pradesh"/>
    <x v="3"/>
    <s v="Storage"/>
    <x v="14"/>
    <n v="2"/>
    <n v="4800"/>
    <x v="5"/>
    <n v="7680"/>
    <n v="6600"/>
    <n v="1080"/>
  </r>
  <r>
    <s v="ORD12925"/>
    <x v="2970"/>
    <s v="CUST1212"/>
    <s v="Customer 212"/>
    <x v="2"/>
    <s v="Goa"/>
    <x v="2"/>
    <s v="Audio"/>
    <x v="5"/>
    <n v="5"/>
    <n v="2200"/>
    <x v="3"/>
    <n v="9350"/>
    <n v="7250"/>
    <n v="2100"/>
  </r>
  <r>
    <s v="ORD11493"/>
    <x v="2971"/>
    <s v="CUST1015"/>
    <s v="Customer 015"/>
    <x v="3"/>
    <s v="Punjab"/>
    <x v="1"/>
    <s v="Kitchen"/>
    <x v="4"/>
    <n v="5"/>
    <n v="6800"/>
    <x v="4"/>
    <n v="32300"/>
    <n v="23500"/>
    <n v="8800"/>
  </r>
  <r>
    <s v="ORD10126"/>
    <x v="2972"/>
    <s v="CUST1283"/>
    <s v="Customer 283"/>
    <x v="1"/>
    <s v="Tamil Nadu"/>
    <x v="3"/>
    <s v="Storage"/>
    <x v="14"/>
    <n v="3"/>
    <n v="4800"/>
    <x v="0"/>
    <n v="12960"/>
    <n v="9900"/>
    <n v="3060"/>
  </r>
  <r>
    <s v="ORD10145"/>
    <x v="2973"/>
    <s v="CUST1497"/>
    <s v="Customer 497"/>
    <x v="1"/>
    <s v="Kerala"/>
    <x v="0"/>
    <s v="Stationery"/>
    <x v="10"/>
    <n v="2"/>
    <n v="280"/>
    <x v="3"/>
    <n v="476"/>
    <n v="320"/>
    <n v="156"/>
  </r>
  <r>
    <s v="ORD13922"/>
    <x v="2974"/>
    <s v="CUST1308"/>
    <s v="Customer 308"/>
    <x v="1"/>
    <s v="Tamil Nadu"/>
    <x v="0"/>
    <s v="Stationery"/>
    <x v="18"/>
    <n v="3"/>
    <n v="300"/>
    <x v="4"/>
    <n v="855"/>
    <n v="510"/>
    <n v="345"/>
  </r>
  <r>
    <s v="ORD11877"/>
    <x v="2975"/>
    <s v="CUST1117"/>
    <s v="Customer 117"/>
    <x v="1"/>
    <s v="Telangana"/>
    <x v="1"/>
    <s v="Kitchen"/>
    <x v="2"/>
    <n v="5"/>
    <n v="4200"/>
    <x v="1"/>
    <n v="15750"/>
    <n v="14500"/>
    <n v="1250"/>
  </r>
  <r>
    <s v="ORD10060"/>
    <x v="2976"/>
    <s v="CUST1342"/>
    <s v="Customer 342"/>
    <x v="1"/>
    <s v="Tamil Nadu"/>
    <x v="1"/>
    <s v="Kitchen"/>
    <x v="4"/>
    <n v="3"/>
    <n v="6800"/>
    <x v="5"/>
    <n v="16320"/>
    <n v="14100"/>
    <n v="2220"/>
  </r>
  <r>
    <s v="ORD13392"/>
    <x v="2977"/>
    <s v="CUST1262"/>
    <s v="Customer 262"/>
    <x v="1"/>
    <s v="Kerala"/>
    <x v="3"/>
    <s v="Tables"/>
    <x v="16"/>
    <n v="5"/>
    <n v="6200"/>
    <x v="3"/>
    <n v="26350"/>
    <n v="21500"/>
    <n v="4850"/>
  </r>
  <r>
    <s v="ORD13301"/>
    <x v="2978"/>
    <s v="CUST1319"/>
    <s v="Customer 319"/>
    <x v="2"/>
    <s v="Goa"/>
    <x v="3"/>
    <s v="Storage"/>
    <x v="14"/>
    <n v="1"/>
    <n v="4800"/>
    <x v="2"/>
    <n v="4800"/>
    <n v="3300"/>
    <n v="1500"/>
  </r>
  <r>
    <s v="ORD13409"/>
    <x v="2979"/>
    <s v="CUST1330"/>
    <s v="Customer 330"/>
    <x v="1"/>
    <s v="Tamil Nadu"/>
    <x v="3"/>
    <s v="Storage"/>
    <x v="6"/>
    <n v="1"/>
    <n v="5600"/>
    <x v="0"/>
    <n v="5040"/>
    <n v="3900"/>
    <n v="1140"/>
  </r>
  <r>
    <s v="ORD11811"/>
    <x v="2980"/>
    <s v="CUST1123"/>
    <s v="Customer 123"/>
    <x v="2"/>
    <s v="Goa"/>
    <x v="2"/>
    <s v="Accessories"/>
    <x v="9"/>
    <n v="2"/>
    <n v="850"/>
    <x v="0"/>
    <n v="1530"/>
    <n v="1120"/>
    <n v="410"/>
  </r>
  <r>
    <s v="ORD13270"/>
    <x v="2981"/>
    <s v="CUST1492"/>
    <s v="Customer 492"/>
    <x v="2"/>
    <s v="Maharashtra"/>
    <x v="2"/>
    <s v="Monitors"/>
    <x v="11"/>
    <n v="5"/>
    <n v="10500"/>
    <x v="4"/>
    <n v="49875"/>
    <n v="38000"/>
    <n v="11875"/>
  </r>
  <r>
    <s v="ORD10336"/>
    <x v="2982"/>
    <s v="CUST1405"/>
    <s v="Customer 405"/>
    <x v="3"/>
    <s v="Punjab"/>
    <x v="0"/>
    <s v="Stationery"/>
    <x v="18"/>
    <n v="5"/>
    <n v="300"/>
    <x v="0"/>
    <n v="1350"/>
    <n v="850"/>
    <n v="500"/>
  </r>
  <r>
    <s v="ORD12278"/>
    <x v="2983"/>
    <s v="CUST1026"/>
    <s v="Customer 026"/>
    <x v="3"/>
    <s v="Haryana"/>
    <x v="3"/>
    <s v="Tables"/>
    <x v="16"/>
    <n v="3"/>
    <n v="6200"/>
    <x v="4"/>
    <n v="17670"/>
    <n v="12900"/>
    <n v="4770"/>
  </r>
  <r>
    <s v="ORD10765"/>
    <x v="2984"/>
    <s v="CUST1181"/>
    <s v="Customer 181"/>
    <x v="1"/>
    <s v="Karnataka"/>
    <x v="3"/>
    <s v="Chairs"/>
    <x v="12"/>
    <n v="5"/>
    <n v="7500"/>
    <x v="0"/>
    <n v="33750"/>
    <n v="26000"/>
    <n v="7750"/>
  </r>
  <r>
    <s v="ORD13257"/>
    <x v="2985"/>
    <s v="CUST1087"/>
    <s v="Customer 087"/>
    <x v="2"/>
    <s v="Rajasthan"/>
    <x v="2"/>
    <s v="Accessories"/>
    <x v="9"/>
    <n v="1"/>
    <n v="850"/>
    <x v="2"/>
    <n v="850"/>
    <n v="560"/>
    <n v="290"/>
  </r>
  <r>
    <s v="ORD10136"/>
    <x v="2986"/>
    <s v="CUST1152"/>
    <s v="Customer 152"/>
    <x v="2"/>
    <s v="Maharashtra"/>
    <x v="3"/>
    <s v="Storage"/>
    <x v="6"/>
    <n v="5"/>
    <n v="5600"/>
    <x v="4"/>
    <n v="26600"/>
    <n v="19500"/>
    <n v="7100"/>
  </r>
  <r>
    <s v="ORD13845"/>
    <x v="2987"/>
    <s v="CUST1461"/>
    <s v="Customer 461"/>
    <x v="2"/>
    <s v="Rajasthan"/>
    <x v="3"/>
    <s v="Tables"/>
    <x v="16"/>
    <n v="4"/>
    <n v="6200"/>
    <x v="3"/>
    <n v="21080"/>
    <n v="17200"/>
    <n v="3880"/>
  </r>
  <r>
    <s v="ORD13805"/>
    <x v="2988"/>
    <s v="CUST1012"/>
    <s v="Customer 012"/>
    <x v="2"/>
    <s v="Rajasthan"/>
    <x v="0"/>
    <s v="Stationery"/>
    <x v="10"/>
    <n v="2"/>
    <n v="280"/>
    <x v="4"/>
    <n v="532"/>
    <n v="320"/>
    <n v="212"/>
  </r>
  <r>
    <s v="ORD11915"/>
    <x v="2989"/>
    <s v="CUST1165"/>
    <s v="Customer 165"/>
    <x v="1"/>
    <s v="Andhra Pradesh"/>
    <x v="2"/>
    <s v="Audio"/>
    <x v="5"/>
    <n v="4"/>
    <n v="2200"/>
    <x v="4"/>
    <n v="8360"/>
    <n v="5800"/>
    <n v="2560"/>
  </r>
  <r>
    <s v="ORD10414"/>
    <x v="2990"/>
    <s v="CUST1066"/>
    <s v="Customer 066"/>
    <x v="2"/>
    <s v="Gujarat"/>
    <x v="2"/>
    <s v="Audio"/>
    <x v="5"/>
    <n v="5"/>
    <n v="2200"/>
    <x v="2"/>
    <n v="11000"/>
    <n v="7250"/>
    <n v="3750"/>
  </r>
  <r>
    <s v="ORD13486"/>
    <x v="2991"/>
    <s v="CUST1014"/>
    <s v="Customer 014"/>
    <x v="0"/>
    <s v="Jharkhand"/>
    <x v="3"/>
    <s v="Storage"/>
    <x v="14"/>
    <n v="1"/>
    <n v="4800"/>
    <x v="3"/>
    <n v="4080"/>
    <n v="3300"/>
    <n v="780"/>
  </r>
  <r>
    <s v="ORD13304"/>
    <x v="2992"/>
    <s v="CUST1138"/>
    <s v="Customer 138"/>
    <x v="1"/>
    <s v="Karnataka"/>
    <x v="1"/>
    <s v="Kitchen"/>
    <x v="2"/>
    <n v="4"/>
    <n v="4200"/>
    <x v="1"/>
    <n v="12600"/>
    <n v="11600"/>
    <n v="1000"/>
  </r>
  <r>
    <s v="ORD11769"/>
    <x v="2993"/>
    <s v="CUST1034"/>
    <s v="Customer 034"/>
    <x v="2"/>
    <s v="Goa"/>
    <x v="0"/>
    <s v="Accessories"/>
    <x v="0"/>
    <n v="3"/>
    <n v="650"/>
    <x v="3"/>
    <n v="1657.5"/>
    <n v="1170"/>
    <n v="487.5"/>
  </r>
  <r>
    <s v="ORD12046"/>
    <x v="2994"/>
    <s v="CUST1496"/>
    <s v="Customer 496"/>
    <x v="1"/>
    <s v="Karnataka"/>
    <x v="3"/>
    <s v="Storage"/>
    <x v="14"/>
    <n v="1"/>
    <n v="4800"/>
    <x v="3"/>
    <n v="4080"/>
    <n v="3300"/>
    <n v="780"/>
  </r>
  <r>
    <s v="ORD13714"/>
    <x v="2995"/>
    <s v="CUST1112"/>
    <s v="Customer 112"/>
    <x v="3"/>
    <s v="Delhi"/>
    <x v="3"/>
    <s v="Storage"/>
    <x v="6"/>
    <n v="4"/>
    <n v="5600"/>
    <x v="0"/>
    <n v="20160"/>
    <n v="15600"/>
    <n v="4560"/>
  </r>
  <r>
    <s v="ORD11634"/>
    <x v="2996"/>
    <s v="CUST1441"/>
    <s v="Customer 441"/>
    <x v="1"/>
    <s v="Telangana"/>
    <x v="2"/>
    <s v="Accessories"/>
    <x v="8"/>
    <n v="5"/>
    <n v="1800"/>
    <x v="4"/>
    <n v="8550"/>
    <n v="5500"/>
    <n v="3050"/>
  </r>
  <r>
    <s v="ORD11902"/>
    <x v="2997"/>
    <s v="CUST1266"/>
    <s v="Customer 266"/>
    <x v="3"/>
    <s v="Haryana"/>
    <x v="2"/>
    <s v="Audio"/>
    <x v="5"/>
    <n v="5"/>
    <n v="2200"/>
    <x v="0"/>
    <n v="9900"/>
    <n v="7250"/>
    <n v="2650"/>
  </r>
  <r>
    <s v="ORD10797"/>
    <x v="2998"/>
    <s v="CUST1485"/>
    <s v="Customer 485"/>
    <x v="2"/>
    <s v="Maharashtra"/>
    <x v="3"/>
    <s v="Storage"/>
    <x v="6"/>
    <n v="5"/>
    <n v="5600"/>
    <x v="4"/>
    <n v="26600"/>
    <n v="19500"/>
    <n v="7100"/>
  </r>
  <r>
    <s v="ORD12168"/>
    <x v="2999"/>
    <s v="CUST1422"/>
    <s v="Customer 422"/>
    <x v="1"/>
    <s v="Karnataka"/>
    <x v="1"/>
    <s v="Kitchen"/>
    <x v="4"/>
    <n v="5"/>
    <n v="6800"/>
    <x v="4"/>
    <n v="32300"/>
    <n v="23500"/>
    <n v="8800"/>
  </r>
  <r>
    <s v="ORD11254"/>
    <x v="3000"/>
    <s v="CUST1397"/>
    <s v="Customer 397"/>
    <x v="2"/>
    <s v="Goa"/>
    <x v="0"/>
    <s v="Stationery"/>
    <x v="10"/>
    <n v="2"/>
    <n v="280"/>
    <x v="0"/>
    <n v="504"/>
    <n v="320"/>
    <n v="184"/>
  </r>
  <r>
    <s v="ORD11463"/>
    <x v="3001"/>
    <s v="CUST1024"/>
    <s v="Customer 024"/>
    <x v="1"/>
    <s v="Kerala"/>
    <x v="2"/>
    <s v="Audio"/>
    <x v="17"/>
    <n v="4"/>
    <n v="2800"/>
    <x v="0"/>
    <n v="10080"/>
    <n v="7200"/>
    <n v="2880"/>
  </r>
  <r>
    <s v="ORD13023"/>
    <x v="3002"/>
    <s v="CUST1194"/>
    <s v="Customer 194"/>
    <x v="0"/>
    <s v="Bihar"/>
    <x v="1"/>
    <s v="Appliances"/>
    <x v="7"/>
    <n v="3"/>
    <n v="2400"/>
    <x v="2"/>
    <n v="7200"/>
    <n v="4950"/>
    <n v="2250"/>
  </r>
  <r>
    <s v="ORD13453"/>
    <x v="3003"/>
    <s v="CUST1227"/>
    <s v="Customer 227"/>
    <x v="3"/>
    <s v="Uttar Pradesh"/>
    <x v="3"/>
    <s v="Storage"/>
    <x v="6"/>
    <n v="2"/>
    <n v="5600"/>
    <x v="3"/>
    <n v="9520"/>
    <n v="7800"/>
    <n v="1720"/>
  </r>
  <r>
    <s v="ORD11582"/>
    <x v="3004"/>
    <s v="CUST1109"/>
    <s v="Customer 109"/>
    <x v="3"/>
    <s v="Punjab"/>
    <x v="2"/>
    <s v="Audio"/>
    <x v="17"/>
    <n v="4"/>
    <n v="2800"/>
    <x v="0"/>
    <n v="10080"/>
    <n v="7200"/>
    <n v="2880"/>
  </r>
  <r>
    <s v="ORD10453"/>
    <x v="3005"/>
    <s v="CUST1250"/>
    <s v="Customer 250"/>
    <x v="2"/>
    <s v="Rajasthan"/>
    <x v="2"/>
    <s v="Audio"/>
    <x v="5"/>
    <n v="1"/>
    <n v="2200"/>
    <x v="3"/>
    <n v="1870"/>
    <n v="1450"/>
    <n v="420"/>
  </r>
  <r>
    <s v="ORD11764"/>
    <x v="3006"/>
    <s v="CUST1301"/>
    <s v="Customer 301"/>
    <x v="1"/>
    <s v="Telangana"/>
    <x v="2"/>
    <s v="Monitors"/>
    <x v="11"/>
    <n v="1"/>
    <n v="10500"/>
    <x v="5"/>
    <n v="8400"/>
    <n v="7600"/>
    <n v="800"/>
  </r>
  <r>
    <s v="ORD11855"/>
    <x v="3007"/>
    <s v="CUST1054"/>
    <s v="Customer 054"/>
    <x v="2"/>
    <s v="Goa"/>
    <x v="2"/>
    <s v="Audio"/>
    <x v="17"/>
    <n v="4"/>
    <n v="2800"/>
    <x v="4"/>
    <n v="10640"/>
    <n v="7200"/>
    <n v="3440"/>
  </r>
  <r>
    <s v="ORD13900"/>
    <x v="3008"/>
    <s v="CUST1463"/>
    <s v="Customer 463"/>
    <x v="1"/>
    <s v="Andhra Pradesh"/>
    <x v="1"/>
    <s v="Kitchen"/>
    <x v="2"/>
    <n v="5"/>
    <n v="4200"/>
    <x v="3"/>
    <n v="17850"/>
    <n v="14500"/>
    <n v="3350"/>
  </r>
  <r>
    <s v="ORD11652"/>
    <x v="3009"/>
    <s v="CUST1010"/>
    <s v="Customer 010"/>
    <x v="1"/>
    <s v="Kerala"/>
    <x v="0"/>
    <s v="Stationery"/>
    <x v="18"/>
    <n v="3"/>
    <n v="300"/>
    <x v="4"/>
    <n v="855"/>
    <n v="510"/>
    <n v="345"/>
  </r>
  <r>
    <s v="ORD13677"/>
    <x v="3010"/>
    <s v="CUST1184"/>
    <s v="Customer 184"/>
    <x v="1"/>
    <s v="Karnataka"/>
    <x v="2"/>
    <s v="Accessories"/>
    <x v="9"/>
    <n v="3"/>
    <n v="850"/>
    <x v="3"/>
    <n v="2167.5"/>
    <n v="1680"/>
    <n v="487.5"/>
  </r>
  <r>
    <s v="ORD12811"/>
    <x v="3011"/>
    <s v="CUST1257"/>
    <s v="Customer 257"/>
    <x v="2"/>
    <s v="Rajasthan"/>
    <x v="3"/>
    <s v="Chairs"/>
    <x v="12"/>
    <n v="1"/>
    <n v="7500"/>
    <x v="3"/>
    <n v="6375"/>
    <n v="5200"/>
    <n v="1175"/>
  </r>
  <r>
    <s v="ORD11439"/>
    <x v="3012"/>
    <s v="CUST1160"/>
    <s v="Customer 160"/>
    <x v="1"/>
    <s v="Karnataka"/>
    <x v="3"/>
    <s v="Storage"/>
    <x v="14"/>
    <n v="1"/>
    <n v="4800"/>
    <x v="4"/>
    <n v="4560"/>
    <n v="3300"/>
    <n v="1260"/>
  </r>
  <r>
    <s v="ORD10982"/>
    <x v="3013"/>
    <s v="CUST1352"/>
    <s v="Customer 352"/>
    <x v="1"/>
    <s v="Karnataka"/>
    <x v="0"/>
    <s v="Stationery"/>
    <x v="15"/>
    <n v="3"/>
    <n v="450"/>
    <x v="0"/>
    <n v="1215"/>
    <n v="780"/>
    <n v="435"/>
  </r>
  <r>
    <s v="ORD11378"/>
    <x v="3014"/>
    <s v="CUST1376"/>
    <s v="Customer 376"/>
    <x v="0"/>
    <s v="Bihar"/>
    <x v="2"/>
    <s v="Accessories"/>
    <x v="9"/>
    <n v="3"/>
    <n v="850"/>
    <x v="1"/>
    <n v="1912.5"/>
    <n v="1680"/>
    <n v="232.5"/>
  </r>
  <r>
    <s v="ORD10930"/>
    <x v="3015"/>
    <s v="CUST1290"/>
    <s v="Customer 290"/>
    <x v="3"/>
    <s v="Haryana"/>
    <x v="3"/>
    <s v="Storage"/>
    <x v="6"/>
    <n v="2"/>
    <n v="5600"/>
    <x v="0"/>
    <n v="10080"/>
    <n v="7800"/>
    <n v="2280"/>
  </r>
  <r>
    <s v="ORD11760"/>
    <x v="3016"/>
    <s v="CUST1291"/>
    <s v="Customer 291"/>
    <x v="1"/>
    <s v="Tamil Nadu"/>
    <x v="2"/>
    <s v="Accessories"/>
    <x v="13"/>
    <n v="4"/>
    <n v="1400"/>
    <x v="0"/>
    <n v="5040"/>
    <n v="3600"/>
    <n v="1440"/>
  </r>
  <r>
    <s v="ORD10041"/>
    <x v="3017"/>
    <s v="CUST1083"/>
    <s v="Customer 083"/>
    <x v="1"/>
    <s v="Kerala"/>
    <x v="2"/>
    <s v="Accessories"/>
    <x v="8"/>
    <n v="4"/>
    <n v="1800"/>
    <x v="2"/>
    <n v="7200"/>
    <n v="4400"/>
    <n v="2800"/>
  </r>
  <r>
    <s v="ORD11713"/>
    <x v="3018"/>
    <s v="CUST1440"/>
    <s v="Customer 440"/>
    <x v="0"/>
    <s v="Jharkhand"/>
    <x v="1"/>
    <s v="Kitchen"/>
    <x v="1"/>
    <n v="1"/>
    <n v="1900"/>
    <x v="3"/>
    <n v="1615"/>
    <n v="1250"/>
    <n v="365"/>
  </r>
  <r>
    <s v="ORD11554"/>
    <x v="3019"/>
    <s v="CUST1310"/>
    <s v="Customer 310"/>
    <x v="2"/>
    <s v="Gujarat"/>
    <x v="2"/>
    <s v="Accessories"/>
    <x v="13"/>
    <n v="4"/>
    <n v="1400"/>
    <x v="4"/>
    <n v="5320"/>
    <n v="3600"/>
    <n v="1720"/>
  </r>
  <r>
    <s v="ORD11385"/>
    <x v="3020"/>
    <s v="CUST1194"/>
    <s v="Customer 194"/>
    <x v="1"/>
    <s v="Tamil Nadu"/>
    <x v="3"/>
    <s v="Chairs"/>
    <x v="12"/>
    <n v="4"/>
    <n v="7500"/>
    <x v="2"/>
    <n v="30000"/>
    <n v="20800"/>
    <n v="9200"/>
  </r>
  <r>
    <s v="ORD11539"/>
    <x v="3021"/>
    <s v="CUST1354"/>
    <s v="Customer 354"/>
    <x v="1"/>
    <s v="Karnataka"/>
    <x v="0"/>
    <s v="Paper"/>
    <x v="3"/>
    <n v="3"/>
    <n v="520"/>
    <x v="2"/>
    <n v="1560"/>
    <n v="990"/>
    <n v="570"/>
  </r>
  <r>
    <s v="ORD10773"/>
    <x v="3022"/>
    <s v="CUST1003"/>
    <s v="Customer 003"/>
    <x v="0"/>
    <s v="Bihar"/>
    <x v="0"/>
    <s v="Paper"/>
    <x v="3"/>
    <n v="1"/>
    <n v="520"/>
    <x v="4"/>
    <n v="494"/>
    <n v="330"/>
    <n v="164"/>
  </r>
  <r>
    <s v="ORD12157"/>
    <x v="3023"/>
    <s v="CUST1222"/>
    <s v="Customer 222"/>
    <x v="0"/>
    <s v="Odisha"/>
    <x v="3"/>
    <s v="Storage"/>
    <x v="6"/>
    <n v="4"/>
    <n v="5600"/>
    <x v="2"/>
    <n v="22400"/>
    <n v="15600"/>
    <n v="6800"/>
  </r>
  <r>
    <s v="ORD10214"/>
    <x v="3024"/>
    <s v="CUST1225"/>
    <s v="Customer 225"/>
    <x v="2"/>
    <s v="Rajasthan"/>
    <x v="0"/>
    <s v="Accessories"/>
    <x v="0"/>
    <n v="1"/>
    <n v="650"/>
    <x v="4"/>
    <n v="617.5"/>
    <n v="390"/>
    <n v="227.5"/>
  </r>
  <r>
    <s v="ORD11990"/>
    <x v="3025"/>
    <s v="CUST1462"/>
    <s v="Customer 462"/>
    <x v="0"/>
    <s v="Jharkhand"/>
    <x v="2"/>
    <s v="Monitors"/>
    <x v="11"/>
    <n v="2"/>
    <n v="10500"/>
    <x v="0"/>
    <n v="18900"/>
    <n v="15200"/>
    <n v="3700"/>
  </r>
  <r>
    <s v="ORD10828"/>
    <x v="3026"/>
    <s v="CUST1449"/>
    <s v="Customer 449"/>
    <x v="1"/>
    <s v="Andhra Pradesh"/>
    <x v="1"/>
    <s v="Appliances"/>
    <x v="7"/>
    <n v="5"/>
    <n v="2400"/>
    <x v="0"/>
    <n v="10800"/>
    <n v="8250"/>
    <n v="2550"/>
  </r>
  <r>
    <s v="ORD11844"/>
    <x v="3027"/>
    <s v="CUST1423"/>
    <s v="Customer 423"/>
    <x v="2"/>
    <s v="Rajasthan"/>
    <x v="0"/>
    <s v="Stationery"/>
    <x v="18"/>
    <n v="4"/>
    <n v="300"/>
    <x v="0"/>
    <n v="1080"/>
    <n v="680"/>
    <n v="400"/>
  </r>
  <r>
    <s v="ORD12176"/>
    <x v="3028"/>
    <s v="CUST1382"/>
    <s v="Customer 382"/>
    <x v="2"/>
    <s v="Gujarat"/>
    <x v="0"/>
    <s v="Stationery"/>
    <x v="15"/>
    <n v="2"/>
    <n v="450"/>
    <x v="5"/>
    <n v="720"/>
    <n v="520"/>
    <n v="200"/>
  </r>
  <r>
    <s v="ORD11663"/>
    <x v="3029"/>
    <s v="CUST1093"/>
    <s v="Customer 093"/>
    <x v="0"/>
    <s v="Bihar"/>
    <x v="2"/>
    <s v="Monitors"/>
    <x v="11"/>
    <n v="2"/>
    <n v="10500"/>
    <x v="0"/>
    <n v="18900"/>
    <n v="15200"/>
    <n v="3700"/>
  </r>
  <r>
    <s v="ORD12685"/>
    <x v="3030"/>
    <s v="CUST1253"/>
    <s v="Customer 253"/>
    <x v="0"/>
    <s v="Bihar"/>
    <x v="0"/>
    <s v="Stationery"/>
    <x v="15"/>
    <n v="5"/>
    <n v="450"/>
    <x v="2"/>
    <n v="2250"/>
    <n v="1300"/>
    <n v="950"/>
  </r>
  <r>
    <s v="ORD12460"/>
    <x v="3031"/>
    <s v="CUST1030"/>
    <s v="Customer 030"/>
    <x v="3"/>
    <s v="Uttar Pradesh"/>
    <x v="0"/>
    <s v="Accessories"/>
    <x v="0"/>
    <n v="4"/>
    <n v="650"/>
    <x v="5"/>
    <n v="2080"/>
    <n v="1560"/>
    <n v="520"/>
  </r>
  <r>
    <s v="ORD13511"/>
    <x v="3032"/>
    <s v="CUST1486"/>
    <s v="Customer 486"/>
    <x v="1"/>
    <s v="Tamil Nadu"/>
    <x v="2"/>
    <s v="Accessories"/>
    <x v="9"/>
    <n v="2"/>
    <n v="850"/>
    <x v="1"/>
    <n v="1275"/>
    <n v="1120"/>
    <n v="155"/>
  </r>
  <r>
    <s v="ORD13642"/>
    <x v="3033"/>
    <s v="CUST1464"/>
    <s v="Customer 464"/>
    <x v="3"/>
    <s v="Haryana"/>
    <x v="2"/>
    <s v="Accessories"/>
    <x v="8"/>
    <n v="4"/>
    <n v="1800"/>
    <x v="4"/>
    <n v="6840"/>
    <n v="4400"/>
    <n v="2440"/>
  </r>
  <r>
    <s v="ORD12719"/>
    <x v="3034"/>
    <s v="CUST1290"/>
    <s v="Customer 290"/>
    <x v="2"/>
    <s v="Gujarat"/>
    <x v="2"/>
    <s v="Audio"/>
    <x v="5"/>
    <n v="5"/>
    <n v="2200"/>
    <x v="1"/>
    <n v="8250"/>
    <n v="7250"/>
    <n v="1000"/>
  </r>
  <r>
    <s v="ORD13683"/>
    <x v="3035"/>
    <s v="CUST1108"/>
    <s v="Customer 108"/>
    <x v="1"/>
    <s v="Kerala"/>
    <x v="1"/>
    <s v="Appliances"/>
    <x v="7"/>
    <n v="1"/>
    <n v="2400"/>
    <x v="0"/>
    <n v="2160"/>
    <n v="1650"/>
    <n v="510"/>
  </r>
  <r>
    <s v="ORD11486"/>
    <x v="3036"/>
    <s v="CUST1432"/>
    <s v="Customer 432"/>
    <x v="3"/>
    <s v="Delhi"/>
    <x v="2"/>
    <s v="Accessories"/>
    <x v="13"/>
    <n v="5"/>
    <n v="1400"/>
    <x v="5"/>
    <n v="5600"/>
    <n v="4500"/>
    <n v="1100"/>
  </r>
  <r>
    <s v="ORD13320"/>
    <x v="3037"/>
    <s v="CUST1018"/>
    <s v="Customer 018"/>
    <x v="1"/>
    <s v="Kerala"/>
    <x v="2"/>
    <s v="Accessories"/>
    <x v="9"/>
    <n v="1"/>
    <n v="850"/>
    <x v="1"/>
    <n v="637.5"/>
    <n v="560"/>
    <n v="77.5"/>
  </r>
  <r>
    <s v="ORD11186"/>
    <x v="3038"/>
    <s v="CUST1154"/>
    <s v="Customer 154"/>
    <x v="1"/>
    <s v="Kerala"/>
    <x v="1"/>
    <s v="Appliances"/>
    <x v="7"/>
    <n v="2"/>
    <n v="2400"/>
    <x v="3"/>
    <n v="4080"/>
    <n v="3300"/>
    <n v="780"/>
  </r>
  <r>
    <s v="ORD11014"/>
    <x v="3039"/>
    <s v="CUST1158"/>
    <s v="Customer 158"/>
    <x v="3"/>
    <s v="Uttar Pradesh"/>
    <x v="2"/>
    <s v="Monitors"/>
    <x v="11"/>
    <n v="2"/>
    <n v="10500"/>
    <x v="3"/>
    <n v="17850"/>
    <n v="15200"/>
    <n v="2650"/>
  </r>
  <r>
    <s v="ORD11934"/>
    <x v="3040"/>
    <s v="CUST1477"/>
    <s v="Customer 477"/>
    <x v="1"/>
    <s v="Kerala"/>
    <x v="2"/>
    <s v="Audio"/>
    <x v="17"/>
    <n v="2"/>
    <n v="2800"/>
    <x v="2"/>
    <n v="5600"/>
    <n v="3600"/>
    <n v="2000"/>
  </r>
  <r>
    <s v="ORD10339"/>
    <x v="3041"/>
    <s v="CUST1102"/>
    <s v="Customer 102"/>
    <x v="2"/>
    <s v="Maharashtra"/>
    <x v="3"/>
    <s v="Tables"/>
    <x v="16"/>
    <n v="5"/>
    <n v="6200"/>
    <x v="3"/>
    <n v="26350"/>
    <n v="21500"/>
    <n v="4850"/>
  </r>
  <r>
    <s v="ORD10872"/>
    <x v="3042"/>
    <s v="CUST1101"/>
    <s v="Customer 101"/>
    <x v="2"/>
    <s v="Gujarat"/>
    <x v="1"/>
    <s v="Kitchen"/>
    <x v="4"/>
    <n v="4"/>
    <n v="6800"/>
    <x v="2"/>
    <n v="27200"/>
    <n v="18800"/>
    <n v="8400"/>
  </r>
  <r>
    <s v="ORD12436"/>
    <x v="3043"/>
    <s v="CUST1283"/>
    <s v="Customer 283"/>
    <x v="2"/>
    <s v="Goa"/>
    <x v="1"/>
    <s v="Kitchen"/>
    <x v="4"/>
    <n v="5"/>
    <n v="6800"/>
    <x v="0"/>
    <n v="30600"/>
    <n v="23500"/>
    <n v="7100"/>
  </r>
  <r>
    <s v="ORD10197"/>
    <x v="3044"/>
    <s v="CUST1172"/>
    <s v="Customer 172"/>
    <x v="1"/>
    <s v="Tamil Nadu"/>
    <x v="0"/>
    <s v="Stationery"/>
    <x v="15"/>
    <n v="3"/>
    <n v="450"/>
    <x v="2"/>
    <n v="1350"/>
    <n v="780"/>
    <n v="570"/>
  </r>
  <r>
    <s v="ORD10923"/>
    <x v="3045"/>
    <s v="CUST1224"/>
    <s v="Customer 224"/>
    <x v="1"/>
    <s v="Tamil Nadu"/>
    <x v="2"/>
    <s v="Monitors"/>
    <x v="11"/>
    <n v="3"/>
    <n v="10500"/>
    <x v="5"/>
    <n v="25200"/>
    <n v="22800"/>
    <n v="2400"/>
  </r>
  <r>
    <s v="ORD10732"/>
    <x v="3046"/>
    <s v="CUST1210"/>
    <s v="Customer 210"/>
    <x v="1"/>
    <s v="Karnataka"/>
    <x v="3"/>
    <s v="Storage"/>
    <x v="6"/>
    <n v="1"/>
    <n v="5600"/>
    <x v="2"/>
    <n v="5600"/>
    <n v="3900"/>
    <n v="1700"/>
  </r>
  <r>
    <s v="ORD10458"/>
    <x v="3047"/>
    <s v="CUST1317"/>
    <s v="Customer 317"/>
    <x v="1"/>
    <s v="Kerala"/>
    <x v="1"/>
    <s v="Appliances"/>
    <x v="7"/>
    <n v="2"/>
    <n v="2400"/>
    <x v="4"/>
    <n v="4560"/>
    <n v="3300"/>
    <n v="1260"/>
  </r>
  <r>
    <s v="ORD13790"/>
    <x v="3048"/>
    <s v="CUST1159"/>
    <s v="Customer 159"/>
    <x v="2"/>
    <s v="Gujarat"/>
    <x v="2"/>
    <s v="Accessories"/>
    <x v="13"/>
    <n v="1"/>
    <n v="1400"/>
    <x v="1"/>
    <n v="1050"/>
    <n v="900"/>
    <n v="150"/>
  </r>
  <r>
    <s v="ORD13070"/>
    <x v="3049"/>
    <s v="CUST1035"/>
    <s v="Customer 035"/>
    <x v="2"/>
    <s v="Gujarat"/>
    <x v="3"/>
    <s v="Storage"/>
    <x v="14"/>
    <n v="1"/>
    <n v="4800"/>
    <x v="3"/>
    <n v="4080"/>
    <n v="3300"/>
    <n v="780"/>
  </r>
  <r>
    <s v="ORD13473"/>
    <x v="3050"/>
    <s v="CUST1368"/>
    <s v="Customer 368"/>
    <x v="0"/>
    <s v="Bihar"/>
    <x v="2"/>
    <s v="Monitors"/>
    <x v="11"/>
    <n v="1"/>
    <n v="10500"/>
    <x v="5"/>
    <n v="8400"/>
    <n v="7600"/>
    <n v="800"/>
  </r>
  <r>
    <s v="ORD12926"/>
    <x v="3051"/>
    <s v="CUST1092"/>
    <s v="Customer 092"/>
    <x v="1"/>
    <s v="Tamil Nadu"/>
    <x v="2"/>
    <s v="Audio"/>
    <x v="17"/>
    <n v="5"/>
    <n v="2800"/>
    <x v="5"/>
    <n v="11200"/>
    <n v="9000"/>
    <n v="2200"/>
  </r>
  <r>
    <s v="ORD11477"/>
    <x v="3052"/>
    <s v="CUST1246"/>
    <s v="Customer 246"/>
    <x v="3"/>
    <s v="Delhi"/>
    <x v="3"/>
    <s v="Tables"/>
    <x v="16"/>
    <n v="5"/>
    <n v="6200"/>
    <x v="3"/>
    <n v="26350"/>
    <n v="21500"/>
    <n v="4850"/>
  </r>
  <r>
    <s v="ORD10712"/>
    <x v="3053"/>
    <s v="CUST1262"/>
    <s v="Customer 262"/>
    <x v="1"/>
    <s v="Kerala"/>
    <x v="2"/>
    <s v="Audio"/>
    <x v="5"/>
    <n v="3"/>
    <n v="2200"/>
    <x v="0"/>
    <n v="5940"/>
    <n v="4350"/>
    <n v="1590"/>
  </r>
  <r>
    <s v="ORD11834"/>
    <x v="3054"/>
    <s v="CUST1036"/>
    <s v="Customer 036"/>
    <x v="2"/>
    <s v="Gujarat"/>
    <x v="0"/>
    <s v="Stationery"/>
    <x v="10"/>
    <n v="2"/>
    <n v="280"/>
    <x v="4"/>
    <n v="532"/>
    <n v="320"/>
    <n v="212"/>
  </r>
  <r>
    <s v="ORD13519"/>
    <x v="3055"/>
    <s v="CUST1340"/>
    <s v="Customer 340"/>
    <x v="1"/>
    <s v="Kerala"/>
    <x v="2"/>
    <s v="Accessories"/>
    <x v="9"/>
    <n v="1"/>
    <n v="850"/>
    <x v="4"/>
    <n v="807.5"/>
    <n v="560"/>
    <n v="247.5"/>
  </r>
  <r>
    <s v="ORD13632"/>
    <x v="3056"/>
    <s v="CUST1273"/>
    <s v="Customer 273"/>
    <x v="1"/>
    <s v="Karnataka"/>
    <x v="3"/>
    <s v="Storage"/>
    <x v="6"/>
    <n v="3"/>
    <n v="5600"/>
    <x v="2"/>
    <n v="16800"/>
    <n v="11700"/>
    <n v="5100"/>
  </r>
  <r>
    <s v="ORD10340"/>
    <x v="3057"/>
    <s v="CUST1477"/>
    <s v="Customer 477"/>
    <x v="1"/>
    <s v="Telangana"/>
    <x v="0"/>
    <s v="Accessories"/>
    <x v="0"/>
    <n v="5"/>
    <n v="650"/>
    <x v="0"/>
    <n v="2925"/>
    <n v="1950"/>
    <n v="975"/>
  </r>
  <r>
    <s v="ORD12578"/>
    <x v="3058"/>
    <s v="CUST1226"/>
    <s v="Customer 226"/>
    <x v="1"/>
    <s v="Kerala"/>
    <x v="3"/>
    <s v="Storage"/>
    <x v="14"/>
    <n v="2"/>
    <n v="4800"/>
    <x v="3"/>
    <n v="8160"/>
    <n v="6600"/>
    <n v="1560"/>
  </r>
  <r>
    <s v="ORD13191"/>
    <x v="3059"/>
    <s v="CUST1002"/>
    <s v="Customer 002"/>
    <x v="2"/>
    <s v="Rajasthan"/>
    <x v="3"/>
    <s v="Storage"/>
    <x v="6"/>
    <n v="1"/>
    <n v="5600"/>
    <x v="5"/>
    <n v="4480"/>
    <n v="3900"/>
    <n v="580"/>
  </r>
  <r>
    <s v="ORD13255"/>
    <x v="3060"/>
    <s v="CUST1119"/>
    <s v="Customer 119"/>
    <x v="3"/>
    <s v="Haryana"/>
    <x v="3"/>
    <s v="Storage"/>
    <x v="14"/>
    <n v="5"/>
    <n v="4800"/>
    <x v="0"/>
    <n v="21600"/>
    <n v="16500"/>
    <n v="5100"/>
  </r>
  <r>
    <s v="ORD10392"/>
    <x v="3061"/>
    <s v="CUST1090"/>
    <s v="Customer 090"/>
    <x v="3"/>
    <s v="Punjab"/>
    <x v="3"/>
    <s v="Chairs"/>
    <x v="12"/>
    <n v="3"/>
    <n v="7500"/>
    <x v="4"/>
    <n v="21375"/>
    <n v="15600"/>
    <n v="5775"/>
  </r>
  <r>
    <s v="ORD11693"/>
    <x v="3062"/>
    <s v="CUST1329"/>
    <s v="Customer 329"/>
    <x v="1"/>
    <s v="Telangana"/>
    <x v="0"/>
    <s v="Stationery"/>
    <x v="10"/>
    <n v="4"/>
    <n v="280"/>
    <x v="3"/>
    <n v="952"/>
    <n v="640"/>
    <n v="312"/>
  </r>
  <r>
    <s v="ORD12914"/>
    <x v="3063"/>
    <s v="CUST1113"/>
    <s v="Customer 113"/>
    <x v="0"/>
    <s v="Bihar"/>
    <x v="0"/>
    <s v="Stationery"/>
    <x v="15"/>
    <n v="4"/>
    <n v="450"/>
    <x v="3"/>
    <n v="1530"/>
    <n v="1040"/>
    <n v="490"/>
  </r>
  <r>
    <s v="ORD11162"/>
    <x v="3064"/>
    <s v="CUST1250"/>
    <s v="Customer 250"/>
    <x v="0"/>
    <s v="Jharkhand"/>
    <x v="1"/>
    <s v="Kitchen"/>
    <x v="1"/>
    <n v="4"/>
    <n v="1900"/>
    <x v="3"/>
    <n v="6460"/>
    <n v="5000"/>
    <n v="1460"/>
  </r>
  <r>
    <s v="ORD11584"/>
    <x v="3065"/>
    <s v="CUST1208"/>
    <s v="Customer 208"/>
    <x v="3"/>
    <s v="Punjab"/>
    <x v="1"/>
    <s v="Kitchen"/>
    <x v="1"/>
    <n v="3"/>
    <n v="1900"/>
    <x v="4"/>
    <n v="5415"/>
    <n v="3750"/>
    <n v="1665"/>
  </r>
  <r>
    <s v="ORD11080"/>
    <x v="3066"/>
    <s v="CUST1419"/>
    <s v="Customer 419"/>
    <x v="1"/>
    <s v="Telangana"/>
    <x v="2"/>
    <s v="Audio"/>
    <x v="17"/>
    <n v="1"/>
    <n v="2800"/>
    <x v="0"/>
    <n v="2520"/>
    <n v="1800"/>
    <n v="720"/>
  </r>
  <r>
    <s v="ORD13293"/>
    <x v="3067"/>
    <s v="CUST1119"/>
    <s v="Customer 119"/>
    <x v="3"/>
    <s v="Punjab"/>
    <x v="2"/>
    <s v="Accessories"/>
    <x v="8"/>
    <n v="3"/>
    <n v="1800"/>
    <x v="2"/>
    <n v="5400"/>
    <n v="3300"/>
    <n v="2100"/>
  </r>
  <r>
    <s v="ORD12835"/>
    <x v="3068"/>
    <s v="CUST1195"/>
    <s v="Customer 195"/>
    <x v="1"/>
    <s v="Tamil Nadu"/>
    <x v="2"/>
    <s v="Accessories"/>
    <x v="8"/>
    <n v="2"/>
    <n v="1800"/>
    <x v="2"/>
    <n v="3600"/>
    <n v="2200"/>
    <n v="1400"/>
  </r>
  <r>
    <s v="ORD11390"/>
    <x v="3069"/>
    <s v="CUST1455"/>
    <s v="Customer 455"/>
    <x v="1"/>
    <s v="Kerala"/>
    <x v="2"/>
    <s v="Audio"/>
    <x v="17"/>
    <n v="5"/>
    <n v="2800"/>
    <x v="4"/>
    <n v="13300"/>
    <n v="9000"/>
    <n v="4300"/>
  </r>
  <r>
    <s v="ORD11878"/>
    <x v="3070"/>
    <s v="CUST1449"/>
    <s v="Customer 449"/>
    <x v="0"/>
    <s v="West Bengal"/>
    <x v="1"/>
    <s v="Appliances"/>
    <x v="7"/>
    <n v="5"/>
    <n v="2400"/>
    <x v="3"/>
    <n v="10200"/>
    <n v="8250"/>
    <n v="1950"/>
  </r>
  <r>
    <s v="ORD10657"/>
    <x v="3071"/>
    <s v="CUST1384"/>
    <s v="Customer 384"/>
    <x v="1"/>
    <s v="Karnataka"/>
    <x v="2"/>
    <s v="Audio"/>
    <x v="17"/>
    <n v="2"/>
    <n v="2800"/>
    <x v="5"/>
    <n v="4480"/>
    <n v="3600"/>
    <n v="880"/>
  </r>
  <r>
    <s v="ORD11717"/>
    <x v="3072"/>
    <s v="CUST1323"/>
    <s v="Customer 323"/>
    <x v="3"/>
    <s v="Haryana"/>
    <x v="2"/>
    <s v="Accessories"/>
    <x v="8"/>
    <n v="3"/>
    <n v="1800"/>
    <x v="5"/>
    <n v="4320"/>
    <n v="3300"/>
    <n v="1020"/>
  </r>
  <r>
    <s v="ORD11770"/>
    <x v="3073"/>
    <s v="CUST1099"/>
    <s v="Customer 099"/>
    <x v="2"/>
    <s v="Rajasthan"/>
    <x v="2"/>
    <s v="Accessories"/>
    <x v="8"/>
    <n v="3"/>
    <n v="1800"/>
    <x v="2"/>
    <n v="5400"/>
    <n v="3300"/>
    <n v="2100"/>
  </r>
  <r>
    <s v="ORD10312"/>
    <x v="3074"/>
    <s v="CUST1337"/>
    <s v="Customer 337"/>
    <x v="1"/>
    <s v="Tamil Nadu"/>
    <x v="2"/>
    <s v="Accessories"/>
    <x v="9"/>
    <n v="5"/>
    <n v="850"/>
    <x v="4"/>
    <n v="4037.5"/>
    <n v="2800"/>
    <n v="1237.5"/>
  </r>
  <r>
    <s v="ORD12408"/>
    <x v="3075"/>
    <s v="CUST1356"/>
    <s v="Customer 356"/>
    <x v="1"/>
    <s v="Andhra Pradesh"/>
    <x v="0"/>
    <s v="Paper"/>
    <x v="3"/>
    <n v="1"/>
    <n v="520"/>
    <x v="3"/>
    <n v="442"/>
    <n v="330"/>
    <n v="112"/>
  </r>
  <r>
    <s v="ORD11457"/>
    <x v="3076"/>
    <s v="CUST1493"/>
    <s v="Customer 493"/>
    <x v="0"/>
    <s v="West Bengal"/>
    <x v="2"/>
    <s v="Audio"/>
    <x v="5"/>
    <n v="3"/>
    <n v="2200"/>
    <x v="0"/>
    <n v="5940"/>
    <n v="4350"/>
    <n v="1590"/>
  </r>
  <r>
    <s v="ORD10149"/>
    <x v="3077"/>
    <s v="CUST1411"/>
    <s v="Customer 411"/>
    <x v="3"/>
    <s v="Delhi"/>
    <x v="1"/>
    <s v="Kitchen"/>
    <x v="1"/>
    <n v="1"/>
    <n v="1900"/>
    <x v="5"/>
    <n v="1520"/>
    <n v="1250"/>
    <n v="270"/>
  </r>
  <r>
    <s v="ORD11467"/>
    <x v="3078"/>
    <s v="CUST1318"/>
    <s v="Customer 318"/>
    <x v="2"/>
    <s v="Maharashtra"/>
    <x v="2"/>
    <s v="Audio"/>
    <x v="17"/>
    <n v="1"/>
    <n v="2800"/>
    <x v="4"/>
    <n v="2660"/>
    <n v="1800"/>
    <n v="860"/>
  </r>
  <r>
    <s v="ORD10597"/>
    <x v="3079"/>
    <s v="CUST1290"/>
    <s v="Customer 290"/>
    <x v="1"/>
    <s v="Telangana"/>
    <x v="0"/>
    <s v="Stationery"/>
    <x v="10"/>
    <n v="2"/>
    <n v="280"/>
    <x v="4"/>
    <n v="532"/>
    <n v="320"/>
    <n v="212"/>
  </r>
  <r>
    <s v="ORD10297"/>
    <x v="3080"/>
    <s v="CUST1425"/>
    <s v="Customer 425"/>
    <x v="3"/>
    <s v="Haryana"/>
    <x v="0"/>
    <s v="Stationery"/>
    <x v="18"/>
    <n v="4"/>
    <n v="300"/>
    <x v="4"/>
    <n v="1140"/>
    <n v="680"/>
    <n v="460"/>
  </r>
  <r>
    <s v="ORD13316"/>
    <x v="3081"/>
    <s v="CUST1424"/>
    <s v="Customer 424"/>
    <x v="1"/>
    <s v="Telangana"/>
    <x v="2"/>
    <s v="Audio"/>
    <x v="5"/>
    <n v="2"/>
    <n v="2200"/>
    <x v="3"/>
    <n v="3740"/>
    <n v="2900"/>
    <n v="840"/>
  </r>
  <r>
    <s v="ORD11533"/>
    <x v="3082"/>
    <s v="CUST1467"/>
    <s v="Customer 467"/>
    <x v="2"/>
    <s v="Maharashtra"/>
    <x v="1"/>
    <s v="Kitchen"/>
    <x v="1"/>
    <n v="1"/>
    <n v="1900"/>
    <x v="0"/>
    <n v="1710"/>
    <n v="1250"/>
    <n v="460"/>
  </r>
  <r>
    <s v="ORD13959"/>
    <x v="3083"/>
    <s v="CUST1049"/>
    <s v="Customer 049"/>
    <x v="2"/>
    <s v="Gujarat"/>
    <x v="0"/>
    <s v="Paper"/>
    <x v="3"/>
    <n v="3"/>
    <n v="520"/>
    <x v="4"/>
    <n v="1482"/>
    <n v="990"/>
    <n v="492"/>
  </r>
  <r>
    <s v="ORD10961"/>
    <x v="3084"/>
    <s v="CUST1077"/>
    <s v="Customer 077"/>
    <x v="3"/>
    <s v="Haryana"/>
    <x v="2"/>
    <s v="Audio"/>
    <x v="5"/>
    <n v="4"/>
    <n v="2200"/>
    <x v="4"/>
    <n v="8360"/>
    <n v="5800"/>
    <n v="2560"/>
  </r>
  <r>
    <s v="ORD13760"/>
    <x v="3085"/>
    <s v="CUST1281"/>
    <s v="Customer 281"/>
    <x v="1"/>
    <s v="Andhra Pradesh"/>
    <x v="0"/>
    <s v="Paper"/>
    <x v="3"/>
    <n v="3"/>
    <n v="520"/>
    <x v="3"/>
    <n v="1326"/>
    <n v="990"/>
    <n v="336"/>
  </r>
  <r>
    <s v="ORD11128"/>
    <x v="3086"/>
    <s v="CUST1319"/>
    <s v="Customer 319"/>
    <x v="1"/>
    <s v="Andhra Pradesh"/>
    <x v="0"/>
    <s v="Stationery"/>
    <x v="18"/>
    <n v="3"/>
    <n v="300"/>
    <x v="4"/>
    <n v="855"/>
    <n v="510"/>
    <n v="345"/>
  </r>
  <r>
    <s v="ORD12723"/>
    <x v="3087"/>
    <s v="CUST1057"/>
    <s v="Customer 057"/>
    <x v="1"/>
    <s v="Telangana"/>
    <x v="2"/>
    <s v="Accessories"/>
    <x v="8"/>
    <n v="1"/>
    <n v="1800"/>
    <x v="4"/>
    <n v="1710"/>
    <n v="1100"/>
    <n v="610"/>
  </r>
  <r>
    <s v="ORD10075"/>
    <x v="3088"/>
    <s v="CUST1344"/>
    <s v="Customer 344"/>
    <x v="1"/>
    <s v="Tamil Nadu"/>
    <x v="1"/>
    <s v="Kitchen"/>
    <x v="2"/>
    <n v="2"/>
    <n v="4200"/>
    <x v="0"/>
    <n v="7560"/>
    <n v="5800"/>
    <n v="1760"/>
  </r>
  <r>
    <s v="ORD13580"/>
    <x v="3089"/>
    <s v="CUST1039"/>
    <s v="Customer 039"/>
    <x v="3"/>
    <s v="Delhi"/>
    <x v="3"/>
    <s v="Storage"/>
    <x v="14"/>
    <n v="1"/>
    <n v="4800"/>
    <x v="2"/>
    <n v="4800"/>
    <n v="3300"/>
    <n v="1500"/>
  </r>
  <r>
    <s v="ORD13296"/>
    <x v="3090"/>
    <s v="CUST1399"/>
    <s v="Customer 399"/>
    <x v="2"/>
    <s v="Gujarat"/>
    <x v="1"/>
    <s v="Appliances"/>
    <x v="7"/>
    <n v="2"/>
    <n v="2400"/>
    <x v="3"/>
    <n v="4080"/>
    <n v="3300"/>
    <n v="780"/>
  </r>
  <r>
    <s v="ORD11480"/>
    <x v="3091"/>
    <s v="CUST1209"/>
    <s v="Customer 209"/>
    <x v="2"/>
    <s v="Gujarat"/>
    <x v="0"/>
    <s v="Accessories"/>
    <x v="0"/>
    <n v="5"/>
    <n v="650"/>
    <x v="0"/>
    <n v="2925"/>
    <n v="1950"/>
    <n v="975"/>
  </r>
  <r>
    <s v="ORD10026"/>
    <x v="3092"/>
    <s v="CUST1322"/>
    <s v="Customer 322"/>
    <x v="1"/>
    <s v="Tamil Nadu"/>
    <x v="3"/>
    <s v="Storage"/>
    <x v="6"/>
    <n v="4"/>
    <n v="5600"/>
    <x v="5"/>
    <n v="17920"/>
    <n v="15600"/>
    <n v="2320"/>
  </r>
  <r>
    <s v="ORD12262"/>
    <x v="3093"/>
    <s v="CUST1500"/>
    <s v="Customer 500"/>
    <x v="0"/>
    <s v="Odisha"/>
    <x v="1"/>
    <s v="Kitchen"/>
    <x v="4"/>
    <n v="5"/>
    <n v="6800"/>
    <x v="2"/>
    <n v="34000"/>
    <n v="23500"/>
    <n v="10500"/>
  </r>
  <r>
    <s v="ORD13504"/>
    <x v="3094"/>
    <s v="CUST1101"/>
    <s v="Customer 101"/>
    <x v="2"/>
    <s v="Gujarat"/>
    <x v="0"/>
    <s v="Stationery"/>
    <x v="10"/>
    <n v="2"/>
    <n v="280"/>
    <x v="3"/>
    <n v="476"/>
    <n v="320"/>
    <n v="156"/>
  </r>
  <r>
    <s v="ORD10962"/>
    <x v="3095"/>
    <s v="CUST1205"/>
    <s v="Customer 205"/>
    <x v="0"/>
    <s v="Jharkhand"/>
    <x v="3"/>
    <s v="Storage"/>
    <x v="6"/>
    <n v="5"/>
    <n v="5600"/>
    <x v="4"/>
    <n v="26600"/>
    <n v="19500"/>
    <n v="7100"/>
  </r>
  <r>
    <s v="ORD10813"/>
    <x v="3096"/>
    <s v="CUST1343"/>
    <s v="Customer 343"/>
    <x v="3"/>
    <s v="Haryana"/>
    <x v="0"/>
    <s v="Stationery"/>
    <x v="10"/>
    <n v="3"/>
    <n v="280"/>
    <x v="5"/>
    <n v="672"/>
    <n v="480"/>
    <n v="192"/>
  </r>
  <r>
    <s v="ORD12631"/>
    <x v="3097"/>
    <s v="CUST1468"/>
    <s v="Customer 468"/>
    <x v="1"/>
    <s v="Kerala"/>
    <x v="2"/>
    <s v="Accessories"/>
    <x v="9"/>
    <n v="2"/>
    <n v="850"/>
    <x v="4"/>
    <n v="1615"/>
    <n v="1120"/>
    <n v="495"/>
  </r>
  <r>
    <s v="ORD12028"/>
    <x v="3098"/>
    <s v="CUST1476"/>
    <s v="Customer 476"/>
    <x v="2"/>
    <s v="Goa"/>
    <x v="2"/>
    <s v="Accessories"/>
    <x v="13"/>
    <n v="4"/>
    <n v="1400"/>
    <x v="4"/>
    <n v="5320"/>
    <n v="3600"/>
    <n v="1720"/>
  </r>
  <r>
    <s v="ORD12623"/>
    <x v="3099"/>
    <s v="CUST1052"/>
    <s v="Customer 052"/>
    <x v="2"/>
    <s v="Goa"/>
    <x v="1"/>
    <s v="Kitchen"/>
    <x v="2"/>
    <n v="5"/>
    <n v="4200"/>
    <x v="3"/>
    <n v="17850"/>
    <n v="14500"/>
    <n v="3350"/>
  </r>
  <r>
    <s v="ORD13193"/>
    <x v="3100"/>
    <s v="CUST1336"/>
    <s v="Customer 336"/>
    <x v="1"/>
    <s v="Telangana"/>
    <x v="0"/>
    <s v="Stationery"/>
    <x v="18"/>
    <n v="5"/>
    <n v="300"/>
    <x v="4"/>
    <n v="1425"/>
    <n v="850"/>
    <n v="575"/>
  </r>
  <r>
    <s v="ORD11887"/>
    <x v="3101"/>
    <s v="CUST1326"/>
    <s v="Customer 326"/>
    <x v="0"/>
    <s v="Odisha"/>
    <x v="0"/>
    <s v="Stationery"/>
    <x v="15"/>
    <n v="2"/>
    <n v="450"/>
    <x v="4"/>
    <n v="855"/>
    <n v="520"/>
    <n v="335"/>
  </r>
  <r>
    <s v="ORD11364"/>
    <x v="3102"/>
    <s v="CUST1101"/>
    <s v="Customer 101"/>
    <x v="2"/>
    <s v="Rajasthan"/>
    <x v="3"/>
    <s v="Tables"/>
    <x v="16"/>
    <n v="4"/>
    <n v="6200"/>
    <x v="4"/>
    <n v="23560"/>
    <n v="17200"/>
    <n v="6360"/>
  </r>
  <r>
    <s v="ORD10097"/>
    <x v="3103"/>
    <s v="CUST1120"/>
    <s v="Customer 120"/>
    <x v="1"/>
    <s v="Karnataka"/>
    <x v="2"/>
    <s v="Audio"/>
    <x v="17"/>
    <n v="1"/>
    <n v="2800"/>
    <x v="4"/>
    <n v="2660"/>
    <n v="1800"/>
    <n v="860"/>
  </r>
  <r>
    <s v="ORD12637"/>
    <x v="3104"/>
    <s v="CUST1168"/>
    <s v="Customer 168"/>
    <x v="1"/>
    <s v="Tamil Nadu"/>
    <x v="1"/>
    <s v="Kitchen"/>
    <x v="2"/>
    <n v="5"/>
    <n v="4200"/>
    <x v="4"/>
    <n v="19950"/>
    <n v="14500"/>
    <n v="5450"/>
  </r>
  <r>
    <s v="ORD13388"/>
    <x v="3105"/>
    <s v="CUST1369"/>
    <s v="Customer 369"/>
    <x v="1"/>
    <s v="Karnataka"/>
    <x v="0"/>
    <s v="Paper"/>
    <x v="3"/>
    <n v="3"/>
    <n v="520"/>
    <x v="3"/>
    <n v="1326"/>
    <n v="990"/>
    <n v="336"/>
  </r>
  <r>
    <s v="ORD11221"/>
    <x v="3106"/>
    <s v="CUST1325"/>
    <s v="Customer 325"/>
    <x v="1"/>
    <s v="Kerala"/>
    <x v="1"/>
    <s v="Kitchen"/>
    <x v="4"/>
    <n v="3"/>
    <n v="6800"/>
    <x v="4"/>
    <n v="19380"/>
    <n v="14100"/>
    <n v="5280"/>
  </r>
  <r>
    <s v="ORD11107"/>
    <x v="3107"/>
    <s v="CUST1123"/>
    <s v="Customer 123"/>
    <x v="1"/>
    <s v="Andhra Pradesh"/>
    <x v="2"/>
    <s v="Audio"/>
    <x v="17"/>
    <n v="3"/>
    <n v="2800"/>
    <x v="3"/>
    <n v="7140"/>
    <n v="5400"/>
    <n v="1740"/>
  </r>
  <r>
    <s v="ORD11170"/>
    <x v="3108"/>
    <s v="CUST1459"/>
    <s v="Customer 459"/>
    <x v="2"/>
    <s v="Gujarat"/>
    <x v="2"/>
    <s v="Audio"/>
    <x v="17"/>
    <n v="5"/>
    <n v="2800"/>
    <x v="0"/>
    <n v="12600"/>
    <n v="9000"/>
    <n v="3600"/>
  </r>
  <r>
    <s v="ORD11549"/>
    <x v="3109"/>
    <s v="CUST1247"/>
    <s v="Customer 247"/>
    <x v="1"/>
    <s v="Tamil Nadu"/>
    <x v="3"/>
    <s v="Tables"/>
    <x v="16"/>
    <n v="2"/>
    <n v="6200"/>
    <x v="0"/>
    <n v="11160"/>
    <n v="8600"/>
    <n v="2560"/>
  </r>
  <r>
    <s v="ORD12860"/>
    <x v="3110"/>
    <s v="CUST1224"/>
    <s v="Customer 224"/>
    <x v="1"/>
    <s v="Andhra Pradesh"/>
    <x v="3"/>
    <s v="Storage"/>
    <x v="6"/>
    <n v="2"/>
    <n v="5600"/>
    <x v="2"/>
    <n v="11200"/>
    <n v="7800"/>
    <n v="3400"/>
  </r>
  <r>
    <s v="ORD12223"/>
    <x v="3111"/>
    <s v="CUST1014"/>
    <s v="Customer 014"/>
    <x v="1"/>
    <s v="Kerala"/>
    <x v="0"/>
    <s v="Paper"/>
    <x v="3"/>
    <n v="2"/>
    <n v="520"/>
    <x v="0"/>
    <n v="936"/>
    <n v="660"/>
    <n v="276"/>
  </r>
  <r>
    <s v="ORD11326"/>
    <x v="3112"/>
    <s v="CUST1094"/>
    <s v="Customer 094"/>
    <x v="3"/>
    <s v="Delhi"/>
    <x v="3"/>
    <s v="Storage"/>
    <x v="14"/>
    <n v="2"/>
    <n v="4800"/>
    <x v="2"/>
    <n v="9600"/>
    <n v="6600"/>
    <n v="3000"/>
  </r>
  <r>
    <s v="ORD11081"/>
    <x v="3113"/>
    <s v="CUST1461"/>
    <s v="Customer 461"/>
    <x v="1"/>
    <s v="Karnataka"/>
    <x v="3"/>
    <s v="Chairs"/>
    <x v="12"/>
    <n v="5"/>
    <n v="7500"/>
    <x v="0"/>
    <n v="33750"/>
    <n v="26000"/>
    <n v="7750"/>
  </r>
  <r>
    <s v="ORD11593"/>
    <x v="3114"/>
    <s v="CUST1192"/>
    <s v="Customer 192"/>
    <x v="3"/>
    <s v="Haryana"/>
    <x v="1"/>
    <s v="Kitchen"/>
    <x v="4"/>
    <n v="3"/>
    <n v="6800"/>
    <x v="4"/>
    <n v="19380"/>
    <n v="14100"/>
    <n v="5280"/>
  </r>
  <r>
    <s v="ORD13235"/>
    <x v="3115"/>
    <s v="CUST1286"/>
    <s v="Customer 286"/>
    <x v="3"/>
    <s v="Haryana"/>
    <x v="0"/>
    <s v="Stationery"/>
    <x v="10"/>
    <n v="3"/>
    <n v="280"/>
    <x v="0"/>
    <n v="756"/>
    <n v="480"/>
    <n v="276"/>
  </r>
  <r>
    <s v="ORD10101"/>
    <x v="3116"/>
    <s v="CUST1417"/>
    <s v="Customer 417"/>
    <x v="3"/>
    <s v="Haryana"/>
    <x v="2"/>
    <s v="Audio"/>
    <x v="5"/>
    <n v="2"/>
    <n v="2200"/>
    <x v="0"/>
    <n v="3960"/>
    <n v="2900"/>
    <n v="1060"/>
  </r>
  <r>
    <s v="ORD11082"/>
    <x v="3117"/>
    <s v="CUST1495"/>
    <s v="Customer 495"/>
    <x v="1"/>
    <s v="Andhra Pradesh"/>
    <x v="3"/>
    <s v="Tables"/>
    <x v="16"/>
    <n v="5"/>
    <n v="6200"/>
    <x v="4"/>
    <n v="29450"/>
    <n v="21500"/>
    <n v="7950"/>
  </r>
  <r>
    <s v="ORD12366"/>
    <x v="3118"/>
    <s v="CUST1043"/>
    <s v="Customer 043"/>
    <x v="1"/>
    <s v="Telangana"/>
    <x v="2"/>
    <s v="Accessories"/>
    <x v="9"/>
    <n v="5"/>
    <n v="850"/>
    <x v="5"/>
    <n v="3400"/>
    <n v="2800"/>
    <n v="600"/>
  </r>
  <r>
    <s v="ORD10384"/>
    <x v="3119"/>
    <s v="CUST1121"/>
    <s v="Customer 121"/>
    <x v="1"/>
    <s v="Tamil Nadu"/>
    <x v="2"/>
    <s v="Accessories"/>
    <x v="9"/>
    <n v="1"/>
    <n v="850"/>
    <x v="3"/>
    <n v="722.5"/>
    <n v="560"/>
    <n v="162.5"/>
  </r>
  <r>
    <s v="ORD10288"/>
    <x v="3120"/>
    <s v="CUST1286"/>
    <s v="Customer 286"/>
    <x v="3"/>
    <s v="Haryana"/>
    <x v="1"/>
    <s v="Kitchen"/>
    <x v="1"/>
    <n v="5"/>
    <n v="1900"/>
    <x v="5"/>
    <n v="7600"/>
    <n v="6250"/>
    <n v="1350"/>
  </r>
  <r>
    <s v="ORD12862"/>
    <x v="3121"/>
    <s v="CUST1466"/>
    <s v="Customer 466"/>
    <x v="0"/>
    <s v="Jharkhand"/>
    <x v="0"/>
    <s v="Stationery"/>
    <x v="18"/>
    <n v="1"/>
    <n v="300"/>
    <x v="3"/>
    <n v="255"/>
    <n v="170"/>
    <n v="85"/>
  </r>
  <r>
    <s v="ORD12021"/>
    <x v="3122"/>
    <s v="CUST1152"/>
    <s v="Customer 152"/>
    <x v="1"/>
    <s v="Kerala"/>
    <x v="2"/>
    <s v="Monitors"/>
    <x v="11"/>
    <n v="2"/>
    <n v="10500"/>
    <x v="5"/>
    <n v="16800"/>
    <n v="15200"/>
    <n v="1600"/>
  </r>
  <r>
    <s v="ORD10901"/>
    <x v="3123"/>
    <s v="CUST1003"/>
    <s v="Customer 003"/>
    <x v="1"/>
    <s v="Tamil Nadu"/>
    <x v="2"/>
    <s v="Audio"/>
    <x v="5"/>
    <n v="2"/>
    <n v="2200"/>
    <x v="3"/>
    <n v="3740"/>
    <n v="2900"/>
    <n v="840"/>
  </r>
  <r>
    <s v="ORD10280"/>
    <x v="3124"/>
    <s v="CUST1042"/>
    <s v="Customer 042"/>
    <x v="2"/>
    <s v="Gujarat"/>
    <x v="2"/>
    <s v="Monitors"/>
    <x v="11"/>
    <n v="5"/>
    <n v="10500"/>
    <x v="4"/>
    <n v="49875"/>
    <n v="38000"/>
    <n v="11875"/>
  </r>
  <r>
    <s v="ORD11213"/>
    <x v="3125"/>
    <s v="CUST1231"/>
    <s v="Customer 231"/>
    <x v="3"/>
    <s v="Haryana"/>
    <x v="2"/>
    <s v="Audio"/>
    <x v="17"/>
    <n v="1"/>
    <n v="2800"/>
    <x v="1"/>
    <n v="2100"/>
    <n v="1800"/>
    <n v="300"/>
  </r>
  <r>
    <s v="ORD10833"/>
    <x v="3126"/>
    <s v="CUST1227"/>
    <s v="Customer 227"/>
    <x v="2"/>
    <s v="Maharashtra"/>
    <x v="2"/>
    <s v="Audio"/>
    <x v="17"/>
    <n v="3"/>
    <n v="2800"/>
    <x v="3"/>
    <n v="7140"/>
    <n v="5400"/>
    <n v="1740"/>
  </r>
  <r>
    <s v="ORD12711"/>
    <x v="3127"/>
    <s v="CUST1034"/>
    <s v="Customer 034"/>
    <x v="3"/>
    <s v="Uttar Pradesh"/>
    <x v="1"/>
    <s v="Kitchen"/>
    <x v="1"/>
    <n v="4"/>
    <n v="1900"/>
    <x v="5"/>
    <n v="6080"/>
    <n v="5000"/>
    <n v="1080"/>
  </r>
  <r>
    <s v="ORD10194"/>
    <x v="3128"/>
    <s v="CUST1181"/>
    <s v="Customer 181"/>
    <x v="1"/>
    <s v="Tamil Nadu"/>
    <x v="1"/>
    <s v="Kitchen"/>
    <x v="2"/>
    <n v="2"/>
    <n v="4200"/>
    <x v="0"/>
    <n v="7560"/>
    <n v="5800"/>
    <n v="1760"/>
  </r>
  <r>
    <s v="ORD12311"/>
    <x v="3129"/>
    <s v="CUST1141"/>
    <s v="Customer 141"/>
    <x v="2"/>
    <s v="Maharashtra"/>
    <x v="2"/>
    <s v="Audio"/>
    <x v="5"/>
    <n v="1"/>
    <n v="2200"/>
    <x v="2"/>
    <n v="2200"/>
    <n v="1450"/>
    <n v="750"/>
  </r>
  <r>
    <s v="ORD10902"/>
    <x v="3130"/>
    <s v="CUST1022"/>
    <s v="Customer 022"/>
    <x v="0"/>
    <s v="Odisha"/>
    <x v="1"/>
    <s v="Kitchen"/>
    <x v="2"/>
    <n v="4"/>
    <n v="4200"/>
    <x v="4"/>
    <n v="15960"/>
    <n v="11600"/>
    <n v="4360"/>
  </r>
  <r>
    <s v="ORD10422"/>
    <x v="3131"/>
    <s v="CUST1348"/>
    <s v="Customer 348"/>
    <x v="1"/>
    <s v="Tamil Nadu"/>
    <x v="1"/>
    <s v="Appliances"/>
    <x v="7"/>
    <n v="4"/>
    <n v="2400"/>
    <x v="2"/>
    <n v="9600"/>
    <n v="6600"/>
    <n v="3000"/>
  </r>
  <r>
    <s v="ORD12556"/>
    <x v="3132"/>
    <s v="CUST1052"/>
    <s v="Customer 052"/>
    <x v="3"/>
    <s v="Haryana"/>
    <x v="1"/>
    <s v="Appliances"/>
    <x v="7"/>
    <n v="2"/>
    <n v="2400"/>
    <x v="3"/>
    <n v="4080"/>
    <n v="3300"/>
    <n v="780"/>
  </r>
  <r>
    <s v="ORD13101"/>
    <x v="3133"/>
    <s v="CUST1183"/>
    <s v="Customer 183"/>
    <x v="2"/>
    <s v="Gujarat"/>
    <x v="1"/>
    <s v="Appliances"/>
    <x v="7"/>
    <n v="2"/>
    <n v="2400"/>
    <x v="2"/>
    <n v="4800"/>
    <n v="3300"/>
    <n v="1500"/>
  </r>
  <r>
    <s v="ORD10030"/>
    <x v="3134"/>
    <s v="CUST1222"/>
    <s v="Customer 222"/>
    <x v="2"/>
    <s v="Maharashtra"/>
    <x v="0"/>
    <s v="Paper"/>
    <x v="3"/>
    <n v="3"/>
    <n v="520"/>
    <x v="3"/>
    <n v="1326"/>
    <n v="990"/>
    <n v="336"/>
  </r>
  <r>
    <s v="ORD12266"/>
    <x v="3135"/>
    <s v="CUST1048"/>
    <s v="Customer 048"/>
    <x v="2"/>
    <s v="Maharashtra"/>
    <x v="3"/>
    <s v="Tables"/>
    <x v="16"/>
    <n v="5"/>
    <n v="6200"/>
    <x v="1"/>
    <n v="23250"/>
    <n v="21500"/>
    <n v="1750"/>
  </r>
  <r>
    <s v="ORD12188"/>
    <x v="3136"/>
    <s v="CUST1129"/>
    <s v="Customer 129"/>
    <x v="1"/>
    <s v="Telangana"/>
    <x v="3"/>
    <s v="Storage"/>
    <x v="6"/>
    <n v="1"/>
    <n v="5600"/>
    <x v="0"/>
    <n v="5040"/>
    <n v="3900"/>
    <n v="1140"/>
  </r>
  <r>
    <s v="ORD12385"/>
    <x v="3137"/>
    <s v="CUST1092"/>
    <s v="Customer 092"/>
    <x v="3"/>
    <s v="Haryana"/>
    <x v="0"/>
    <s v="Accessories"/>
    <x v="0"/>
    <n v="5"/>
    <n v="650"/>
    <x v="0"/>
    <n v="2925"/>
    <n v="1950"/>
    <n v="975"/>
  </r>
  <r>
    <s v="ORD11617"/>
    <x v="3138"/>
    <s v="CUST1398"/>
    <s v="Customer 398"/>
    <x v="1"/>
    <s v="Telangana"/>
    <x v="2"/>
    <s v="Audio"/>
    <x v="17"/>
    <n v="3"/>
    <n v="2800"/>
    <x v="5"/>
    <n v="6720"/>
    <n v="5400"/>
    <n v="1320"/>
  </r>
  <r>
    <s v="ORD13012"/>
    <x v="3139"/>
    <s v="CUST1253"/>
    <s v="Customer 253"/>
    <x v="2"/>
    <s v="Goa"/>
    <x v="1"/>
    <s v="Kitchen"/>
    <x v="4"/>
    <n v="4"/>
    <n v="6800"/>
    <x v="5"/>
    <n v="21760"/>
    <n v="18800"/>
    <n v="2960"/>
  </r>
  <r>
    <s v="ORD10466"/>
    <x v="3140"/>
    <s v="CUST1484"/>
    <s v="Customer 484"/>
    <x v="3"/>
    <s v="Uttar Pradesh"/>
    <x v="3"/>
    <s v="Chairs"/>
    <x v="12"/>
    <n v="1"/>
    <n v="7500"/>
    <x v="0"/>
    <n v="6750"/>
    <n v="5200"/>
    <n v="1550"/>
  </r>
  <r>
    <s v="ORD10979"/>
    <x v="3141"/>
    <s v="CUST1176"/>
    <s v="Customer 176"/>
    <x v="3"/>
    <s v="Punjab"/>
    <x v="0"/>
    <s v="Stationery"/>
    <x v="18"/>
    <n v="3"/>
    <n v="300"/>
    <x v="2"/>
    <n v="900"/>
    <n v="510"/>
    <n v="390"/>
  </r>
  <r>
    <s v="ORD11890"/>
    <x v="3142"/>
    <s v="CUST1225"/>
    <s v="Customer 225"/>
    <x v="1"/>
    <s v="Karnataka"/>
    <x v="1"/>
    <s v="Kitchen"/>
    <x v="4"/>
    <n v="5"/>
    <n v="6800"/>
    <x v="2"/>
    <n v="34000"/>
    <n v="23500"/>
    <n v="10500"/>
  </r>
  <r>
    <s v="ORD10613"/>
    <x v="3143"/>
    <s v="CUST1393"/>
    <s v="Customer 393"/>
    <x v="2"/>
    <s v="Maharashtra"/>
    <x v="0"/>
    <s v="Stationery"/>
    <x v="18"/>
    <n v="1"/>
    <n v="300"/>
    <x v="0"/>
    <n v="270"/>
    <n v="170"/>
    <n v="100"/>
  </r>
  <r>
    <s v="ORD12826"/>
    <x v="3144"/>
    <s v="CUST1422"/>
    <s v="Customer 422"/>
    <x v="1"/>
    <s v="Tamil Nadu"/>
    <x v="0"/>
    <s v="Accessories"/>
    <x v="0"/>
    <n v="1"/>
    <n v="650"/>
    <x v="4"/>
    <n v="617.5"/>
    <n v="390"/>
    <n v="227.5"/>
  </r>
  <r>
    <s v="ORD13665"/>
    <x v="3145"/>
    <s v="CUST1257"/>
    <s v="Customer 257"/>
    <x v="1"/>
    <s v="Karnataka"/>
    <x v="0"/>
    <s v="Stationery"/>
    <x v="18"/>
    <n v="2"/>
    <n v="300"/>
    <x v="4"/>
    <n v="570"/>
    <n v="340"/>
    <n v="230"/>
  </r>
  <r>
    <s v="ORD12312"/>
    <x v="3146"/>
    <s v="CUST1034"/>
    <s v="Customer 034"/>
    <x v="3"/>
    <s v="Haryana"/>
    <x v="3"/>
    <s v="Storage"/>
    <x v="6"/>
    <n v="3"/>
    <n v="5600"/>
    <x v="4"/>
    <n v="15960"/>
    <n v="11700"/>
    <n v="4260"/>
  </r>
  <r>
    <s v="ORD13056"/>
    <x v="3147"/>
    <s v="CUST1240"/>
    <s v="Customer 240"/>
    <x v="1"/>
    <s v="Telangana"/>
    <x v="0"/>
    <s v="Stationery"/>
    <x v="15"/>
    <n v="5"/>
    <n v="450"/>
    <x v="0"/>
    <n v="2025"/>
    <n v="1300"/>
    <n v="725"/>
  </r>
  <r>
    <s v="ORD12161"/>
    <x v="3148"/>
    <s v="CUST1405"/>
    <s v="Customer 405"/>
    <x v="2"/>
    <s v="Rajasthan"/>
    <x v="2"/>
    <s v="Accessories"/>
    <x v="8"/>
    <n v="1"/>
    <n v="1800"/>
    <x v="0"/>
    <n v="1620"/>
    <n v="1100"/>
    <n v="520"/>
  </r>
  <r>
    <s v="ORD12851"/>
    <x v="3149"/>
    <s v="CUST1098"/>
    <s v="Customer 098"/>
    <x v="1"/>
    <s v="Kerala"/>
    <x v="3"/>
    <s v="Chairs"/>
    <x v="12"/>
    <n v="1"/>
    <n v="7500"/>
    <x v="0"/>
    <n v="6750"/>
    <n v="5200"/>
    <n v="1550"/>
  </r>
  <r>
    <s v="ORD13180"/>
    <x v="3150"/>
    <s v="CUST1085"/>
    <s v="Customer 085"/>
    <x v="2"/>
    <s v="Gujarat"/>
    <x v="0"/>
    <s v="Stationery"/>
    <x v="10"/>
    <n v="1"/>
    <n v="280"/>
    <x v="3"/>
    <n v="238"/>
    <n v="160"/>
    <n v="78"/>
  </r>
  <r>
    <s v="ORD10952"/>
    <x v="3151"/>
    <s v="CUST1153"/>
    <s v="Customer 153"/>
    <x v="3"/>
    <s v="Delhi"/>
    <x v="3"/>
    <s v="Storage"/>
    <x v="14"/>
    <n v="4"/>
    <n v="4800"/>
    <x v="0"/>
    <n v="17280"/>
    <n v="13200"/>
    <n v="4080"/>
  </r>
  <r>
    <s v="ORD12321"/>
    <x v="3152"/>
    <s v="CUST1050"/>
    <s v="Customer 050"/>
    <x v="3"/>
    <s v="Uttar Pradesh"/>
    <x v="0"/>
    <s v="Stationery"/>
    <x v="15"/>
    <n v="4"/>
    <n v="450"/>
    <x v="4"/>
    <n v="1710"/>
    <n v="1040"/>
    <n v="670"/>
  </r>
  <r>
    <s v="ORD12033"/>
    <x v="3153"/>
    <s v="CUST1046"/>
    <s v="Customer 046"/>
    <x v="2"/>
    <s v="Goa"/>
    <x v="0"/>
    <s v="Stationery"/>
    <x v="18"/>
    <n v="4"/>
    <n v="300"/>
    <x v="3"/>
    <n v="1020"/>
    <n v="680"/>
    <n v="340"/>
  </r>
  <r>
    <s v="ORD13639"/>
    <x v="3154"/>
    <s v="CUST1042"/>
    <s v="Customer 042"/>
    <x v="1"/>
    <s v="Telangana"/>
    <x v="1"/>
    <s v="Kitchen"/>
    <x v="1"/>
    <n v="4"/>
    <n v="1900"/>
    <x v="5"/>
    <n v="6080"/>
    <n v="5000"/>
    <n v="1080"/>
  </r>
  <r>
    <s v="ORD13547"/>
    <x v="3155"/>
    <s v="CUST1205"/>
    <s v="Customer 205"/>
    <x v="0"/>
    <s v="Bihar"/>
    <x v="0"/>
    <s v="Stationery"/>
    <x v="18"/>
    <n v="5"/>
    <n v="300"/>
    <x v="1"/>
    <n v="1125"/>
    <n v="850"/>
    <n v="275"/>
  </r>
  <r>
    <s v="ORD12248"/>
    <x v="3156"/>
    <s v="CUST1089"/>
    <s v="Customer 089"/>
    <x v="1"/>
    <s v="Andhra Pradesh"/>
    <x v="3"/>
    <s v="Storage"/>
    <x v="6"/>
    <n v="5"/>
    <n v="5600"/>
    <x v="0"/>
    <n v="25200"/>
    <n v="19500"/>
    <n v="5700"/>
  </r>
  <r>
    <s v="ORD13472"/>
    <x v="3157"/>
    <s v="CUST1374"/>
    <s v="Customer 374"/>
    <x v="1"/>
    <s v="Karnataka"/>
    <x v="3"/>
    <s v="Storage"/>
    <x v="6"/>
    <n v="5"/>
    <n v="5600"/>
    <x v="3"/>
    <n v="23800"/>
    <n v="19500"/>
    <n v="4300"/>
  </r>
  <r>
    <s v="ORD12081"/>
    <x v="3158"/>
    <s v="CUST1414"/>
    <s v="Customer 414"/>
    <x v="1"/>
    <s v="Tamil Nadu"/>
    <x v="3"/>
    <s v="Tables"/>
    <x v="16"/>
    <n v="3"/>
    <n v="6200"/>
    <x v="3"/>
    <n v="15810"/>
    <n v="12900"/>
    <n v="2910"/>
  </r>
  <r>
    <s v="ORD11938"/>
    <x v="3159"/>
    <s v="CUST1278"/>
    <s v="Customer 278"/>
    <x v="2"/>
    <s v="Goa"/>
    <x v="2"/>
    <s v="Accessories"/>
    <x v="9"/>
    <n v="1"/>
    <n v="850"/>
    <x v="2"/>
    <n v="850"/>
    <n v="560"/>
    <n v="290"/>
  </r>
  <r>
    <s v="ORD12080"/>
    <x v="3160"/>
    <s v="CUST1063"/>
    <s v="Customer 063"/>
    <x v="2"/>
    <s v="Rajasthan"/>
    <x v="0"/>
    <s v="Stationery"/>
    <x v="18"/>
    <n v="4"/>
    <n v="300"/>
    <x v="2"/>
    <n v="1200"/>
    <n v="680"/>
    <n v="520"/>
  </r>
  <r>
    <s v="ORD13662"/>
    <x v="3161"/>
    <s v="CUST1235"/>
    <s v="Customer 235"/>
    <x v="1"/>
    <s v="Andhra Pradesh"/>
    <x v="3"/>
    <s v="Chairs"/>
    <x v="12"/>
    <n v="4"/>
    <n v="7500"/>
    <x v="1"/>
    <n v="22500"/>
    <n v="20800"/>
    <n v="1700"/>
  </r>
  <r>
    <s v="ORD10311"/>
    <x v="3162"/>
    <s v="CUST1333"/>
    <s v="Customer 333"/>
    <x v="0"/>
    <s v="West Bengal"/>
    <x v="1"/>
    <s v="Kitchen"/>
    <x v="4"/>
    <n v="1"/>
    <n v="6800"/>
    <x v="4"/>
    <n v="6460"/>
    <n v="4700"/>
    <n v="1760"/>
  </r>
  <r>
    <s v="ORD13332"/>
    <x v="3163"/>
    <s v="CUST1426"/>
    <s v="Customer 426"/>
    <x v="3"/>
    <s v="Punjab"/>
    <x v="1"/>
    <s v="Kitchen"/>
    <x v="2"/>
    <n v="2"/>
    <n v="4200"/>
    <x v="2"/>
    <n v="8400"/>
    <n v="5800"/>
    <n v="2600"/>
  </r>
  <r>
    <s v="ORD10511"/>
    <x v="3164"/>
    <s v="CUST1498"/>
    <s v="Customer 498"/>
    <x v="2"/>
    <s v="Goa"/>
    <x v="2"/>
    <s v="Audio"/>
    <x v="5"/>
    <n v="3"/>
    <n v="2200"/>
    <x v="0"/>
    <n v="5940"/>
    <n v="4350"/>
    <n v="1590"/>
  </r>
  <r>
    <s v="ORD11413"/>
    <x v="3165"/>
    <s v="CUST1126"/>
    <s v="Customer 126"/>
    <x v="2"/>
    <s v="Gujarat"/>
    <x v="2"/>
    <s v="Accessories"/>
    <x v="9"/>
    <n v="2"/>
    <n v="850"/>
    <x v="0"/>
    <n v="1530"/>
    <n v="1120"/>
    <n v="410"/>
  </r>
  <r>
    <s v="ORD10544"/>
    <x v="3166"/>
    <s v="CUST1088"/>
    <s v="Customer 088"/>
    <x v="1"/>
    <s v="Karnataka"/>
    <x v="1"/>
    <s v="Kitchen"/>
    <x v="1"/>
    <n v="5"/>
    <n v="1900"/>
    <x v="0"/>
    <n v="8550"/>
    <n v="6250"/>
    <n v="2300"/>
  </r>
  <r>
    <s v="ORD13170"/>
    <x v="3167"/>
    <s v="CUST1304"/>
    <s v="Customer 304"/>
    <x v="1"/>
    <s v="Kerala"/>
    <x v="0"/>
    <s v="Stationery"/>
    <x v="10"/>
    <n v="1"/>
    <n v="280"/>
    <x v="0"/>
    <n v="252"/>
    <n v="160"/>
    <n v="92"/>
  </r>
  <r>
    <s v="ORD13368"/>
    <x v="3168"/>
    <s v="CUST1144"/>
    <s v="Customer 144"/>
    <x v="3"/>
    <s v="Uttar Pradesh"/>
    <x v="0"/>
    <s v="Accessories"/>
    <x v="0"/>
    <n v="5"/>
    <n v="650"/>
    <x v="4"/>
    <n v="3087.5"/>
    <n v="1950"/>
    <n v="1137.5"/>
  </r>
  <r>
    <s v="ORD10851"/>
    <x v="3169"/>
    <s v="CUST1491"/>
    <s v="Customer 491"/>
    <x v="1"/>
    <s v="Andhra Pradesh"/>
    <x v="3"/>
    <s v="Storage"/>
    <x v="6"/>
    <n v="3"/>
    <n v="5600"/>
    <x v="4"/>
    <n v="15960"/>
    <n v="11700"/>
    <n v="4260"/>
  </r>
  <r>
    <s v="ORD11048"/>
    <x v="3170"/>
    <s v="CUST1301"/>
    <s v="Customer 301"/>
    <x v="2"/>
    <s v="Maharashtra"/>
    <x v="3"/>
    <s v="Chairs"/>
    <x v="12"/>
    <n v="1"/>
    <n v="7500"/>
    <x v="4"/>
    <n v="7125"/>
    <n v="5200"/>
    <n v="1925"/>
  </r>
  <r>
    <s v="ORD13932"/>
    <x v="3171"/>
    <s v="CUST1038"/>
    <s v="Customer 038"/>
    <x v="1"/>
    <s v="Andhra Pradesh"/>
    <x v="0"/>
    <s v="Stationery"/>
    <x v="18"/>
    <n v="4"/>
    <n v="300"/>
    <x v="0"/>
    <n v="1080"/>
    <n v="680"/>
    <n v="400"/>
  </r>
  <r>
    <s v="ORD12956"/>
    <x v="3172"/>
    <s v="CUST1498"/>
    <s v="Customer 498"/>
    <x v="1"/>
    <s v="Karnataka"/>
    <x v="1"/>
    <s v="Kitchen"/>
    <x v="4"/>
    <n v="4"/>
    <n v="6800"/>
    <x v="5"/>
    <n v="21760"/>
    <n v="18800"/>
    <n v="2960"/>
  </r>
  <r>
    <s v="ORD12484"/>
    <x v="3173"/>
    <s v="CUST1161"/>
    <s v="Customer 161"/>
    <x v="1"/>
    <s v="Karnataka"/>
    <x v="0"/>
    <s v="Paper"/>
    <x v="3"/>
    <n v="4"/>
    <n v="520"/>
    <x v="0"/>
    <n v="1872"/>
    <n v="1320"/>
    <n v="552"/>
  </r>
  <r>
    <s v="ORD12868"/>
    <x v="3174"/>
    <s v="CUST1079"/>
    <s v="Customer 079"/>
    <x v="1"/>
    <s v="Tamil Nadu"/>
    <x v="2"/>
    <s v="Monitors"/>
    <x v="11"/>
    <n v="2"/>
    <n v="10500"/>
    <x v="2"/>
    <n v="21000"/>
    <n v="15200"/>
    <n v="5800"/>
  </r>
  <r>
    <s v="ORD10300"/>
    <x v="3175"/>
    <s v="CUST1011"/>
    <s v="Customer 011"/>
    <x v="3"/>
    <s v="Haryana"/>
    <x v="3"/>
    <s v="Storage"/>
    <x v="14"/>
    <n v="1"/>
    <n v="4800"/>
    <x v="4"/>
    <n v="4560"/>
    <n v="3300"/>
    <n v="1260"/>
  </r>
  <r>
    <s v="ORD13090"/>
    <x v="3176"/>
    <s v="CUST1234"/>
    <s v="Customer 234"/>
    <x v="1"/>
    <s v="Kerala"/>
    <x v="0"/>
    <s v="Stationery"/>
    <x v="15"/>
    <n v="4"/>
    <n v="450"/>
    <x v="0"/>
    <n v="1620"/>
    <n v="1040"/>
    <n v="580"/>
  </r>
  <r>
    <s v="ORD11512"/>
    <x v="3177"/>
    <s v="CUST1115"/>
    <s v="Customer 115"/>
    <x v="3"/>
    <s v="Delhi"/>
    <x v="3"/>
    <s v="Storage"/>
    <x v="6"/>
    <n v="3"/>
    <n v="5600"/>
    <x v="4"/>
    <n v="15960"/>
    <n v="11700"/>
    <n v="4260"/>
  </r>
  <r>
    <s v="ORD10617"/>
    <x v="3178"/>
    <s v="CUST1125"/>
    <s v="Customer 125"/>
    <x v="1"/>
    <s v="Tamil Nadu"/>
    <x v="0"/>
    <s v="Stationery"/>
    <x v="18"/>
    <n v="5"/>
    <n v="300"/>
    <x v="2"/>
    <n v="1500"/>
    <n v="850"/>
    <n v="650"/>
  </r>
  <r>
    <s v="ORD11532"/>
    <x v="3179"/>
    <s v="CUST1005"/>
    <s v="Customer 005"/>
    <x v="1"/>
    <s v="Telangana"/>
    <x v="0"/>
    <s v="Stationery"/>
    <x v="15"/>
    <n v="5"/>
    <n v="450"/>
    <x v="3"/>
    <n v="1912.5"/>
    <n v="1300"/>
    <n v="612.5"/>
  </r>
  <r>
    <s v="ORD12114"/>
    <x v="3180"/>
    <s v="CUST1456"/>
    <s v="Customer 456"/>
    <x v="2"/>
    <s v="Rajasthan"/>
    <x v="1"/>
    <s v="Kitchen"/>
    <x v="1"/>
    <n v="5"/>
    <n v="1900"/>
    <x v="0"/>
    <n v="8550"/>
    <n v="6250"/>
    <n v="2300"/>
  </r>
  <r>
    <s v="ORD12595"/>
    <x v="3181"/>
    <s v="CUST1153"/>
    <s v="Customer 153"/>
    <x v="1"/>
    <s v="Tamil Nadu"/>
    <x v="0"/>
    <s v="Paper"/>
    <x v="3"/>
    <n v="2"/>
    <n v="520"/>
    <x v="0"/>
    <n v="936"/>
    <n v="660"/>
    <n v="276"/>
  </r>
  <r>
    <s v="ORD11101"/>
    <x v="3182"/>
    <s v="CUST1240"/>
    <s v="Customer 240"/>
    <x v="0"/>
    <s v="Odisha"/>
    <x v="2"/>
    <s v="Audio"/>
    <x v="5"/>
    <n v="3"/>
    <n v="2200"/>
    <x v="2"/>
    <n v="6600"/>
    <n v="4350"/>
    <n v="2250"/>
  </r>
  <r>
    <s v="ORD12563"/>
    <x v="3183"/>
    <s v="CUST1334"/>
    <s v="Customer 334"/>
    <x v="1"/>
    <s v="Tamil Nadu"/>
    <x v="0"/>
    <s v="Stationery"/>
    <x v="15"/>
    <n v="3"/>
    <n v="450"/>
    <x v="0"/>
    <n v="1215"/>
    <n v="780"/>
    <n v="435"/>
  </r>
  <r>
    <s v="ORD12364"/>
    <x v="3184"/>
    <s v="CUST1060"/>
    <s v="Customer 060"/>
    <x v="0"/>
    <s v="Odisha"/>
    <x v="0"/>
    <s v="Stationery"/>
    <x v="18"/>
    <n v="2"/>
    <n v="300"/>
    <x v="4"/>
    <n v="570"/>
    <n v="340"/>
    <n v="230"/>
  </r>
  <r>
    <s v="ORD13405"/>
    <x v="3185"/>
    <s v="CUST1197"/>
    <s v="Customer 197"/>
    <x v="2"/>
    <s v="Rajasthan"/>
    <x v="0"/>
    <s v="Stationery"/>
    <x v="10"/>
    <n v="2"/>
    <n v="280"/>
    <x v="2"/>
    <n v="560"/>
    <n v="320"/>
    <n v="240"/>
  </r>
  <r>
    <s v="ORD10866"/>
    <x v="3186"/>
    <s v="CUST1350"/>
    <s v="Customer 350"/>
    <x v="1"/>
    <s v="Tamil Nadu"/>
    <x v="3"/>
    <s v="Chairs"/>
    <x v="12"/>
    <n v="5"/>
    <n v="7500"/>
    <x v="2"/>
    <n v="37500"/>
    <n v="26000"/>
    <n v="11500"/>
  </r>
  <r>
    <s v="ORD13706"/>
    <x v="3187"/>
    <s v="CUST1251"/>
    <s v="Customer 251"/>
    <x v="1"/>
    <s v="Kerala"/>
    <x v="3"/>
    <s v="Tables"/>
    <x v="16"/>
    <n v="2"/>
    <n v="6200"/>
    <x v="4"/>
    <n v="11780"/>
    <n v="8600"/>
    <n v="3180"/>
  </r>
  <r>
    <s v="ORD12127"/>
    <x v="3188"/>
    <s v="CUST1154"/>
    <s v="Customer 154"/>
    <x v="2"/>
    <s v="Maharashtra"/>
    <x v="2"/>
    <s v="Audio"/>
    <x v="17"/>
    <n v="5"/>
    <n v="2800"/>
    <x v="4"/>
    <n v="13300"/>
    <n v="9000"/>
    <n v="4300"/>
  </r>
  <r>
    <s v="ORD10515"/>
    <x v="3189"/>
    <s v="CUST1480"/>
    <s v="Customer 480"/>
    <x v="1"/>
    <s v="Andhra Pradesh"/>
    <x v="3"/>
    <s v="Storage"/>
    <x v="6"/>
    <n v="2"/>
    <n v="5600"/>
    <x v="0"/>
    <n v="10080"/>
    <n v="7800"/>
    <n v="2280"/>
  </r>
  <r>
    <s v="ORD13135"/>
    <x v="3190"/>
    <s v="CUST1356"/>
    <s v="Customer 356"/>
    <x v="0"/>
    <s v="Bihar"/>
    <x v="0"/>
    <s v="Stationery"/>
    <x v="15"/>
    <n v="1"/>
    <n v="450"/>
    <x v="3"/>
    <n v="382.5"/>
    <n v="260"/>
    <n v="122.5"/>
  </r>
  <r>
    <s v="ORD11653"/>
    <x v="3191"/>
    <s v="CUST1026"/>
    <s v="Customer 026"/>
    <x v="1"/>
    <s v="Telangana"/>
    <x v="2"/>
    <s v="Audio"/>
    <x v="5"/>
    <n v="3"/>
    <n v="2200"/>
    <x v="0"/>
    <n v="5940"/>
    <n v="4350"/>
    <n v="1590"/>
  </r>
  <r>
    <s v="ORD12185"/>
    <x v="3192"/>
    <s v="CUST1317"/>
    <s v="Customer 317"/>
    <x v="0"/>
    <s v="Bihar"/>
    <x v="2"/>
    <s v="Accessories"/>
    <x v="8"/>
    <n v="1"/>
    <n v="1800"/>
    <x v="2"/>
    <n v="1800"/>
    <n v="1100"/>
    <n v="700"/>
  </r>
  <r>
    <s v="ORD12503"/>
    <x v="3193"/>
    <s v="CUST1377"/>
    <s v="Customer 377"/>
    <x v="2"/>
    <s v="Goa"/>
    <x v="2"/>
    <s v="Audio"/>
    <x v="17"/>
    <n v="1"/>
    <n v="2800"/>
    <x v="2"/>
    <n v="2800"/>
    <n v="1800"/>
    <n v="1000"/>
  </r>
  <r>
    <s v="ORD12008"/>
    <x v="3194"/>
    <s v="CUST1077"/>
    <s v="Customer 077"/>
    <x v="1"/>
    <s v="Kerala"/>
    <x v="1"/>
    <s v="Kitchen"/>
    <x v="2"/>
    <n v="5"/>
    <n v="4200"/>
    <x v="0"/>
    <n v="18900"/>
    <n v="14500"/>
    <n v="4400"/>
  </r>
  <r>
    <s v="ORD11475"/>
    <x v="3195"/>
    <s v="CUST1489"/>
    <s v="Customer 489"/>
    <x v="2"/>
    <s v="Rajasthan"/>
    <x v="3"/>
    <s v="Chairs"/>
    <x v="12"/>
    <n v="2"/>
    <n v="7500"/>
    <x v="4"/>
    <n v="14250"/>
    <n v="10400"/>
    <n v="3850"/>
  </r>
  <r>
    <s v="ORD13612"/>
    <x v="3196"/>
    <s v="CUST1342"/>
    <s v="Customer 342"/>
    <x v="3"/>
    <s v="Haryana"/>
    <x v="3"/>
    <s v="Chairs"/>
    <x v="12"/>
    <n v="5"/>
    <n v="7500"/>
    <x v="4"/>
    <n v="35625"/>
    <n v="26000"/>
    <n v="9625"/>
  </r>
  <r>
    <s v="ORD11969"/>
    <x v="3197"/>
    <s v="CUST1420"/>
    <s v="Customer 420"/>
    <x v="2"/>
    <s v="Rajasthan"/>
    <x v="2"/>
    <s v="Accessories"/>
    <x v="8"/>
    <n v="3"/>
    <n v="1800"/>
    <x v="3"/>
    <n v="4590"/>
    <n v="3300"/>
    <n v="1290"/>
  </r>
  <r>
    <s v="ORD10626"/>
    <x v="3198"/>
    <s v="CUST1117"/>
    <s v="Customer 117"/>
    <x v="2"/>
    <s v="Rajasthan"/>
    <x v="2"/>
    <s v="Accessories"/>
    <x v="13"/>
    <n v="5"/>
    <n v="1400"/>
    <x v="4"/>
    <n v="6650"/>
    <n v="4500"/>
    <n v="2150"/>
  </r>
  <r>
    <s v="ORD12494"/>
    <x v="3199"/>
    <s v="CUST1306"/>
    <s v="Customer 306"/>
    <x v="1"/>
    <s v="Andhra Pradesh"/>
    <x v="3"/>
    <s v="Storage"/>
    <x v="6"/>
    <n v="1"/>
    <n v="5600"/>
    <x v="1"/>
    <n v="4200"/>
    <n v="3900"/>
    <n v="300"/>
  </r>
  <r>
    <s v="ORD10513"/>
    <x v="3200"/>
    <s v="CUST1421"/>
    <s v="Customer 421"/>
    <x v="1"/>
    <s v="Andhra Pradesh"/>
    <x v="3"/>
    <s v="Storage"/>
    <x v="6"/>
    <n v="4"/>
    <n v="5600"/>
    <x v="1"/>
    <n v="16800"/>
    <n v="15600"/>
    <n v="1200"/>
  </r>
  <r>
    <s v="ORD10763"/>
    <x v="3201"/>
    <s v="CUST1475"/>
    <s v="Customer 475"/>
    <x v="1"/>
    <s v="Tamil Nadu"/>
    <x v="2"/>
    <s v="Accessories"/>
    <x v="9"/>
    <n v="2"/>
    <n v="850"/>
    <x v="3"/>
    <n v="1445"/>
    <n v="1120"/>
    <n v="325"/>
  </r>
  <r>
    <s v="ORD11856"/>
    <x v="3202"/>
    <s v="CUST1426"/>
    <s v="Customer 426"/>
    <x v="1"/>
    <s v="Andhra Pradesh"/>
    <x v="2"/>
    <s v="Accessories"/>
    <x v="9"/>
    <n v="2"/>
    <n v="850"/>
    <x v="4"/>
    <n v="1615"/>
    <n v="1120"/>
    <n v="495"/>
  </r>
  <r>
    <s v="ORD12562"/>
    <x v="3203"/>
    <s v="CUST1180"/>
    <s v="Customer 180"/>
    <x v="1"/>
    <s v="Telangana"/>
    <x v="3"/>
    <s v="Tables"/>
    <x v="16"/>
    <n v="1"/>
    <n v="6200"/>
    <x v="5"/>
    <n v="4960"/>
    <n v="4300"/>
    <n v="660"/>
  </r>
  <r>
    <s v="ORD11707"/>
    <x v="3204"/>
    <s v="CUST1492"/>
    <s v="Customer 492"/>
    <x v="1"/>
    <s v="Kerala"/>
    <x v="0"/>
    <s v="Paper"/>
    <x v="3"/>
    <n v="1"/>
    <n v="520"/>
    <x v="3"/>
    <n v="442"/>
    <n v="330"/>
    <n v="112"/>
  </r>
  <r>
    <s v="ORD12734"/>
    <x v="3205"/>
    <s v="CUST1108"/>
    <s v="Customer 108"/>
    <x v="1"/>
    <s v="Tamil Nadu"/>
    <x v="1"/>
    <s v="Kitchen"/>
    <x v="2"/>
    <n v="5"/>
    <n v="4200"/>
    <x v="5"/>
    <n v="16800"/>
    <n v="14500"/>
    <n v="2300"/>
  </r>
  <r>
    <s v="ORD13659"/>
    <x v="3206"/>
    <s v="CUST1168"/>
    <s v="Customer 168"/>
    <x v="1"/>
    <s v="Kerala"/>
    <x v="2"/>
    <s v="Accessories"/>
    <x v="9"/>
    <n v="2"/>
    <n v="850"/>
    <x v="3"/>
    <n v="1445"/>
    <n v="1120"/>
    <n v="325"/>
  </r>
  <r>
    <s v="ORD12606"/>
    <x v="3207"/>
    <s v="CUST1378"/>
    <s v="Customer 378"/>
    <x v="1"/>
    <s v="Andhra Pradesh"/>
    <x v="2"/>
    <s v="Accessories"/>
    <x v="8"/>
    <n v="3"/>
    <n v="1800"/>
    <x v="3"/>
    <n v="4590"/>
    <n v="3300"/>
    <n v="1290"/>
  </r>
  <r>
    <s v="ORD11263"/>
    <x v="3208"/>
    <s v="CUST1223"/>
    <s v="Customer 223"/>
    <x v="1"/>
    <s v="Telangana"/>
    <x v="0"/>
    <s v="Accessories"/>
    <x v="0"/>
    <n v="1"/>
    <n v="650"/>
    <x v="3"/>
    <n v="552.5"/>
    <n v="390"/>
    <n v="162.5"/>
  </r>
  <r>
    <s v="ORD13354"/>
    <x v="3209"/>
    <s v="CUST1365"/>
    <s v="Customer 365"/>
    <x v="2"/>
    <s v="Gujarat"/>
    <x v="2"/>
    <s v="Audio"/>
    <x v="5"/>
    <n v="5"/>
    <n v="2200"/>
    <x v="3"/>
    <n v="9350"/>
    <n v="7250"/>
    <n v="2100"/>
  </r>
  <r>
    <s v="ORD12797"/>
    <x v="3210"/>
    <s v="CUST1436"/>
    <s v="Customer 436"/>
    <x v="1"/>
    <s v="Telangana"/>
    <x v="2"/>
    <s v="Accessories"/>
    <x v="9"/>
    <n v="5"/>
    <n v="850"/>
    <x v="3"/>
    <n v="3612.5"/>
    <n v="2800"/>
    <n v="812.5"/>
  </r>
  <r>
    <s v="ORD13671"/>
    <x v="3211"/>
    <s v="CUST1073"/>
    <s v="Customer 073"/>
    <x v="2"/>
    <s v="Gujarat"/>
    <x v="3"/>
    <s v="Tables"/>
    <x v="16"/>
    <n v="5"/>
    <n v="6200"/>
    <x v="0"/>
    <n v="27900"/>
    <n v="21500"/>
    <n v="6400"/>
  </r>
  <r>
    <s v="ORD10367"/>
    <x v="3212"/>
    <s v="CUST1235"/>
    <s v="Customer 235"/>
    <x v="1"/>
    <s v="Telangana"/>
    <x v="2"/>
    <s v="Accessories"/>
    <x v="9"/>
    <n v="5"/>
    <n v="850"/>
    <x v="1"/>
    <n v="3187.5"/>
    <n v="2800"/>
    <n v="387.5"/>
  </r>
  <r>
    <s v="ORD10377"/>
    <x v="3213"/>
    <s v="CUST1369"/>
    <s v="Customer 369"/>
    <x v="0"/>
    <s v="Bihar"/>
    <x v="0"/>
    <s v="Stationery"/>
    <x v="15"/>
    <n v="4"/>
    <n v="450"/>
    <x v="3"/>
    <n v="1530"/>
    <n v="1040"/>
    <n v="490"/>
  </r>
  <r>
    <s v="ORD11108"/>
    <x v="3214"/>
    <s v="CUST1454"/>
    <s v="Customer 454"/>
    <x v="2"/>
    <s v="Maharashtra"/>
    <x v="3"/>
    <s v="Storage"/>
    <x v="14"/>
    <n v="5"/>
    <n v="4800"/>
    <x v="0"/>
    <n v="21600"/>
    <n v="16500"/>
    <n v="5100"/>
  </r>
  <r>
    <s v="ORD11898"/>
    <x v="3215"/>
    <s v="CUST1438"/>
    <s v="Customer 438"/>
    <x v="1"/>
    <s v="Telangana"/>
    <x v="0"/>
    <s v="Paper"/>
    <x v="3"/>
    <n v="2"/>
    <n v="520"/>
    <x v="0"/>
    <n v="936"/>
    <n v="660"/>
    <n v="276"/>
  </r>
  <r>
    <s v="ORD12136"/>
    <x v="3216"/>
    <s v="CUST1343"/>
    <s v="Customer 343"/>
    <x v="1"/>
    <s v="Andhra Pradesh"/>
    <x v="2"/>
    <s v="Monitors"/>
    <x v="11"/>
    <n v="2"/>
    <n v="10500"/>
    <x v="4"/>
    <n v="19950"/>
    <n v="15200"/>
    <n v="4750"/>
  </r>
  <r>
    <s v="ORD13343"/>
    <x v="3217"/>
    <s v="CUST1050"/>
    <s v="Customer 050"/>
    <x v="3"/>
    <s v="Punjab"/>
    <x v="2"/>
    <s v="Accessories"/>
    <x v="13"/>
    <n v="3"/>
    <n v="1400"/>
    <x v="5"/>
    <n v="3360"/>
    <n v="2700"/>
    <n v="660"/>
  </r>
  <r>
    <s v="ORD13205"/>
    <x v="3218"/>
    <s v="CUST1150"/>
    <s v="Customer 150"/>
    <x v="1"/>
    <s v="Tamil Nadu"/>
    <x v="2"/>
    <s v="Accessories"/>
    <x v="8"/>
    <n v="2"/>
    <n v="1800"/>
    <x v="5"/>
    <n v="2880"/>
    <n v="2200"/>
    <n v="680"/>
  </r>
  <r>
    <s v="ORD13143"/>
    <x v="3219"/>
    <s v="CUST1226"/>
    <s v="Customer 226"/>
    <x v="1"/>
    <s v="Tamil Nadu"/>
    <x v="0"/>
    <s v="Stationery"/>
    <x v="15"/>
    <n v="1"/>
    <n v="450"/>
    <x v="5"/>
    <n v="360"/>
    <n v="260"/>
    <n v="100"/>
  </r>
  <r>
    <s v="ORD11568"/>
    <x v="3220"/>
    <s v="CUST1302"/>
    <s v="Customer 302"/>
    <x v="2"/>
    <s v="Maharashtra"/>
    <x v="0"/>
    <s v="Stationery"/>
    <x v="10"/>
    <n v="1"/>
    <n v="280"/>
    <x v="4"/>
    <n v="266"/>
    <n v="160"/>
    <n v="106"/>
  </r>
  <r>
    <s v="ORD13895"/>
    <x v="3221"/>
    <s v="CUST1305"/>
    <s v="Customer 305"/>
    <x v="1"/>
    <s v="Tamil Nadu"/>
    <x v="2"/>
    <s v="Monitors"/>
    <x v="11"/>
    <n v="1"/>
    <n v="10500"/>
    <x v="1"/>
    <n v="7875"/>
    <n v="7600"/>
    <n v="275"/>
  </r>
  <r>
    <s v="ORD11268"/>
    <x v="3222"/>
    <s v="CUST1187"/>
    <s v="Customer 187"/>
    <x v="3"/>
    <s v="Haryana"/>
    <x v="1"/>
    <s v="Kitchen"/>
    <x v="2"/>
    <n v="1"/>
    <n v="4200"/>
    <x v="0"/>
    <n v="3780"/>
    <n v="2900"/>
    <n v="880"/>
  </r>
  <r>
    <s v="ORD12026"/>
    <x v="3223"/>
    <s v="CUST1237"/>
    <s v="Customer 237"/>
    <x v="0"/>
    <s v="West Bengal"/>
    <x v="2"/>
    <s v="Accessories"/>
    <x v="8"/>
    <n v="5"/>
    <n v="1800"/>
    <x v="4"/>
    <n v="8550"/>
    <n v="5500"/>
    <n v="3050"/>
  </r>
  <r>
    <s v="ORD11621"/>
    <x v="3224"/>
    <s v="CUST1133"/>
    <s v="Customer 133"/>
    <x v="2"/>
    <s v="Rajasthan"/>
    <x v="2"/>
    <s v="Audio"/>
    <x v="17"/>
    <n v="3"/>
    <n v="2800"/>
    <x v="3"/>
    <n v="7140"/>
    <n v="5400"/>
    <n v="1740"/>
  </r>
  <r>
    <s v="ORD13935"/>
    <x v="3225"/>
    <s v="CUST1092"/>
    <s v="Customer 092"/>
    <x v="1"/>
    <s v="Kerala"/>
    <x v="1"/>
    <s v="Kitchen"/>
    <x v="2"/>
    <n v="2"/>
    <n v="4200"/>
    <x v="4"/>
    <n v="7980"/>
    <n v="5800"/>
    <n v="2180"/>
  </r>
  <r>
    <s v="ORD10090"/>
    <x v="3226"/>
    <s v="CUST1417"/>
    <s v="Customer 417"/>
    <x v="2"/>
    <s v="Goa"/>
    <x v="2"/>
    <s v="Accessories"/>
    <x v="9"/>
    <n v="4"/>
    <n v="850"/>
    <x v="0"/>
    <n v="3060"/>
    <n v="2240"/>
    <n v="820"/>
  </r>
  <r>
    <s v="ORD13611"/>
    <x v="3227"/>
    <s v="CUST1280"/>
    <s v="Customer 280"/>
    <x v="1"/>
    <s v="Telangana"/>
    <x v="2"/>
    <s v="Audio"/>
    <x v="5"/>
    <n v="3"/>
    <n v="2200"/>
    <x v="2"/>
    <n v="6600"/>
    <n v="4350"/>
    <n v="2250"/>
  </r>
  <r>
    <s v="ORD12568"/>
    <x v="3228"/>
    <s v="CUST1317"/>
    <s v="Customer 317"/>
    <x v="1"/>
    <s v="Tamil Nadu"/>
    <x v="1"/>
    <s v="Kitchen"/>
    <x v="1"/>
    <n v="1"/>
    <n v="1900"/>
    <x v="0"/>
    <n v="1710"/>
    <n v="1250"/>
    <n v="460"/>
  </r>
  <r>
    <s v="ORD10857"/>
    <x v="3229"/>
    <s v="CUST1123"/>
    <s v="Customer 123"/>
    <x v="2"/>
    <s v="Maharashtra"/>
    <x v="1"/>
    <s v="Kitchen"/>
    <x v="2"/>
    <n v="2"/>
    <n v="4200"/>
    <x v="0"/>
    <n v="7560"/>
    <n v="5800"/>
    <n v="1760"/>
  </r>
  <r>
    <s v="ORD11947"/>
    <x v="3230"/>
    <s v="CUST1079"/>
    <s v="Customer 079"/>
    <x v="1"/>
    <s v="Andhra Pradesh"/>
    <x v="0"/>
    <s v="Stationery"/>
    <x v="10"/>
    <n v="3"/>
    <n v="280"/>
    <x v="3"/>
    <n v="714"/>
    <n v="480"/>
    <n v="234"/>
  </r>
  <r>
    <s v="ORD13834"/>
    <x v="3231"/>
    <s v="CUST1330"/>
    <s v="Customer 330"/>
    <x v="2"/>
    <s v="Rajasthan"/>
    <x v="3"/>
    <s v="Chairs"/>
    <x v="12"/>
    <n v="3"/>
    <n v="7500"/>
    <x v="4"/>
    <n v="21375"/>
    <n v="15600"/>
    <n v="5775"/>
  </r>
  <r>
    <s v="ORD13591"/>
    <x v="3232"/>
    <s v="CUST1056"/>
    <s v="Customer 056"/>
    <x v="2"/>
    <s v="Maharashtra"/>
    <x v="3"/>
    <s v="Storage"/>
    <x v="14"/>
    <n v="4"/>
    <n v="4800"/>
    <x v="0"/>
    <n v="17280"/>
    <n v="13200"/>
    <n v="4080"/>
  </r>
  <r>
    <s v="ORD10873"/>
    <x v="3233"/>
    <s v="CUST1057"/>
    <s v="Customer 057"/>
    <x v="1"/>
    <s v="Tamil Nadu"/>
    <x v="2"/>
    <s v="Accessories"/>
    <x v="8"/>
    <n v="1"/>
    <n v="1800"/>
    <x v="3"/>
    <n v="1530"/>
    <n v="1100"/>
    <n v="430"/>
  </r>
  <r>
    <s v="ORD12050"/>
    <x v="3234"/>
    <s v="CUST1330"/>
    <s v="Customer 330"/>
    <x v="3"/>
    <s v="Delhi"/>
    <x v="0"/>
    <s v="Stationery"/>
    <x v="15"/>
    <n v="1"/>
    <n v="450"/>
    <x v="3"/>
    <n v="382.5"/>
    <n v="260"/>
    <n v="122.5"/>
  </r>
  <r>
    <s v="ORD10976"/>
    <x v="3235"/>
    <s v="CUST1113"/>
    <s v="Customer 113"/>
    <x v="3"/>
    <s v="Haryana"/>
    <x v="2"/>
    <s v="Audio"/>
    <x v="5"/>
    <n v="5"/>
    <n v="2200"/>
    <x v="4"/>
    <n v="10450"/>
    <n v="7250"/>
    <n v="3200"/>
  </r>
  <r>
    <s v="ORD12257"/>
    <x v="3236"/>
    <s v="CUST1399"/>
    <s v="Customer 399"/>
    <x v="1"/>
    <s v="Andhra Pradesh"/>
    <x v="1"/>
    <s v="Kitchen"/>
    <x v="1"/>
    <n v="3"/>
    <n v="1900"/>
    <x v="3"/>
    <n v="4845"/>
    <n v="3750"/>
    <n v="1095"/>
  </r>
  <r>
    <s v="ORD11838"/>
    <x v="3237"/>
    <s v="CUST1153"/>
    <s v="Customer 153"/>
    <x v="1"/>
    <s v="Karnataka"/>
    <x v="3"/>
    <s v="Tables"/>
    <x v="16"/>
    <n v="1"/>
    <n v="6200"/>
    <x v="0"/>
    <n v="5580"/>
    <n v="4300"/>
    <n v="1280"/>
  </r>
  <r>
    <s v="ORD11319"/>
    <x v="3238"/>
    <s v="CUST1225"/>
    <s v="Customer 225"/>
    <x v="1"/>
    <s v="Karnataka"/>
    <x v="0"/>
    <s v="Paper"/>
    <x v="3"/>
    <n v="2"/>
    <n v="520"/>
    <x v="3"/>
    <n v="884"/>
    <n v="660"/>
    <n v="224"/>
  </r>
  <r>
    <s v="ORD11230"/>
    <x v="3239"/>
    <s v="CUST1145"/>
    <s v="Customer 145"/>
    <x v="2"/>
    <s v="Rajasthan"/>
    <x v="3"/>
    <s v="Chairs"/>
    <x v="12"/>
    <n v="2"/>
    <n v="7500"/>
    <x v="2"/>
    <n v="15000"/>
    <n v="10400"/>
    <n v="4600"/>
  </r>
  <r>
    <s v="ORD11949"/>
    <x v="3240"/>
    <s v="CUST1001"/>
    <s v="Customer 001"/>
    <x v="0"/>
    <s v="Odisha"/>
    <x v="0"/>
    <s v="Stationery"/>
    <x v="18"/>
    <n v="1"/>
    <n v="300"/>
    <x v="4"/>
    <n v="285"/>
    <n v="170"/>
    <n v="115"/>
  </r>
  <r>
    <s v="ORD10356"/>
    <x v="3241"/>
    <s v="CUST1497"/>
    <s v="Customer 497"/>
    <x v="3"/>
    <s v="Punjab"/>
    <x v="0"/>
    <s v="Stationery"/>
    <x v="18"/>
    <n v="4"/>
    <n v="300"/>
    <x v="2"/>
    <n v="1200"/>
    <n v="680"/>
    <n v="520"/>
  </r>
  <r>
    <s v="ORD12116"/>
    <x v="3242"/>
    <s v="CUST1102"/>
    <s v="Customer 102"/>
    <x v="1"/>
    <s v="Tamil Nadu"/>
    <x v="3"/>
    <s v="Storage"/>
    <x v="14"/>
    <n v="5"/>
    <n v="4800"/>
    <x v="0"/>
    <n v="21600"/>
    <n v="16500"/>
    <n v="5100"/>
  </r>
  <r>
    <s v="ORD11492"/>
    <x v="3243"/>
    <s v="CUST1245"/>
    <s v="Customer 245"/>
    <x v="1"/>
    <s v="Tamil Nadu"/>
    <x v="1"/>
    <s v="Kitchen"/>
    <x v="1"/>
    <n v="3"/>
    <n v="1900"/>
    <x v="3"/>
    <n v="4845"/>
    <n v="3750"/>
    <n v="1095"/>
  </r>
  <r>
    <s v="ORD13307"/>
    <x v="3244"/>
    <s v="CUST1138"/>
    <s v="Customer 138"/>
    <x v="0"/>
    <s v="Jharkhand"/>
    <x v="2"/>
    <s v="Accessories"/>
    <x v="9"/>
    <n v="2"/>
    <n v="850"/>
    <x v="5"/>
    <n v="1360"/>
    <n v="1120"/>
    <n v="240"/>
  </r>
  <r>
    <s v="ORD13979"/>
    <x v="3245"/>
    <s v="CUST1272"/>
    <s v="Customer 272"/>
    <x v="1"/>
    <s v="Kerala"/>
    <x v="2"/>
    <s v="Audio"/>
    <x v="17"/>
    <n v="4"/>
    <n v="2800"/>
    <x v="2"/>
    <n v="11200"/>
    <n v="7200"/>
    <n v="4000"/>
  </r>
  <r>
    <s v="ORD10486"/>
    <x v="3246"/>
    <s v="CUST1117"/>
    <s v="Customer 117"/>
    <x v="1"/>
    <s v="Tamil Nadu"/>
    <x v="1"/>
    <s v="Kitchen"/>
    <x v="4"/>
    <n v="5"/>
    <n v="6800"/>
    <x v="4"/>
    <n v="32300"/>
    <n v="23500"/>
    <n v="8800"/>
  </r>
  <r>
    <s v="ORD11079"/>
    <x v="3247"/>
    <s v="CUST1209"/>
    <s v="Customer 209"/>
    <x v="2"/>
    <s v="Rajasthan"/>
    <x v="2"/>
    <s v="Accessories"/>
    <x v="13"/>
    <n v="2"/>
    <n v="1400"/>
    <x v="2"/>
    <n v="2800"/>
    <n v="1800"/>
    <n v="1000"/>
  </r>
  <r>
    <s v="ORD12930"/>
    <x v="3248"/>
    <s v="CUST1327"/>
    <s v="Customer 327"/>
    <x v="1"/>
    <s v="Andhra Pradesh"/>
    <x v="3"/>
    <s v="Storage"/>
    <x v="14"/>
    <n v="4"/>
    <n v="4800"/>
    <x v="2"/>
    <n v="19200"/>
    <n v="13200"/>
    <n v="6000"/>
  </r>
  <r>
    <s v="ORD12376"/>
    <x v="3249"/>
    <s v="CUST1496"/>
    <s v="Customer 496"/>
    <x v="1"/>
    <s v="Karnataka"/>
    <x v="0"/>
    <s v="Stationery"/>
    <x v="15"/>
    <n v="5"/>
    <n v="450"/>
    <x v="4"/>
    <n v="2137.5"/>
    <n v="1300"/>
    <n v="837.5"/>
  </r>
  <r>
    <s v="ORD11598"/>
    <x v="3250"/>
    <s v="CUST1363"/>
    <s v="Customer 363"/>
    <x v="0"/>
    <s v="Bihar"/>
    <x v="3"/>
    <s v="Storage"/>
    <x v="14"/>
    <n v="3"/>
    <n v="4800"/>
    <x v="4"/>
    <n v="13680"/>
    <n v="9900"/>
    <n v="3780"/>
  </r>
  <r>
    <s v="ORD10461"/>
    <x v="3251"/>
    <s v="CUST1362"/>
    <s v="Customer 362"/>
    <x v="0"/>
    <s v="Odisha"/>
    <x v="1"/>
    <s v="Kitchen"/>
    <x v="1"/>
    <n v="5"/>
    <n v="1900"/>
    <x v="4"/>
    <n v="9025"/>
    <n v="6250"/>
    <n v="2775"/>
  </r>
  <r>
    <s v="ORD13810"/>
    <x v="3252"/>
    <s v="CUST1304"/>
    <s v="Customer 304"/>
    <x v="3"/>
    <s v="Uttar Pradesh"/>
    <x v="1"/>
    <s v="Kitchen"/>
    <x v="1"/>
    <n v="4"/>
    <n v="1900"/>
    <x v="4"/>
    <n v="7220"/>
    <n v="5000"/>
    <n v="2220"/>
  </r>
  <r>
    <s v="ORD13342"/>
    <x v="3253"/>
    <s v="CUST1153"/>
    <s v="Customer 153"/>
    <x v="1"/>
    <s v="Andhra Pradesh"/>
    <x v="2"/>
    <s v="Accessories"/>
    <x v="8"/>
    <n v="3"/>
    <n v="1800"/>
    <x v="4"/>
    <n v="5130"/>
    <n v="3300"/>
    <n v="1830"/>
  </r>
  <r>
    <s v="ORD11776"/>
    <x v="3254"/>
    <s v="CUST1066"/>
    <s v="Customer 066"/>
    <x v="2"/>
    <s v="Gujarat"/>
    <x v="2"/>
    <s v="Accessories"/>
    <x v="13"/>
    <n v="5"/>
    <n v="1400"/>
    <x v="4"/>
    <n v="6650"/>
    <n v="4500"/>
    <n v="2150"/>
  </r>
  <r>
    <s v="ORD10040"/>
    <x v="3255"/>
    <s v="CUST1316"/>
    <s v="Customer 316"/>
    <x v="3"/>
    <s v="Uttar Pradesh"/>
    <x v="1"/>
    <s v="Kitchen"/>
    <x v="1"/>
    <n v="5"/>
    <n v="1900"/>
    <x v="0"/>
    <n v="8550"/>
    <n v="6250"/>
    <n v="2300"/>
  </r>
  <r>
    <s v="ORD13132"/>
    <x v="3256"/>
    <s v="CUST1231"/>
    <s v="Customer 231"/>
    <x v="1"/>
    <s v="Andhra Pradesh"/>
    <x v="2"/>
    <s v="Monitors"/>
    <x v="11"/>
    <n v="2"/>
    <n v="10500"/>
    <x v="0"/>
    <n v="18900"/>
    <n v="15200"/>
    <n v="3700"/>
  </r>
  <r>
    <s v="ORD13854"/>
    <x v="3257"/>
    <s v="CUST1177"/>
    <s v="Customer 177"/>
    <x v="1"/>
    <s v="Tamil Nadu"/>
    <x v="1"/>
    <s v="Kitchen"/>
    <x v="2"/>
    <n v="2"/>
    <n v="4200"/>
    <x v="0"/>
    <n v="7560"/>
    <n v="5800"/>
    <n v="1760"/>
  </r>
  <r>
    <s v="ORD12084"/>
    <x v="3258"/>
    <s v="CUST1334"/>
    <s v="Customer 334"/>
    <x v="1"/>
    <s v="Tamil Nadu"/>
    <x v="1"/>
    <s v="Kitchen"/>
    <x v="2"/>
    <n v="4"/>
    <n v="4200"/>
    <x v="4"/>
    <n v="15960"/>
    <n v="11600"/>
    <n v="4360"/>
  </r>
  <r>
    <s v="ORD12794"/>
    <x v="3259"/>
    <s v="CUST1268"/>
    <s v="Customer 268"/>
    <x v="0"/>
    <s v="Odisha"/>
    <x v="1"/>
    <s v="Kitchen"/>
    <x v="1"/>
    <n v="1"/>
    <n v="1900"/>
    <x v="3"/>
    <n v="1615"/>
    <n v="1250"/>
    <n v="365"/>
  </r>
  <r>
    <s v="ORD13375"/>
    <x v="3260"/>
    <s v="CUST1337"/>
    <s v="Customer 337"/>
    <x v="2"/>
    <s v="Gujarat"/>
    <x v="2"/>
    <s v="Monitors"/>
    <x v="11"/>
    <n v="3"/>
    <n v="10500"/>
    <x v="0"/>
    <n v="28350"/>
    <n v="22800"/>
    <n v="5550"/>
  </r>
  <r>
    <s v="ORD11972"/>
    <x v="3261"/>
    <s v="CUST1461"/>
    <s v="Customer 461"/>
    <x v="1"/>
    <s v="Telangana"/>
    <x v="2"/>
    <s v="Monitors"/>
    <x v="11"/>
    <n v="3"/>
    <n v="10500"/>
    <x v="5"/>
    <n v="25200"/>
    <n v="22800"/>
    <n v="2400"/>
  </r>
  <r>
    <s v="ORD13745"/>
    <x v="3262"/>
    <s v="CUST1121"/>
    <s v="Customer 121"/>
    <x v="3"/>
    <s v="Uttar Pradesh"/>
    <x v="3"/>
    <s v="Tables"/>
    <x v="16"/>
    <n v="4"/>
    <n v="6200"/>
    <x v="0"/>
    <n v="22320"/>
    <n v="17200"/>
    <n v="5120"/>
  </r>
  <r>
    <s v="ORD10815"/>
    <x v="3263"/>
    <s v="CUST1389"/>
    <s v="Customer 389"/>
    <x v="1"/>
    <s v="Tamil Nadu"/>
    <x v="1"/>
    <s v="Appliances"/>
    <x v="7"/>
    <n v="1"/>
    <n v="2400"/>
    <x v="0"/>
    <n v="2160"/>
    <n v="1650"/>
    <n v="510"/>
  </r>
  <r>
    <s v="ORD12655"/>
    <x v="3264"/>
    <s v="CUST1426"/>
    <s v="Customer 426"/>
    <x v="1"/>
    <s v="Karnataka"/>
    <x v="2"/>
    <s v="Audio"/>
    <x v="5"/>
    <n v="5"/>
    <n v="2200"/>
    <x v="0"/>
    <n v="9900"/>
    <n v="7250"/>
    <n v="2650"/>
  </r>
  <r>
    <s v="ORD13768"/>
    <x v="3265"/>
    <s v="CUST1375"/>
    <s v="Customer 375"/>
    <x v="2"/>
    <s v="Goa"/>
    <x v="0"/>
    <s v="Paper"/>
    <x v="3"/>
    <n v="1"/>
    <n v="520"/>
    <x v="4"/>
    <n v="494"/>
    <n v="330"/>
    <n v="164"/>
  </r>
  <r>
    <s v="ORD13614"/>
    <x v="3266"/>
    <s v="CUST1038"/>
    <s v="Customer 038"/>
    <x v="2"/>
    <s v="Rajasthan"/>
    <x v="0"/>
    <s v="Stationery"/>
    <x v="15"/>
    <n v="1"/>
    <n v="450"/>
    <x v="4"/>
    <n v="427.5"/>
    <n v="260"/>
    <n v="167.5"/>
  </r>
  <r>
    <s v="ORD12745"/>
    <x v="3267"/>
    <s v="CUST1100"/>
    <s v="Customer 100"/>
    <x v="1"/>
    <s v="Andhra Pradesh"/>
    <x v="0"/>
    <s v="Accessories"/>
    <x v="0"/>
    <n v="5"/>
    <n v="650"/>
    <x v="2"/>
    <n v="3250"/>
    <n v="1950"/>
    <n v="1300"/>
  </r>
  <r>
    <s v="ORD12972"/>
    <x v="3268"/>
    <s v="CUST1026"/>
    <s v="Customer 026"/>
    <x v="1"/>
    <s v="Telangana"/>
    <x v="1"/>
    <s v="Appliances"/>
    <x v="7"/>
    <n v="1"/>
    <n v="2400"/>
    <x v="0"/>
    <n v="2160"/>
    <n v="1650"/>
    <n v="510"/>
  </r>
  <r>
    <s v="ORD13436"/>
    <x v="3269"/>
    <s v="CUST1304"/>
    <s v="Customer 304"/>
    <x v="1"/>
    <s v="Andhra Pradesh"/>
    <x v="3"/>
    <s v="Tables"/>
    <x v="16"/>
    <n v="3"/>
    <n v="6200"/>
    <x v="5"/>
    <n v="14880"/>
    <n v="12900"/>
    <n v="1980"/>
  </r>
  <r>
    <s v="ORD13408"/>
    <x v="3270"/>
    <s v="CUST1320"/>
    <s v="Customer 320"/>
    <x v="1"/>
    <s v="Telangana"/>
    <x v="3"/>
    <s v="Storage"/>
    <x v="14"/>
    <n v="1"/>
    <n v="4800"/>
    <x v="1"/>
    <n v="3600"/>
    <n v="3300"/>
    <n v="300"/>
  </r>
  <r>
    <s v="ORD10887"/>
    <x v="3271"/>
    <s v="CUST1027"/>
    <s v="Customer 027"/>
    <x v="1"/>
    <s v="Andhra Pradesh"/>
    <x v="2"/>
    <s v="Monitors"/>
    <x v="11"/>
    <n v="2"/>
    <n v="10500"/>
    <x v="0"/>
    <n v="18900"/>
    <n v="15200"/>
    <n v="3700"/>
  </r>
  <r>
    <s v="ORD11336"/>
    <x v="3272"/>
    <s v="CUST1500"/>
    <s v="Customer 500"/>
    <x v="1"/>
    <s v="Kerala"/>
    <x v="1"/>
    <s v="Kitchen"/>
    <x v="4"/>
    <n v="4"/>
    <n v="6800"/>
    <x v="4"/>
    <n v="25840"/>
    <n v="18800"/>
    <n v="7040"/>
  </r>
  <r>
    <s v="ORD10753"/>
    <x v="3273"/>
    <s v="CUST1044"/>
    <s v="Customer 044"/>
    <x v="3"/>
    <s v="Punjab"/>
    <x v="0"/>
    <s v="Stationery"/>
    <x v="15"/>
    <n v="3"/>
    <n v="450"/>
    <x v="5"/>
    <n v="1080"/>
    <n v="780"/>
    <n v="300"/>
  </r>
  <r>
    <s v="ORD10805"/>
    <x v="3274"/>
    <s v="CUST1370"/>
    <s v="Customer 370"/>
    <x v="1"/>
    <s v="Tamil Nadu"/>
    <x v="0"/>
    <s v="Paper"/>
    <x v="3"/>
    <n v="5"/>
    <n v="520"/>
    <x v="0"/>
    <n v="2340"/>
    <n v="1650"/>
    <n v="690"/>
  </r>
  <r>
    <s v="ORD12425"/>
    <x v="3275"/>
    <s v="CUST1175"/>
    <s v="Customer 175"/>
    <x v="2"/>
    <s v="Rajasthan"/>
    <x v="0"/>
    <s v="Accessories"/>
    <x v="0"/>
    <n v="3"/>
    <n v="650"/>
    <x v="3"/>
    <n v="1657.5"/>
    <n v="1170"/>
    <n v="487.5"/>
  </r>
  <r>
    <s v="ORD13792"/>
    <x v="3276"/>
    <s v="CUST1089"/>
    <s v="Customer 089"/>
    <x v="3"/>
    <s v="Haryana"/>
    <x v="0"/>
    <s v="Accessories"/>
    <x v="0"/>
    <n v="5"/>
    <n v="650"/>
    <x v="0"/>
    <n v="2925"/>
    <n v="1950"/>
    <n v="975"/>
  </r>
  <r>
    <s v="ORD10676"/>
    <x v="3277"/>
    <s v="CUST1363"/>
    <s v="Customer 363"/>
    <x v="2"/>
    <s v="Gujarat"/>
    <x v="0"/>
    <s v="Stationery"/>
    <x v="10"/>
    <n v="5"/>
    <n v="280"/>
    <x v="2"/>
    <n v="1400"/>
    <n v="800"/>
    <n v="600"/>
  </r>
  <r>
    <s v="ORD12836"/>
    <x v="3278"/>
    <s v="CUST1272"/>
    <s v="Customer 272"/>
    <x v="3"/>
    <s v="Uttar Pradesh"/>
    <x v="2"/>
    <s v="Audio"/>
    <x v="5"/>
    <n v="4"/>
    <n v="2200"/>
    <x v="3"/>
    <n v="7480"/>
    <n v="5800"/>
    <n v="1680"/>
  </r>
  <r>
    <s v="ORD10084"/>
    <x v="3279"/>
    <s v="CUST1417"/>
    <s v="Customer 417"/>
    <x v="1"/>
    <s v="Tamil Nadu"/>
    <x v="0"/>
    <s v="Stationery"/>
    <x v="18"/>
    <n v="3"/>
    <n v="300"/>
    <x v="3"/>
    <n v="765"/>
    <n v="510"/>
    <n v="255"/>
  </r>
  <r>
    <s v="ORD11491"/>
    <x v="3280"/>
    <s v="CUST1138"/>
    <s v="Customer 138"/>
    <x v="2"/>
    <s v="Gujarat"/>
    <x v="3"/>
    <s v="Storage"/>
    <x v="6"/>
    <n v="5"/>
    <n v="5600"/>
    <x v="0"/>
    <n v="25200"/>
    <n v="19500"/>
    <n v="5700"/>
  </r>
  <r>
    <s v="ORD12391"/>
    <x v="3281"/>
    <s v="CUST1228"/>
    <s v="Customer 228"/>
    <x v="1"/>
    <s v="Karnataka"/>
    <x v="0"/>
    <s v="Stationery"/>
    <x v="18"/>
    <n v="2"/>
    <n v="300"/>
    <x v="0"/>
    <n v="540"/>
    <n v="340"/>
    <n v="200"/>
  </r>
  <r>
    <s v="ORD12172"/>
    <x v="3282"/>
    <s v="CUST1373"/>
    <s v="Customer 373"/>
    <x v="3"/>
    <s v="Uttar Pradesh"/>
    <x v="2"/>
    <s v="Monitors"/>
    <x v="11"/>
    <n v="2"/>
    <n v="10500"/>
    <x v="1"/>
    <n v="15750"/>
    <n v="15200"/>
    <n v="550"/>
  </r>
  <r>
    <s v="ORD12198"/>
    <x v="3283"/>
    <s v="CUST1431"/>
    <s v="Customer 431"/>
    <x v="0"/>
    <s v="West Bengal"/>
    <x v="0"/>
    <s v="Accessories"/>
    <x v="0"/>
    <n v="5"/>
    <n v="650"/>
    <x v="2"/>
    <n v="3250"/>
    <n v="1950"/>
    <n v="1300"/>
  </r>
  <r>
    <s v="ORD12134"/>
    <x v="3284"/>
    <s v="CUST1200"/>
    <s v="Customer 200"/>
    <x v="2"/>
    <s v="Goa"/>
    <x v="1"/>
    <s v="Appliances"/>
    <x v="7"/>
    <n v="2"/>
    <n v="2400"/>
    <x v="4"/>
    <n v="4560"/>
    <n v="3300"/>
    <n v="1260"/>
  </r>
  <r>
    <s v="ORD10253"/>
    <x v="3285"/>
    <s v="CUST1095"/>
    <s v="Customer 095"/>
    <x v="1"/>
    <s v="Kerala"/>
    <x v="0"/>
    <s v="Stationery"/>
    <x v="18"/>
    <n v="5"/>
    <n v="300"/>
    <x v="0"/>
    <n v="1350"/>
    <n v="850"/>
    <n v="500"/>
  </r>
  <r>
    <s v="ORD10413"/>
    <x v="3286"/>
    <s v="CUST1140"/>
    <s v="Customer 140"/>
    <x v="1"/>
    <s v="Karnataka"/>
    <x v="0"/>
    <s v="Stationery"/>
    <x v="15"/>
    <n v="3"/>
    <n v="450"/>
    <x v="1"/>
    <n v="1012.5"/>
    <n v="780"/>
    <n v="232.5"/>
  </r>
  <r>
    <s v="ORD11550"/>
    <x v="3287"/>
    <s v="CUST1003"/>
    <s v="Customer 003"/>
    <x v="3"/>
    <s v="Haryana"/>
    <x v="2"/>
    <s v="Audio"/>
    <x v="5"/>
    <n v="3"/>
    <n v="2200"/>
    <x v="2"/>
    <n v="6600"/>
    <n v="4350"/>
    <n v="2250"/>
  </r>
  <r>
    <s v="ORD10977"/>
    <x v="3288"/>
    <s v="CUST1048"/>
    <s v="Customer 048"/>
    <x v="2"/>
    <s v="Gujarat"/>
    <x v="2"/>
    <s v="Accessories"/>
    <x v="8"/>
    <n v="3"/>
    <n v="1800"/>
    <x v="2"/>
    <n v="5400"/>
    <n v="3300"/>
    <n v="2100"/>
  </r>
  <r>
    <s v="ORD12833"/>
    <x v="3289"/>
    <s v="CUST1151"/>
    <s v="Customer 151"/>
    <x v="3"/>
    <s v="Punjab"/>
    <x v="2"/>
    <s v="Accessories"/>
    <x v="9"/>
    <n v="1"/>
    <n v="850"/>
    <x v="4"/>
    <n v="807.5"/>
    <n v="560"/>
    <n v="247.5"/>
  </r>
  <r>
    <s v="ORD11866"/>
    <x v="3290"/>
    <s v="CUST1203"/>
    <s v="Customer 203"/>
    <x v="1"/>
    <s v="Kerala"/>
    <x v="3"/>
    <s v="Tables"/>
    <x v="16"/>
    <n v="2"/>
    <n v="6200"/>
    <x v="0"/>
    <n v="11160"/>
    <n v="8600"/>
    <n v="2560"/>
  </r>
  <r>
    <s v="ORD12768"/>
    <x v="3291"/>
    <s v="CUST1497"/>
    <s v="Customer 497"/>
    <x v="2"/>
    <s v="Maharashtra"/>
    <x v="3"/>
    <s v="Chairs"/>
    <x v="12"/>
    <n v="5"/>
    <n v="7500"/>
    <x v="2"/>
    <n v="37500"/>
    <n v="26000"/>
    <n v="11500"/>
  </r>
  <r>
    <s v="ORD11305"/>
    <x v="3292"/>
    <s v="CUST1306"/>
    <s v="Customer 306"/>
    <x v="3"/>
    <s v="Haryana"/>
    <x v="2"/>
    <s v="Audio"/>
    <x v="5"/>
    <n v="2"/>
    <n v="2200"/>
    <x v="1"/>
    <n v="3300"/>
    <n v="2900"/>
    <n v="400"/>
  </r>
  <r>
    <s v="ORD12221"/>
    <x v="3293"/>
    <s v="CUST1473"/>
    <s v="Customer 473"/>
    <x v="1"/>
    <s v="Andhra Pradesh"/>
    <x v="0"/>
    <s v="Accessories"/>
    <x v="0"/>
    <n v="5"/>
    <n v="650"/>
    <x v="2"/>
    <n v="3250"/>
    <n v="1950"/>
    <n v="1300"/>
  </r>
  <r>
    <s v="ORD10108"/>
    <x v="3294"/>
    <s v="CUST1333"/>
    <s v="Customer 333"/>
    <x v="0"/>
    <s v="West Bengal"/>
    <x v="1"/>
    <s v="Kitchen"/>
    <x v="2"/>
    <n v="4"/>
    <n v="4200"/>
    <x v="0"/>
    <n v="15120"/>
    <n v="11600"/>
    <n v="3520"/>
  </r>
  <r>
    <s v="ORD10534"/>
    <x v="3295"/>
    <s v="CUST1143"/>
    <s v="Customer 143"/>
    <x v="1"/>
    <s v="Tamil Nadu"/>
    <x v="1"/>
    <s v="Kitchen"/>
    <x v="4"/>
    <n v="4"/>
    <n v="6800"/>
    <x v="5"/>
    <n v="21760"/>
    <n v="18800"/>
    <n v="2960"/>
  </r>
  <r>
    <s v="ORD10012"/>
    <x v="3296"/>
    <s v="CUST1488"/>
    <s v="Customer 488"/>
    <x v="1"/>
    <s v="Kerala"/>
    <x v="0"/>
    <s v="Paper"/>
    <x v="3"/>
    <n v="5"/>
    <n v="520"/>
    <x v="5"/>
    <n v="2080"/>
    <n v="1650"/>
    <n v="430"/>
  </r>
  <r>
    <s v="ORD11396"/>
    <x v="3297"/>
    <s v="CUST1296"/>
    <s v="Customer 296"/>
    <x v="0"/>
    <s v="West Bengal"/>
    <x v="0"/>
    <s v="Accessories"/>
    <x v="0"/>
    <n v="1"/>
    <n v="650"/>
    <x v="3"/>
    <n v="552.5"/>
    <n v="390"/>
    <n v="162.5"/>
  </r>
  <r>
    <s v="ORD11802"/>
    <x v="3298"/>
    <s v="CUST1235"/>
    <s v="Customer 235"/>
    <x v="1"/>
    <s v="Karnataka"/>
    <x v="0"/>
    <s v="Paper"/>
    <x v="3"/>
    <n v="1"/>
    <n v="520"/>
    <x v="3"/>
    <n v="442"/>
    <n v="330"/>
    <n v="112"/>
  </r>
  <r>
    <s v="ORD12519"/>
    <x v="3299"/>
    <s v="CUST1072"/>
    <s v="Customer 072"/>
    <x v="3"/>
    <s v="Punjab"/>
    <x v="0"/>
    <s v="Accessories"/>
    <x v="0"/>
    <n v="2"/>
    <n v="650"/>
    <x v="1"/>
    <n v="975"/>
    <n v="780"/>
    <n v="195"/>
  </r>
  <r>
    <s v="ORD11641"/>
    <x v="3300"/>
    <s v="CUST1361"/>
    <s v="Customer 361"/>
    <x v="1"/>
    <s v="Karnataka"/>
    <x v="0"/>
    <s v="Paper"/>
    <x v="3"/>
    <n v="4"/>
    <n v="520"/>
    <x v="4"/>
    <n v="1976"/>
    <n v="1320"/>
    <n v="656"/>
  </r>
  <r>
    <s v="ORD11255"/>
    <x v="3301"/>
    <s v="CUST1325"/>
    <s v="Customer 325"/>
    <x v="1"/>
    <s v="Kerala"/>
    <x v="1"/>
    <s v="Appliances"/>
    <x v="7"/>
    <n v="4"/>
    <n v="2400"/>
    <x v="4"/>
    <n v="9120"/>
    <n v="6600"/>
    <n v="2520"/>
  </r>
  <r>
    <s v="ORD13783"/>
    <x v="3302"/>
    <s v="CUST1053"/>
    <s v="Customer 053"/>
    <x v="2"/>
    <s v="Gujarat"/>
    <x v="0"/>
    <s v="Stationery"/>
    <x v="10"/>
    <n v="3"/>
    <n v="280"/>
    <x v="0"/>
    <n v="756"/>
    <n v="480"/>
    <n v="276"/>
  </r>
  <r>
    <s v="ORD10745"/>
    <x v="3303"/>
    <s v="CUST1398"/>
    <s v="Customer 398"/>
    <x v="1"/>
    <s v="Karnataka"/>
    <x v="0"/>
    <s v="Accessories"/>
    <x v="0"/>
    <n v="5"/>
    <n v="650"/>
    <x v="0"/>
    <n v="2925"/>
    <n v="1950"/>
    <n v="975"/>
  </r>
  <r>
    <s v="ORD12306"/>
    <x v="3304"/>
    <s v="CUST1049"/>
    <s v="Customer 049"/>
    <x v="1"/>
    <s v="Andhra Pradesh"/>
    <x v="0"/>
    <s v="Paper"/>
    <x v="3"/>
    <n v="4"/>
    <n v="520"/>
    <x v="0"/>
    <n v="1872"/>
    <n v="1320"/>
    <n v="552"/>
  </r>
  <r>
    <s v="ORD12616"/>
    <x v="3305"/>
    <s v="CUST1335"/>
    <s v="Customer 335"/>
    <x v="1"/>
    <s v="Telangana"/>
    <x v="3"/>
    <s v="Chairs"/>
    <x v="12"/>
    <n v="5"/>
    <n v="7500"/>
    <x v="4"/>
    <n v="35625"/>
    <n v="26000"/>
    <n v="9625"/>
  </r>
  <r>
    <s v="ORD13359"/>
    <x v="3306"/>
    <s v="CUST1094"/>
    <s v="Customer 094"/>
    <x v="1"/>
    <s v="Kerala"/>
    <x v="2"/>
    <s v="Monitors"/>
    <x v="11"/>
    <n v="1"/>
    <n v="10500"/>
    <x v="2"/>
    <n v="10500"/>
    <n v="7600"/>
    <n v="2900"/>
  </r>
  <r>
    <s v="ORD11011"/>
    <x v="3307"/>
    <s v="CUST1135"/>
    <s v="Customer 135"/>
    <x v="1"/>
    <s v="Tamil Nadu"/>
    <x v="3"/>
    <s v="Tables"/>
    <x v="16"/>
    <n v="5"/>
    <n v="6200"/>
    <x v="2"/>
    <n v="31000"/>
    <n v="21500"/>
    <n v="9500"/>
  </r>
  <r>
    <s v="ORD11296"/>
    <x v="3308"/>
    <s v="CUST1258"/>
    <s v="Customer 258"/>
    <x v="0"/>
    <s v="West Bengal"/>
    <x v="3"/>
    <s v="Tables"/>
    <x v="16"/>
    <n v="2"/>
    <n v="6200"/>
    <x v="4"/>
    <n v="11780"/>
    <n v="8600"/>
    <n v="3180"/>
  </r>
  <r>
    <s v="ORD10104"/>
    <x v="3309"/>
    <s v="CUST1004"/>
    <s v="Customer 004"/>
    <x v="0"/>
    <s v="Bihar"/>
    <x v="0"/>
    <s v="Stationery"/>
    <x v="15"/>
    <n v="3"/>
    <n v="450"/>
    <x v="0"/>
    <n v="1215"/>
    <n v="780"/>
    <n v="435"/>
  </r>
  <r>
    <s v="ORD12173"/>
    <x v="3310"/>
    <s v="CUST1499"/>
    <s v="Customer 499"/>
    <x v="0"/>
    <s v="West Bengal"/>
    <x v="1"/>
    <s v="Kitchen"/>
    <x v="2"/>
    <n v="5"/>
    <n v="4200"/>
    <x v="3"/>
    <n v="17850"/>
    <n v="14500"/>
    <n v="3350"/>
  </r>
  <r>
    <s v="ORD10380"/>
    <x v="3311"/>
    <s v="CUST1132"/>
    <s v="Customer 132"/>
    <x v="3"/>
    <s v="Haryana"/>
    <x v="3"/>
    <s v="Chairs"/>
    <x v="12"/>
    <n v="1"/>
    <n v="7500"/>
    <x v="5"/>
    <n v="6000"/>
    <n v="5200"/>
    <n v="800"/>
  </r>
  <r>
    <s v="ORD12351"/>
    <x v="3312"/>
    <s v="CUST1270"/>
    <s v="Customer 270"/>
    <x v="1"/>
    <s v="Tamil Nadu"/>
    <x v="2"/>
    <s v="Accessories"/>
    <x v="9"/>
    <n v="4"/>
    <n v="850"/>
    <x v="5"/>
    <n v="2720"/>
    <n v="2240"/>
    <n v="480"/>
  </r>
  <r>
    <s v="ORD10364"/>
    <x v="3313"/>
    <s v="CUST1447"/>
    <s v="Customer 447"/>
    <x v="0"/>
    <s v="Bihar"/>
    <x v="3"/>
    <s v="Storage"/>
    <x v="6"/>
    <n v="4"/>
    <n v="5600"/>
    <x v="0"/>
    <n v="20160"/>
    <n v="15600"/>
    <n v="4560"/>
  </r>
  <r>
    <s v="ORD13470"/>
    <x v="3314"/>
    <s v="CUST1434"/>
    <s v="Customer 434"/>
    <x v="1"/>
    <s v="Andhra Pradesh"/>
    <x v="0"/>
    <s v="Stationery"/>
    <x v="18"/>
    <n v="5"/>
    <n v="300"/>
    <x v="2"/>
    <n v="1500"/>
    <n v="850"/>
    <n v="650"/>
  </r>
  <r>
    <s v="ORD11373"/>
    <x v="3315"/>
    <s v="CUST1225"/>
    <s v="Customer 225"/>
    <x v="3"/>
    <s v="Delhi"/>
    <x v="0"/>
    <s v="Accessories"/>
    <x v="0"/>
    <n v="5"/>
    <n v="650"/>
    <x v="3"/>
    <n v="2762.5"/>
    <n v="1950"/>
    <n v="812.5"/>
  </r>
  <r>
    <s v="ORD11266"/>
    <x v="3316"/>
    <s v="CUST1019"/>
    <s v="Customer 019"/>
    <x v="1"/>
    <s v="Andhra Pradesh"/>
    <x v="0"/>
    <s v="Stationery"/>
    <x v="18"/>
    <n v="1"/>
    <n v="300"/>
    <x v="5"/>
    <n v="240"/>
    <n v="170"/>
    <n v="70"/>
  </r>
  <r>
    <s v="ORD10292"/>
    <x v="3317"/>
    <s v="CUST1134"/>
    <s v="Customer 134"/>
    <x v="3"/>
    <s v="Haryana"/>
    <x v="1"/>
    <s v="Kitchen"/>
    <x v="1"/>
    <n v="2"/>
    <n v="1900"/>
    <x v="0"/>
    <n v="3420"/>
    <n v="2500"/>
    <n v="920"/>
  </r>
  <r>
    <s v="ORD10342"/>
    <x v="3318"/>
    <s v="CUST1146"/>
    <s v="Customer 146"/>
    <x v="1"/>
    <s v="Andhra Pradesh"/>
    <x v="0"/>
    <s v="Stationery"/>
    <x v="10"/>
    <n v="4"/>
    <n v="280"/>
    <x v="3"/>
    <n v="952"/>
    <n v="640"/>
    <n v="312"/>
  </r>
  <r>
    <s v="ORD10237"/>
    <x v="3319"/>
    <s v="CUST1332"/>
    <s v="Customer 332"/>
    <x v="1"/>
    <s v="Kerala"/>
    <x v="1"/>
    <s v="Kitchen"/>
    <x v="4"/>
    <n v="5"/>
    <n v="6800"/>
    <x v="3"/>
    <n v="28900"/>
    <n v="23500"/>
    <n v="5400"/>
  </r>
  <r>
    <s v="ORD12405"/>
    <x v="3320"/>
    <s v="CUST1192"/>
    <s v="Customer 192"/>
    <x v="2"/>
    <s v="Rajasthan"/>
    <x v="2"/>
    <s v="Audio"/>
    <x v="17"/>
    <n v="2"/>
    <n v="2800"/>
    <x v="4"/>
    <n v="5320"/>
    <n v="3600"/>
    <n v="1720"/>
  </r>
  <r>
    <s v="ORD12722"/>
    <x v="3321"/>
    <s v="CUST1335"/>
    <s v="Customer 335"/>
    <x v="2"/>
    <s v="Gujarat"/>
    <x v="2"/>
    <s v="Accessories"/>
    <x v="13"/>
    <n v="5"/>
    <n v="1400"/>
    <x v="0"/>
    <n v="6300"/>
    <n v="4500"/>
    <n v="1800"/>
  </r>
  <r>
    <s v="ORD11265"/>
    <x v="3322"/>
    <s v="CUST1120"/>
    <s v="Customer 120"/>
    <x v="1"/>
    <s v="Telangana"/>
    <x v="2"/>
    <s v="Monitors"/>
    <x v="11"/>
    <n v="2"/>
    <n v="10500"/>
    <x v="2"/>
    <n v="21000"/>
    <n v="15200"/>
    <n v="5800"/>
  </r>
  <r>
    <s v="ORD11116"/>
    <x v="3323"/>
    <s v="CUST1246"/>
    <s v="Customer 246"/>
    <x v="2"/>
    <s v="Maharashtra"/>
    <x v="1"/>
    <s v="Kitchen"/>
    <x v="2"/>
    <n v="3"/>
    <n v="4200"/>
    <x v="2"/>
    <n v="12600"/>
    <n v="8700"/>
    <n v="3900"/>
  </r>
  <r>
    <s v="ORD12483"/>
    <x v="3324"/>
    <s v="CUST1091"/>
    <s v="Customer 091"/>
    <x v="3"/>
    <s v="Delhi"/>
    <x v="0"/>
    <s v="Paper"/>
    <x v="3"/>
    <n v="2"/>
    <n v="520"/>
    <x v="2"/>
    <n v="1040"/>
    <n v="660"/>
    <n v="380"/>
  </r>
  <r>
    <s v="ORD10956"/>
    <x v="3325"/>
    <s v="CUST1306"/>
    <s v="Customer 306"/>
    <x v="1"/>
    <s v="Kerala"/>
    <x v="3"/>
    <s v="Storage"/>
    <x v="14"/>
    <n v="3"/>
    <n v="4800"/>
    <x v="3"/>
    <n v="12240"/>
    <n v="9900"/>
    <n v="2340"/>
  </r>
  <r>
    <s v="ORD13806"/>
    <x v="3326"/>
    <s v="CUST1425"/>
    <s v="Customer 425"/>
    <x v="3"/>
    <s v="Uttar Pradesh"/>
    <x v="0"/>
    <s v="Accessories"/>
    <x v="0"/>
    <n v="5"/>
    <n v="650"/>
    <x v="3"/>
    <n v="2762.5"/>
    <n v="1950"/>
    <n v="812.5"/>
  </r>
  <r>
    <s v="ORD12133"/>
    <x v="3327"/>
    <s v="CUST1260"/>
    <s v="Customer 260"/>
    <x v="2"/>
    <s v="Rajasthan"/>
    <x v="3"/>
    <s v="Chairs"/>
    <x v="12"/>
    <n v="2"/>
    <n v="7500"/>
    <x v="5"/>
    <n v="12000"/>
    <n v="10400"/>
    <n v="1600"/>
  </r>
  <r>
    <s v="ORD11561"/>
    <x v="3328"/>
    <s v="CUST1146"/>
    <s v="Customer 146"/>
    <x v="3"/>
    <s v="Punjab"/>
    <x v="0"/>
    <s v="Stationery"/>
    <x v="10"/>
    <n v="2"/>
    <n v="280"/>
    <x v="2"/>
    <n v="560"/>
    <n v="320"/>
    <n v="240"/>
  </r>
  <r>
    <s v="ORD10011"/>
    <x v="3329"/>
    <s v="CUST1264"/>
    <s v="Customer 264"/>
    <x v="1"/>
    <s v="Tamil Nadu"/>
    <x v="1"/>
    <s v="Kitchen"/>
    <x v="2"/>
    <n v="5"/>
    <n v="4200"/>
    <x v="3"/>
    <n v="17850"/>
    <n v="14500"/>
    <n v="3350"/>
  </r>
  <r>
    <s v="ORD11948"/>
    <x v="3330"/>
    <s v="CUST1459"/>
    <s v="Customer 459"/>
    <x v="1"/>
    <s v="Andhra Pradesh"/>
    <x v="2"/>
    <s v="Accessories"/>
    <x v="8"/>
    <n v="1"/>
    <n v="1800"/>
    <x v="2"/>
    <n v="1800"/>
    <n v="1100"/>
    <n v="700"/>
  </r>
  <r>
    <s v="ORD10520"/>
    <x v="3331"/>
    <s v="CUST1298"/>
    <s v="Customer 298"/>
    <x v="1"/>
    <s v="Karnataka"/>
    <x v="2"/>
    <s v="Monitors"/>
    <x v="11"/>
    <n v="5"/>
    <n v="10500"/>
    <x v="4"/>
    <n v="49875"/>
    <n v="38000"/>
    <n v="11875"/>
  </r>
  <r>
    <s v="ORD12254"/>
    <x v="3332"/>
    <s v="CUST1251"/>
    <s v="Customer 251"/>
    <x v="2"/>
    <s v="Gujarat"/>
    <x v="2"/>
    <s v="Audio"/>
    <x v="17"/>
    <n v="2"/>
    <n v="2800"/>
    <x v="4"/>
    <n v="5320"/>
    <n v="3600"/>
    <n v="1720"/>
  </r>
  <r>
    <s v="ORD12787"/>
    <x v="3333"/>
    <s v="CUST1142"/>
    <s v="Customer 142"/>
    <x v="1"/>
    <s v="Karnataka"/>
    <x v="0"/>
    <s v="Stationery"/>
    <x v="18"/>
    <n v="5"/>
    <n v="300"/>
    <x v="4"/>
    <n v="1425"/>
    <n v="850"/>
    <n v="575"/>
  </r>
  <r>
    <s v="ORD11588"/>
    <x v="3334"/>
    <s v="CUST1040"/>
    <s v="Customer 040"/>
    <x v="2"/>
    <s v="Goa"/>
    <x v="3"/>
    <s v="Chairs"/>
    <x v="12"/>
    <n v="3"/>
    <n v="7500"/>
    <x v="4"/>
    <n v="21375"/>
    <n v="15600"/>
    <n v="5775"/>
  </r>
  <r>
    <s v="ORD12147"/>
    <x v="3335"/>
    <s v="CUST1089"/>
    <s v="Customer 089"/>
    <x v="1"/>
    <s v="Karnataka"/>
    <x v="2"/>
    <s v="Accessories"/>
    <x v="8"/>
    <n v="3"/>
    <n v="1800"/>
    <x v="3"/>
    <n v="4590"/>
    <n v="3300"/>
    <n v="1290"/>
  </r>
  <r>
    <s v="ORD13233"/>
    <x v="3336"/>
    <s v="CUST1339"/>
    <s v="Customer 339"/>
    <x v="1"/>
    <s v="Karnataka"/>
    <x v="2"/>
    <s v="Monitors"/>
    <x v="11"/>
    <n v="1"/>
    <n v="10500"/>
    <x v="4"/>
    <n v="9975"/>
    <n v="7600"/>
    <n v="2375"/>
  </r>
  <r>
    <s v="ORD12135"/>
    <x v="3337"/>
    <s v="CUST1221"/>
    <s v="Customer 221"/>
    <x v="2"/>
    <s v="Goa"/>
    <x v="3"/>
    <s v="Storage"/>
    <x v="14"/>
    <n v="2"/>
    <n v="4800"/>
    <x v="3"/>
    <n v="8160"/>
    <n v="6600"/>
    <n v="1560"/>
  </r>
  <r>
    <s v="ORD10669"/>
    <x v="3338"/>
    <s v="CUST1460"/>
    <s v="Customer 460"/>
    <x v="2"/>
    <s v="Rajasthan"/>
    <x v="0"/>
    <s v="Stationery"/>
    <x v="15"/>
    <n v="5"/>
    <n v="450"/>
    <x v="0"/>
    <n v="2025"/>
    <n v="1300"/>
    <n v="725"/>
  </r>
  <r>
    <s v="ORD12662"/>
    <x v="3339"/>
    <s v="CUST1388"/>
    <s v="Customer 388"/>
    <x v="0"/>
    <s v="West Bengal"/>
    <x v="0"/>
    <s v="Paper"/>
    <x v="3"/>
    <n v="2"/>
    <n v="520"/>
    <x v="4"/>
    <n v="988"/>
    <n v="660"/>
    <n v="328"/>
  </r>
  <r>
    <s v="ORD13107"/>
    <x v="3340"/>
    <s v="CUST1431"/>
    <s v="Customer 431"/>
    <x v="1"/>
    <s v="Telangana"/>
    <x v="0"/>
    <s v="Paper"/>
    <x v="3"/>
    <n v="5"/>
    <n v="520"/>
    <x v="1"/>
    <n v="1950"/>
    <n v="1650"/>
    <n v="300"/>
  </r>
  <r>
    <s v="ORD10957"/>
    <x v="3341"/>
    <s v="CUST1201"/>
    <s v="Customer 201"/>
    <x v="1"/>
    <s v="Kerala"/>
    <x v="0"/>
    <s v="Accessories"/>
    <x v="0"/>
    <n v="1"/>
    <n v="650"/>
    <x v="0"/>
    <n v="585"/>
    <n v="390"/>
    <n v="195"/>
  </r>
  <r>
    <s v="ORD12070"/>
    <x v="3342"/>
    <s v="CUST1210"/>
    <s v="Customer 210"/>
    <x v="1"/>
    <s v="Tamil Nadu"/>
    <x v="2"/>
    <s v="Accessories"/>
    <x v="9"/>
    <n v="2"/>
    <n v="850"/>
    <x v="2"/>
    <n v="1700"/>
    <n v="1120"/>
    <n v="580"/>
  </r>
  <r>
    <s v="ORD12348"/>
    <x v="3343"/>
    <s v="CUST1377"/>
    <s v="Customer 377"/>
    <x v="0"/>
    <s v="Bihar"/>
    <x v="0"/>
    <s v="Stationery"/>
    <x v="10"/>
    <n v="2"/>
    <n v="280"/>
    <x v="1"/>
    <n v="420"/>
    <n v="320"/>
    <n v="100"/>
  </r>
  <r>
    <s v="ORD10078"/>
    <x v="3344"/>
    <s v="CUST1114"/>
    <s v="Customer 114"/>
    <x v="1"/>
    <s v="Karnataka"/>
    <x v="2"/>
    <s v="Monitors"/>
    <x v="11"/>
    <n v="3"/>
    <n v="10500"/>
    <x v="0"/>
    <n v="28350"/>
    <n v="22800"/>
    <n v="5550"/>
  </r>
  <r>
    <s v="ORD11307"/>
    <x v="3345"/>
    <s v="CUST1128"/>
    <s v="Customer 128"/>
    <x v="1"/>
    <s v="Kerala"/>
    <x v="1"/>
    <s v="Kitchen"/>
    <x v="2"/>
    <n v="4"/>
    <n v="4200"/>
    <x v="4"/>
    <n v="15960"/>
    <n v="11600"/>
    <n v="4360"/>
  </r>
  <r>
    <s v="ORD11788"/>
    <x v="3346"/>
    <s v="CUST1050"/>
    <s v="Customer 050"/>
    <x v="1"/>
    <s v="Karnataka"/>
    <x v="3"/>
    <s v="Chairs"/>
    <x v="12"/>
    <n v="2"/>
    <n v="7500"/>
    <x v="5"/>
    <n v="12000"/>
    <n v="10400"/>
    <n v="1600"/>
  </r>
  <r>
    <s v="ORD11701"/>
    <x v="3347"/>
    <s v="CUST1133"/>
    <s v="Customer 133"/>
    <x v="0"/>
    <s v="Odisha"/>
    <x v="2"/>
    <s v="Monitors"/>
    <x v="11"/>
    <n v="1"/>
    <n v="10500"/>
    <x v="4"/>
    <n v="9975"/>
    <n v="7600"/>
    <n v="2375"/>
  </r>
  <r>
    <s v="ORD10353"/>
    <x v="3348"/>
    <s v="CUST1150"/>
    <s v="Customer 150"/>
    <x v="1"/>
    <s v="Kerala"/>
    <x v="0"/>
    <s v="Stationery"/>
    <x v="10"/>
    <n v="1"/>
    <n v="280"/>
    <x v="0"/>
    <n v="252"/>
    <n v="160"/>
    <n v="92"/>
  </r>
  <r>
    <s v="ORD11613"/>
    <x v="3349"/>
    <s v="CUST1336"/>
    <s v="Customer 336"/>
    <x v="2"/>
    <s v="Rajasthan"/>
    <x v="0"/>
    <s v="Paper"/>
    <x v="3"/>
    <n v="2"/>
    <n v="520"/>
    <x v="0"/>
    <n v="936"/>
    <n v="660"/>
    <n v="276"/>
  </r>
  <r>
    <s v="ORD10536"/>
    <x v="3350"/>
    <s v="CUST1077"/>
    <s v="Customer 077"/>
    <x v="2"/>
    <s v="Rajasthan"/>
    <x v="2"/>
    <s v="Accessories"/>
    <x v="13"/>
    <n v="1"/>
    <n v="1400"/>
    <x v="2"/>
    <n v="1400"/>
    <n v="900"/>
    <n v="500"/>
  </r>
  <r>
    <s v="ORD11563"/>
    <x v="3351"/>
    <s v="CUST1125"/>
    <s v="Customer 125"/>
    <x v="0"/>
    <s v="West Bengal"/>
    <x v="2"/>
    <s v="Audio"/>
    <x v="5"/>
    <n v="1"/>
    <n v="2200"/>
    <x v="2"/>
    <n v="2200"/>
    <n v="1450"/>
    <n v="750"/>
  </r>
  <r>
    <s v="ORD10266"/>
    <x v="3352"/>
    <s v="CUST1291"/>
    <s v="Customer 291"/>
    <x v="1"/>
    <s v="Telangana"/>
    <x v="1"/>
    <s v="Kitchen"/>
    <x v="2"/>
    <n v="2"/>
    <n v="4200"/>
    <x v="3"/>
    <n v="7140"/>
    <n v="5800"/>
    <n v="1340"/>
  </r>
  <r>
    <s v="ORD12104"/>
    <x v="3353"/>
    <s v="CUST1065"/>
    <s v="Customer 065"/>
    <x v="1"/>
    <s v="Karnataka"/>
    <x v="0"/>
    <s v="Stationery"/>
    <x v="18"/>
    <n v="2"/>
    <n v="300"/>
    <x v="5"/>
    <n v="480"/>
    <n v="340"/>
    <n v="140"/>
  </r>
  <r>
    <s v="ORD13009"/>
    <x v="3354"/>
    <s v="CUST1315"/>
    <s v="Customer 315"/>
    <x v="3"/>
    <s v="Uttar Pradesh"/>
    <x v="2"/>
    <s v="Accessories"/>
    <x v="9"/>
    <n v="4"/>
    <n v="850"/>
    <x v="0"/>
    <n v="3060"/>
    <n v="2240"/>
    <n v="820"/>
  </r>
  <r>
    <s v="ORD13290"/>
    <x v="3355"/>
    <s v="CUST1093"/>
    <s v="Customer 093"/>
    <x v="2"/>
    <s v="Goa"/>
    <x v="2"/>
    <s v="Accessories"/>
    <x v="13"/>
    <n v="1"/>
    <n v="1400"/>
    <x v="0"/>
    <n v="1260"/>
    <n v="900"/>
    <n v="360"/>
  </r>
  <r>
    <s v="ORD10326"/>
    <x v="3356"/>
    <s v="CUST1116"/>
    <s v="Customer 116"/>
    <x v="0"/>
    <s v="Odisha"/>
    <x v="2"/>
    <s v="Accessories"/>
    <x v="13"/>
    <n v="4"/>
    <n v="1400"/>
    <x v="3"/>
    <n v="4760"/>
    <n v="3600"/>
    <n v="1160"/>
  </r>
  <r>
    <s v="ORD13552"/>
    <x v="3357"/>
    <s v="CUST1262"/>
    <s v="Customer 262"/>
    <x v="1"/>
    <s v="Kerala"/>
    <x v="1"/>
    <s v="Kitchen"/>
    <x v="2"/>
    <n v="2"/>
    <n v="4200"/>
    <x v="3"/>
    <n v="7140"/>
    <n v="5800"/>
    <n v="1340"/>
  </r>
  <r>
    <s v="ORD11841"/>
    <x v="3358"/>
    <s v="CUST1213"/>
    <s v="Customer 213"/>
    <x v="3"/>
    <s v="Haryana"/>
    <x v="0"/>
    <s v="Stationery"/>
    <x v="18"/>
    <n v="1"/>
    <n v="300"/>
    <x v="4"/>
    <n v="285"/>
    <n v="170"/>
    <n v="115"/>
  </r>
  <r>
    <s v="ORD10221"/>
    <x v="3359"/>
    <s v="CUST1064"/>
    <s v="Customer 064"/>
    <x v="1"/>
    <s v="Telangana"/>
    <x v="2"/>
    <s v="Monitors"/>
    <x v="11"/>
    <n v="4"/>
    <n v="10500"/>
    <x v="3"/>
    <n v="35700"/>
    <n v="30400"/>
    <n v="5300"/>
  </r>
  <r>
    <s v="ORD11654"/>
    <x v="3360"/>
    <s v="CUST1298"/>
    <s v="Customer 298"/>
    <x v="1"/>
    <s v="Tamil Nadu"/>
    <x v="0"/>
    <s v="Stationery"/>
    <x v="18"/>
    <n v="4"/>
    <n v="300"/>
    <x v="5"/>
    <n v="960"/>
    <n v="680"/>
    <n v="280"/>
  </r>
  <r>
    <s v="ORD12102"/>
    <x v="3361"/>
    <s v="CUST1334"/>
    <s v="Customer 334"/>
    <x v="2"/>
    <s v="Rajasthan"/>
    <x v="0"/>
    <s v="Stationery"/>
    <x v="15"/>
    <n v="3"/>
    <n v="450"/>
    <x v="1"/>
    <n v="1012.5"/>
    <n v="780"/>
    <n v="232.5"/>
  </r>
  <r>
    <s v="ORD11980"/>
    <x v="3362"/>
    <s v="CUST1398"/>
    <s v="Customer 398"/>
    <x v="2"/>
    <s v="Maharashtra"/>
    <x v="2"/>
    <s v="Accessories"/>
    <x v="13"/>
    <n v="4"/>
    <n v="1400"/>
    <x v="4"/>
    <n v="5320"/>
    <n v="3600"/>
    <n v="1720"/>
  </r>
  <r>
    <s v="ORD12220"/>
    <x v="3363"/>
    <s v="CUST1097"/>
    <s v="Customer 097"/>
    <x v="3"/>
    <s v="Delhi"/>
    <x v="0"/>
    <s v="Stationery"/>
    <x v="15"/>
    <n v="3"/>
    <n v="450"/>
    <x v="1"/>
    <n v="1012.5"/>
    <n v="780"/>
    <n v="232.5"/>
  </r>
  <r>
    <s v="ORD10553"/>
    <x v="3364"/>
    <s v="CUST1415"/>
    <s v="Customer 415"/>
    <x v="2"/>
    <s v="Goa"/>
    <x v="0"/>
    <s v="Paper"/>
    <x v="3"/>
    <n v="1"/>
    <n v="520"/>
    <x v="4"/>
    <n v="494"/>
    <n v="330"/>
    <n v="164"/>
  </r>
  <r>
    <s v="ORD11212"/>
    <x v="3365"/>
    <s v="CUST1392"/>
    <s v="Customer 392"/>
    <x v="3"/>
    <s v="Delhi"/>
    <x v="3"/>
    <s v="Storage"/>
    <x v="6"/>
    <n v="1"/>
    <n v="5600"/>
    <x v="4"/>
    <n v="5320"/>
    <n v="3900"/>
    <n v="1420"/>
  </r>
  <r>
    <s v="ORD12761"/>
    <x v="3366"/>
    <s v="CUST1067"/>
    <s v="Customer 067"/>
    <x v="2"/>
    <s v="Goa"/>
    <x v="2"/>
    <s v="Accessories"/>
    <x v="13"/>
    <n v="5"/>
    <n v="1400"/>
    <x v="2"/>
    <n v="7000"/>
    <n v="4500"/>
    <n v="2500"/>
  </r>
  <r>
    <s v="ORD11778"/>
    <x v="3367"/>
    <s v="CUST1082"/>
    <s v="Customer 082"/>
    <x v="1"/>
    <s v="Telangana"/>
    <x v="0"/>
    <s v="Stationery"/>
    <x v="18"/>
    <n v="1"/>
    <n v="300"/>
    <x v="4"/>
    <n v="285"/>
    <n v="170"/>
    <n v="115"/>
  </r>
  <r>
    <s v="ORD11019"/>
    <x v="3368"/>
    <s v="CUST1021"/>
    <s v="Customer 021"/>
    <x v="1"/>
    <s v="Andhra Pradesh"/>
    <x v="0"/>
    <s v="Paper"/>
    <x v="3"/>
    <n v="3"/>
    <n v="520"/>
    <x v="4"/>
    <n v="1482"/>
    <n v="990"/>
    <n v="492"/>
  </r>
  <r>
    <s v="ORD12881"/>
    <x v="3369"/>
    <s v="CUST1021"/>
    <s v="Customer 021"/>
    <x v="1"/>
    <s v="Karnataka"/>
    <x v="2"/>
    <s v="Accessories"/>
    <x v="9"/>
    <n v="5"/>
    <n v="850"/>
    <x v="0"/>
    <n v="3825"/>
    <n v="2800"/>
    <n v="1025"/>
  </r>
  <r>
    <s v="ORD11485"/>
    <x v="3370"/>
    <s v="CUST1208"/>
    <s v="Customer 208"/>
    <x v="3"/>
    <s v="Punjab"/>
    <x v="0"/>
    <s v="Stationery"/>
    <x v="15"/>
    <n v="2"/>
    <n v="450"/>
    <x v="4"/>
    <n v="855"/>
    <n v="520"/>
    <n v="335"/>
  </r>
  <r>
    <s v="ORD12063"/>
    <x v="3371"/>
    <s v="CUST1075"/>
    <s v="Customer 075"/>
    <x v="1"/>
    <s v="Telangana"/>
    <x v="0"/>
    <s v="Paper"/>
    <x v="3"/>
    <n v="3"/>
    <n v="520"/>
    <x v="2"/>
    <n v="1560"/>
    <n v="990"/>
    <n v="570"/>
  </r>
  <r>
    <s v="ORD10279"/>
    <x v="3372"/>
    <s v="CUST1033"/>
    <s v="Customer 033"/>
    <x v="3"/>
    <s v="Delhi"/>
    <x v="1"/>
    <s v="Kitchen"/>
    <x v="4"/>
    <n v="2"/>
    <n v="6800"/>
    <x v="4"/>
    <n v="12920"/>
    <n v="9400"/>
    <n v="3520"/>
  </r>
  <r>
    <s v="ORD13089"/>
    <x v="3373"/>
    <s v="CUST1116"/>
    <s v="Customer 116"/>
    <x v="0"/>
    <s v="Odisha"/>
    <x v="1"/>
    <s v="Kitchen"/>
    <x v="4"/>
    <n v="2"/>
    <n v="6800"/>
    <x v="1"/>
    <n v="10200"/>
    <n v="9400"/>
    <n v="800"/>
  </r>
  <r>
    <s v="ORD10316"/>
    <x v="3374"/>
    <s v="CUST1330"/>
    <s v="Customer 330"/>
    <x v="1"/>
    <s v="Tamil Nadu"/>
    <x v="3"/>
    <s v="Storage"/>
    <x v="14"/>
    <n v="5"/>
    <n v="4800"/>
    <x v="3"/>
    <n v="20400"/>
    <n v="16500"/>
    <n v="3900"/>
  </r>
  <r>
    <s v="ORD10966"/>
    <x v="3375"/>
    <s v="CUST1295"/>
    <s v="Customer 295"/>
    <x v="2"/>
    <s v="Rajasthan"/>
    <x v="2"/>
    <s v="Accessories"/>
    <x v="9"/>
    <n v="3"/>
    <n v="850"/>
    <x v="1"/>
    <n v="1912.5"/>
    <n v="1680"/>
    <n v="232.5"/>
  </r>
  <r>
    <s v="ORD10446"/>
    <x v="3376"/>
    <s v="CUST1332"/>
    <s v="Customer 332"/>
    <x v="2"/>
    <s v="Goa"/>
    <x v="2"/>
    <s v="Monitors"/>
    <x v="11"/>
    <n v="3"/>
    <n v="10500"/>
    <x v="2"/>
    <n v="31500"/>
    <n v="22800"/>
    <n v="8700"/>
  </r>
  <r>
    <s v="ORD11710"/>
    <x v="3377"/>
    <s v="CUST1107"/>
    <s v="Customer 107"/>
    <x v="3"/>
    <s v="Delhi"/>
    <x v="0"/>
    <s v="Stationery"/>
    <x v="18"/>
    <n v="4"/>
    <n v="300"/>
    <x v="5"/>
    <n v="960"/>
    <n v="680"/>
    <n v="280"/>
  </r>
  <r>
    <s v="ORD12042"/>
    <x v="3378"/>
    <s v="CUST1447"/>
    <s v="Customer 447"/>
    <x v="3"/>
    <s v="Uttar Pradesh"/>
    <x v="3"/>
    <s v="Storage"/>
    <x v="6"/>
    <n v="4"/>
    <n v="5600"/>
    <x v="2"/>
    <n v="22400"/>
    <n v="15600"/>
    <n v="6800"/>
  </r>
  <r>
    <s v="ORD12786"/>
    <x v="3379"/>
    <s v="CUST1059"/>
    <s v="Customer 059"/>
    <x v="3"/>
    <s v="Delhi"/>
    <x v="1"/>
    <s v="Appliances"/>
    <x v="7"/>
    <n v="3"/>
    <n v="2400"/>
    <x v="0"/>
    <n v="6480"/>
    <n v="4950"/>
    <n v="1530"/>
  </r>
  <r>
    <s v="ORD13536"/>
    <x v="3380"/>
    <s v="CUST1038"/>
    <s v="Customer 038"/>
    <x v="3"/>
    <s v="Punjab"/>
    <x v="2"/>
    <s v="Audio"/>
    <x v="5"/>
    <n v="3"/>
    <n v="2200"/>
    <x v="4"/>
    <n v="6270"/>
    <n v="4350"/>
    <n v="1920"/>
  </r>
  <r>
    <s v="ORD10779"/>
    <x v="3381"/>
    <s v="CUST1136"/>
    <s v="Customer 136"/>
    <x v="1"/>
    <s v="Karnataka"/>
    <x v="1"/>
    <s v="Kitchen"/>
    <x v="4"/>
    <n v="4"/>
    <n v="6800"/>
    <x v="2"/>
    <n v="27200"/>
    <n v="18800"/>
    <n v="8400"/>
  </r>
  <r>
    <s v="ORD13215"/>
    <x v="3382"/>
    <s v="CUST1281"/>
    <s v="Customer 281"/>
    <x v="1"/>
    <s v="Tamil Nadu"/>
    <x v="2"/>
    <s v="Monitors"/>
    <x v="11"/>
    <n v="3"/>
    <n v="10500"/>
    <x v="3"/>
    <n v="26775"/>
    <n v="22800"/>
    <n v="3975"/>
  </r>
  <r>
    <s v="ORD10169"/>
    <x v="3383"/>
    <s v="CUST1168"/>
    <s v="Customer 168"/>
    <x v="1"/>
    <s v="Andhra Pradesh"/>
    <x v="2"/>
    <s v="Accessories"/>
    <x v="8"/>
    <n v="2"/>
    <n v="1800"/>
    <x v="3"/>
    <n v="3060"/>
    <n v="2200"/>
    <n v="860"/>
  </r>
  <r>
    <s v="ORD13079"/>
    <x v="3384"/>
    <s v="CUST1104"/>
    <s v="Customer 104"/>
    <x v="1"/>
    <s v="Karnataka"/>
    <x v="2"/>
    <s v="Accessories"/>
    <x v="8"/>
    <n v="1"/>
    <n v="1800"/>
    <x v="3"/>
    <n v="1530"/>
    <n v="1100"/>
    <n v="430"/>
  </r>
  <r>
    <s v="ORD13306"/>
    <x v="3385"/>
    <s v="CUST1128"/>
    <s v="Customer 128"/>
    <x v="2"/>
    <s v="Goa"/>
    <x v="0"/>
    <s v="Stationery"/>
    <x v="15"/>
    <n v="1"/>
    <n v="450"/>
    <x v="4"/>
    <n v="427.5"/>
    <n v="260"/>
    <n v="167.5"/>
  </r>
  <r>
    <s v="ORD12000"/>
    <x v="3386"/>
    <s v="CUST1141"/>
    <s v="Customer 141"/>
    <x v="1"/>
    <s v="Telangana"/>
    <x v="3"/>
    <s v="Storage"/>
    <x v="14"/>
    <n v="3"/>
    <n v="4800"/>
    <x v="2"/>
    <n v="14400"/>
    <n v="9900"/>
    <n v="4500"/>
  </r>
  <r>
    <s v="ORD11161"/>
    <x v="3387"/>
    <s v="CUST1292"/>
    <s v="Customer 292"/>
    <x v="0"/>
    <s v="Odisha"/>
    <x v="2"/>
    <s v="Accessories"/>
    <x v="8"/>
    <n v="2"/>
    <n v="1800"/>
    <x v="0"/>
    <n v="3240"/>
    <n v="2200"/>
    <n v="1040"/>
  </r>
  <r>
    <s v="ORD10345"/>
    <x v="3388"/>
    <s v="CUST1453"/>
    <s v="Customer 453"/>
    <x v="3"/>
    <s v="Haryana"/>
    <x v="1"/>
    <s v="Kitchen"/>
    <x v="1"/>
    <n v="3"/>
    <n v="1900"/>
    <x v="3"/>
    <n v="4845"/>
    <n v="3750"/>
    <n v="1095"/>
  </r>
  <r>
    <s v="ORD10291"/>
    <x v="3389"/>
    <s v="CUST1404"/>
    <s v="Customer 404"/>
    <x v="0"/>
    <s v="Bihar"/>
    <x v="0"/>
    <s v="Stationery"/>
    <x v="10"/>
    <n v="5"/>
    <n v="280"/>
    <x v="0"/>
    <n v="1260"/>
    <n v="800"/>
    <n v="460"/>
  </r>
  <r>
    <s v="ORD13345"/>
    <x v="3390"/>
    <s v="CUST1269"/>
    <s v="Customer 269"/>
    <x v="1"/>
    <s v="Telangana"/>
    <x v="0"/>
    <s v="Stationery"/>
    <x v="10"/>
    <n v="3"/>
    <n v="280"/>
    <x v="5"/>
    <n v="672"/>
    <n v="480"/>
    <n v="192"/>
  </r>
  <r>
    <s v="ORD10834"/>
    <x v="3391"/>
    <s v="CUST1072"/>
    <s v="Customer 072"/>
    <x v="3"/>
    <s v="Punjab"/>
    <x v="0"/>
    <s v="Stationery"/>
    <x v="18"/>
    <n v="3"/>
    <n v="300"/>
    <x v="0"/>
    <n v="810"/>
    <n v="510"/>
    <n v="300"/>
  </r>
  <r>
    <s v="ORD11559"/>
    <x v="3392"/>
    <s v="CUST1498"/>
    <s v="Customer 498"/>
    <x v="2"/>
    <s v="Goa"/>
    <x v="3"/>
    <s v="Storage"/>
    <x v="14"/>
    <n v="4"/>
    <n v="4800"/>
    <x v="3"/>
    <n v="16320"/>
    <n v="13200"/>
    <n v="3120"/>
  </r>
  <r>
    <s v="ORD11155"/>
    <x v="3393"/>
    <s v="CUST1153"/>
    <s v="Customer 153"/>
    <x v="1"/>
    <s v="Andhra Pradesh"/>
    <x v="3"/>
    <s v="Chairs"/>
    <x v="12"/>
    <n v="5"/>
    <n v="7500"/>
    <x v="1"/>
    <n v="28125"/>
    <n v="26000"/>
    <n v="2125"/>
  </r>
  <r>
    <s v="ORD12110"/>
    <x v="3394"/>
    <s v="CUST1142"/>
    <s v="Customer 142"/>
    <x v="2"/>
    <s v="Maharashtra"/>
    <x v="3"/>
    <s v="Tables"/>
    <x v="16"/>
    <n v="3"/>
    <n v="6200"/>
    <x v="2"/>
    <n v="18600"/>
    <n v="12900"/>
    <n v="5700"/>
  </r>
  <r>
    <s v="ORD10234"/>
    <x v="3395"/>
    <s v="CUST1380"/>
    <s v="Customer 380"/>
    <x v="0"/>
    <s v="Odisha"/>
    <x v="0"/>
    <s v="Paper"/>
    <x v="3"/>
    <n v="2"/>
    <n v="520"/>
    <x v="3"/>
    <n v="884"/>
    <n v="660"/>
    <n v="224"/>
  </r>
  <r>
    <s v="ORD13211"/>
    <x v="3396"/>
    <s v="CUST1481"/>
    <s v="Customer 481"/>
    <x v="2"/>
    <s v="Maharashtra"/>
    <x v="0"/>
    <s v="Accessories"/>
    <x v="0"/>
    <n v="3"/>
    <n v="650"/>
    <x v="3"/>
    <n v="1657.5"/>
    <n v="1170"/>
    <n v="487.5"/>
  </r>
  <r>
    <s v="ORD13446"/>
    <x v="3397"/>
    <s v="CUST1356"/>
    <s v="Customer 356"/>
    <x v="1"/>
    <s v="Tamil Nadu"/>
    <x v="2"/>
    <s v="Monitors"/>
    <x v="11"/>
    <n v="4"/>
    <n v="10500"/>
    <x v="5"/>
    <n v="33600"/>
    <n v="30400"/>
    <n v="3200"/>
  </r>
  <r>
    <s v="ORD13442"/>
    <x v="3398"/>
    <s v="CUST1013"/>
    <s v="Customer 013"/>
    <x v="3"/>
    <s v="Delhi"/>
    <x v="2"/>
    <s v="Audio"/>
    <x v="17"/>
    <n v="4"/>
    <n v="2800"/>
    <x v="3"/>
    <n v="9520"/>
    <n v="7200"/>
    <n v="2320"/>
  </r>
  <r>
    <s v="ORD10741"/>
    <x v="3399"/>
    <s v="CUST1409"/>
    <s v="Customer 409"/>
    <x v="1"/>
    <s v="Kerala"/>
    <x v="2"/>
    <s v="Accessories"/>
    <x v="13"/>
    <n v="2"/>
    <n v="1400"/>
    <x v="3"/>
    <n v="2380"/>
    <n v="1800"/>
    <n v="580"/>
  </r>
  <r>
    <s v="ORD10437"/>
    <x v="3400"/>
    <s v="CUST1284"/>
    <s v="Customer 284"/>
    <x v="2"/>
    <s v="Gujarat"/>
    <x v="3"/>
    <s v="Tables"/>
    <x v="16"/>
    <n v="4"/>
    <n v="6200"/>
    <x v="4"/>
    <n v="23560"/>
    <n v="17200"/>
    <n v="6360"/>
  </r>
  <r>
    <s v="ORD10921"/>
    <x v="3401"/>
    <s v="CUST1437"/>
    <s v="Customer 437"/>
    <x v="0"/>
    <s v="Jharkhand"/>
    <x v="3"/>
    <s v="Chairs"/>
    <x v="12"/>
    <n v="2"/>
    <n v="7500"/>
    <x v="5"/>
    <n v="12000"/>
    <n v="10400"/>
    <n v="1600"/>
  </r>
  <r>
    <s v="ORD12416"/>
    <x v="3402"/>
    <s v="CUST1244"/>
    <s v="Customer 244"/>
    <x v="3"/>
    <s v="Delhi"/>
    <x v="1"/>
    <s v="Appliances"/>
    <x v="7"/>
    <n v="1"/>
    <n v="2400"/>
    <x v="3"/>
    <n v="2040"/>
    <n v="1650"/>
    <n v="390"/>
  </r>
  <r>
    <s v="ORD10665"/>
    <x v="3403"/>
    <s v="CUST1299"/>
    <s v="Customer 299"/>
    <x v="2"/>
    <s v="Gujarat"/>
    <x v="2"/>
    <s v="Audio"/>
    <x v="5"/>
    <n v="2"/>
    <n v="2200"/>
    <x v="0"/>
    <n v="3960"/>
    <n v="2900"/>
    <n v="1060"/>
  </r>
  <r>
    <s v="ORD10457"/>
    <x v="3404"/>
    <s v="CUST1075"/>
    <s v="Customer 075"/>
    <x v="2"/>
    <s v="Maharashtra"/>
    <x v="1"/>
    <s v="Kitchen"/>
    <x v="2"/>
    <n v="3"/>
    <n v="4200"/>
    <x v="3"/>
    <n v="10710"/>
    <n v="8700"/>
    <n v="2010"/>
  </r>
  <r>
    <s v="ORD12749"/>
    <x v="3405"/>
    <s v="CUST1208"/>
    <s v="Customer 208"/>
    <x v="3"/>
    <s v="Punjab"/>
    <x v="3"/>
    <s v="Tables"/>
    <x v="16"/>
    <n v="4"/>
    <n v="6200"/>
    <x v="3"/>
    <n v="21080"/>
    <n v="17200"/>
    <n v="3880"/>
  </r>
  <r>
    <s v="ORD11359"/>
    <x v="3406"/>
    <s v="CUST1052"/>
    <s v="Customer 052"/>
    <x v="3"/>
    <s v="Delhi"/>
    <x v="0"/>
    <s v="Stationery"/>
    <x v="10"/>
    <n v="5"/>
    <n v="280"/>
    <x v="3"/>
    <n v="1190"/>
    <n v="800"/>
    <n v="390"/>
  </r>
  <r>
    <s v="ORD11875"/>
    <x v="3407"/>
    <s v="CUST1205"/>
    <s v="Customer 205"/>
    <x v="0"/>
    <s v="Jharkhand"/>
    <x v="2"/>
    <s v="Audio"/>
    <x v="5"/>
    <n v="2"/>
    <n v="2200"/>
    <x v="2"/>
    <n v="4400"/>
    <n v="2900"/>
    <n v="1500"/>
  </r>
  <r>
    <s v="ORD11281"/>
    <x v="3408"/>
    <s v="CUST1370"/>
    <s v="Customer 370"/>
    <x v="2"/>
    <s v="Goa"/>
    <x v="1"/>
    <s v="Kitchen"/>
    <x v="4"/>
    <n v="4"/>
    <n v="6800"/>
    <x v="0"/>
    <n v="24480"/>
    <n v="18800"/>
    <n v="5680"/>
  </r>
  <r>
    <s v="ORD13971"/>
    <x v="3409"/>
    <s v="CUST1239"/>
    <s v="Customer 239"/>
    <x v="1"/>
    <s v="Telangana"/>
    <x v="0"/>
    <s v="Accessories"/>
    <x v="0"/>
    <n v="4"/>
    <n v="650"/>
    <x v="0"/>
    <n v="2340"/>
    <n v="1560"/>
    <n v="780"/>
  </r>
  <r>
    <s v="ORD10700"/>
    <x v="3410"/>
    <s v="CUST1048"/>
    <s v="Customer 048"/>
    <x v="0"/>
    <s v="Bihar"/>
    <x v="2"/>
    <s v="Accessories"/>
    <x v="13"/>
    <n v="2"/>
    <n v="1400"/>
    <x v="0"/>
    <n v="2520"/>
    <n v="1800"/>
    <n v="720"/>
  </r>
  <r>
    <s v="ORD11970"/>
    <x v="3411"/>
    <s v="CUST1077"/>
    <s v="Customer 077"/>
    <x v="1"/>
    <s v="Karnataka"/>
    <x v="3"/>
    <s v="Tables"/>
    <x v="16"/>
    <n v="3"/>
    <n v="6200"/>
    <x v="4"/>
    <n v="17670"/>
    <n v="12900"/>
    <n v="4770"/>
  </r>
  <r>
    <s v="ORD11309"/>
    <x v="3412"/>
    <s v="CUST1208"/>
    <s v="Customer 208"/>
    <x v="2"/>
    <s v="Gujarat"/>
    <x v="3"/>
    <s v="Chairs"/>
    <x v="12"/>
    <n v="5"/>
    <n v="7500"/>
    <x v="3"/>
    <n v="31875"/>
    <n v="26000"/>
    <n v="5875"/>
  </r>
  <r>
    <s v="ORD11974"/>
    <x v="3413"/>
    <s v="CUST1171"/>
    <s v="Customer 171"/>
    <x v="1"/>
    <s v="Kerala"/>
    <x v="2"/>
    <s v="Accessories"/>
    <x v="8"/>
    <n v="1"/>
    <n v="1800"/>
    <x v="3"/>
    <n v="1530"/>
    <n v="1100"/>
    <n v="430"/>
  </r>
  <r>
    <s v="ORD12003"/>
    <x v="3414"/>
    <s v="CUST1199"/>
    <s v="Customer 199"/>
    <x v="3"/>
    <s v="Delhi"/>
    <x v="2"/>
    <s v="Accessories"/>
    <x v="9"/>
    <n v="1"/>
    <n v="850"/>
    <x v="2"/>
    <n v="850"/>
    <n v="560"/>
    <n v="290"/>
  </r>
  <r>
    <s v="ORD10088"/>
    <x v="3415"/>
    <s v="CUST1157"/>
    <s v="Customer 157"/>
    <x v="1"/>
    <s v="Andhra Pradesh"/>
    <x v="2"/>
    <s v="Accessories"/>
    <x v="9"/>
    <n v="2"/>
    <n v="850"/>
    <x v="5"/>
    <n v="1360"/>
    <n v="1120"/>
    <n v="240"/>
  </r>
  <r>
    <s v="ORD12737"/>
    <x v="3416"/>
    <s v="CUST1288"/>
    <s v="Customer 288"/>
    <x v="3"/>
    <s v="Punjab"/>
    <x v="3"/>
    <s v="Chairs"/>
    <x v="12"/>
    <n v="5"/>
    <n v="7500"/>
    <x v="3"/>
    <n v="31875"/>
    <n v="26000"/>
    <n v="5875"/>
  </r>
  <r>
    <s v="ORD11574"/>
    <x v="3417"/>
    <s v="CUST1407"/>
    <s v="Customer 407"/>
    <x v="2"/>
    <s v="Gujarat"/>
    <x v="0"/>
    <s v="Accessories"/>
    <x v="0"/>
    <n v="2"/>
    <n v="650"/>
    <x v="0"/>
    <n v="1170"/>
    <n v="780"/>
    <n v="390"/>
  </r>
  <r>
    <s v="ORD10891"/>
    <x v="3418"/>
    <s v="CUST1050"/>
    <s v="Customer 050"/>
    <x v="1"/>
    <s v="Tamil Nadu"/>
    <x v="0"/>
    <s v="Stationery"/>
    <x v="18"/>
    <n v="2"/>
    <n v="300"/>
    <x v="2"/>
    <n v="600"/>
    <n v="340"/>
    <n v="260"/>
  </r>
  <r>
    <s v="ORD10646"/>
    <x v="3419"/>
    <s v="CUST1165"/>
    <s v="Customer 165"/>
    <x v="0"/>
    <s v="Jharkhand"/>
    <x v="3"/>
    <s v="Chairs"/>
    <x v="12"/>
    <n v="2"/>
    <n v="7500"/>
    <x v="0"/>
    <n v="13500"/>
    <n v="10400"/>
    <n v="3100"/>
  </r>
  <r>
    <s v="ORD13852"/>
    <x v="3420"/>
    <s v="CUST1023"/>
    <s v="Customer 023"/>
    <x v="3"/>
    <s v="Delhi"/>
    <x v="2"/>
    <s v="Audio"/>
    <x v="17"/>
    <n v="3"/>
    <n v="2800"/>
    <x v="3"/>
    <n v="7140"/>
    <n v="5400"/>
    <n v="1740"/>
  </r>
  <r>
    <s v="ORD12036"/>
    <x v="3421"/>
    <s v="CUST1424"/>
    <s v="Customer 424"/>
    <x v="1"/>
    <s v="Tamil Nadu"/>
    <x v="1"/>
    <s v="Kitchen"/>
    <x v="2"/>
    <n v="3"/>
    <n v="4200"/>
    <x v="0"/>
    <n v="11340"/>
    <n v="8700"/>
    <n v="2640"/>
  </r>
  <r>
    <s v="ORD13825"/>
    <x v="3422"/>
    <s v="CUST1297"/>
    <s v="Customer 297"/>
    <x v="1"/>
    <s v="Telangana"/>
    <x v="0"/>
    <s v="Stationery"/>
    <x v="15"/>
    <n v="4"/>
    <n v="450"/>
    <x v="2"/>
    <n v="1800"/>
    <n v="1040"/>
    <n v="760"/>
  </r>
  <r>
    <s v="ORD11362"/>
    <x v="3423"/>
    <s v="CUST1034"/>
    <s v="Customer 034"/>
    <x v="1"/>
    <s v="Telangana"/>
    <x v="3"/>
    <s v="Storage"/>
    <x v="6"/>
    <n v="2"/>
    <n v="5600"/>
    <x v="1"/>
    <n v="8400"/>
    <n v="7800"/>
    <n v="600"/>
  </r>
  <r>
    <s v="ORD10210"/>
    <x v="3424"/>
    <s v="CUST1390"/>
    <s v="Customer 390"/>
    <x v="1"/>
    <s v="Kerala"/>
    <x v="1"/>
    <s v="Kitchen"/>
    <x v="4"/>
    <n v="4"/>
    <n v="6800"/>
    <x v="2"/>
    <n v="27200"/>
    <n v="18800"/>
    <n v="8400"/>
  </r>
  <r>
    <s v="ORD11389"/>
    <x v="3425"/>
    <s v="CUST1446"/>
    <s v="Customer 446"/>
    <x v="2"/>
    <s v="Gujarat"/>
    <x v="2"/>
    <s v="Monitors"/>
    <x v="11"/>
    <n v="4"/>
    <n v="10500"/>
    <x v="4"/>
    <n v="39900"/>
    <n v="30400"/>
    <n v="9500"/>
  </r>
  <r>
    <s v="ORD10262"/>
    <x v="3426"/>
    <s v="CUST1086"/>
    <s v="Customer 086"/>
    <x v="0"/>
    <s v="Odisha"/>
    <x v="2"/>
    <s v="Audio"/>
    <x v="17"/>
    <n v="1"/>
    <n v="2800"/>
    <x v="3"/>
    <n v="2380"/>
    <n v="1800"/>
    <n v="580"/>
  </r>
  <r>
    <s v="ORD12558"/>
    <x v="3427"/>
    <s v="CUST1434"/>
    <s v="Customer 434"/>
    <x v="3"/>
    <s v="Haryana"/>
    <x v="2"/>
    <s v="Accessories"/>
    <x v="13"/>
    <n v="2"/>
    <n v="1400"/>
    <x v="3"/>
    <n v="2380"/>
    <n v="1800"/>
    <n v="580"/>
  </r>
  <r>
    <s v="ORD10939"/>
    <x v="3428"/>
    <s v="CUST1231"/>
    <s v="Customer 231"/>
    <x v="1"/>
    <s v="Telangana"/>
    <x v="3"/>
    <s v="Storage"/>
    <x v="6"/>
    <n v="5"/>
    <n v="5600"/>
    <x v="4"/>
    <n v="26600"/>
    <n v="19500"/>
    <n v="7100"/>
  </r>
  <r>
    <s v="ORD11375"/>
    <x v="3429"/>
    <s v="CUST1444"/>
    <s v="Customer 444"/>
    <x v="2"/>
    <s v="Rajasthan"/>
    <x v="0"/>
    <s v="Stationery"/>
    <x v="15"/>
    <n v="1"/>
    <n v="450"/>
    <x v="0"/>
    <n v="405"/>
    <n v="260"/>
    <n v="145"/>
  </r>
  <r>
    <s v="ORD11243"/>
    <x v="3430"/>
    <s v="CUST1482"/>
    <s v="Customer 482"/>
    <x v="0"/>
    <s v="Odisha"/>
    <x v="2"/>
    <s v="Monitors"/>
    <x v="11"/>
    <n v="2"/>
    <n v="10500"/>
    <x v="3"/>
    <n v="17850"/>
    <n v="15200"/>
    <n v="2650"/>
  </r>
  <r>
    <s v="ORD12506"/>
    <x v="3431"/>
    <s v="CUST1058"/>
    <s v="Customer 058"/>
    <x v="1"/>
    <s v="Andhra Pradesh"/>
    <x v="0"/>
    <s v="Stationery"/>
    <x v="10"/>
    <n v="5"/>
    <n v="280"/>
    <x v="3"/>
    <n v="1190"/>
    <n v="800"/>
    <n v="390"/>
  </r>
  <r>
    <s v="ORD12069"/>
    <x v="3432"/>
    <s v="CUST1166"/>
    <s v="Customer 166"/>
    <x v="0"/>
    <s v="Bihar"/>
    <x v="2"/>
    <s v="Audio"/>
    <x v="17"/>
    <n v="2"/>
    <n v="2800"/>
    <x v="0"/>
    <n v="5040"/>
    <n v="3600"/>
    <n v="1440"/>
  </r>
  <r>
    <s v="ORD11953"/>
    <x v="3433"/>
    <s v="CUST1036"/>
    <s v="Customer 036"/>
    <x v="0"/>
    <s v="Bihar"/>
    <x v="0"/>
    <s v="Stationery"/>
    <x v="18"/>
    <n v="5"/>
    <n v="300"/>
    <x v="0"/>
    <n v="1350"/>
    <n v="850"/>
    <n v="500"/>
  </r>
  <r>
    <s v="ORD13727"/>
    <x v="3434"/>
    <s v="CUST1055"/>
    <s v="Customer 055"/>
    <x v="2"/>
    <s v="Rajasthan"/>
    <x v="3"/>
    <s v="Storage"/>
    <x v="6"/>
    <n v="1"/>
    <n v="5600"/>
    <x v="5"/>
    <n v="4480"/>
    <n v="3900"/>
    <n v="580"/>
  </r>
  <r>
    <s v="ORD12393"/>
    <x v="3435"/>
    <s v="CUST1309"/>
    <s v="Customer 309"/>
    <x v="2"/>
    <s v="Goa"/>
    <x v="0"/>
    <s v="Stationery"/>
    <x v="18"/>
    <n v="3"/>
    <n v="300"/>
    <x v="2"/>
    <n v="900"/>
    <n v="510"/>
    <n v="390"/>
  </r>
  <r>
    <s v="ORD12507"/>
    <x v="3436"/>
    <s v="CUST1230"/>
    <s v="Customer 230"/>
    <x v="1"/>
    <s v="Karnataka"/>
    <x v="0"/>
    <s v="Stationery"/>
    <x v="15"/>
    <n v="4"/>
    <n v="450"/>
    <x v="4"/>
    <n v="1710"/>
    <n v="1040"/>
    <n v="670"/>
  </r>
  <r>
    <s v="ORD12049"/>
    <x v="3437"/>
    <s v="CUST1376"/>
    <s v="Customer 376"/>
    <x v="1"/>
    <s v="Kerala"/>
    <x v="1"/>
    <s v="Kitchen"/>
    <x v="4"/>
    <n v="4"/>
    <n v="6800"/>
    <x v="2"/>
    <n v="27200"/>
    <n v="18800"/>
    <n v="8400"/>
  </r>
  <r>
    <s v="ORD12760"/>
    <x v="3438"/>
    <s v="CUST1215"/>
    <s v="Customer 215"/>
    <x v="0"/>
    <s v="Odisha"/>
    <x v="1"/>
    <s v="Appliances"/>
    <x v="7"/>
    <n v="3"/>
    <n v="2400"/>
    <x v="2"/>
    <n v="7200"/>
    <n v="4950"/>
    <n v="2250"/>
  </r>
  <r>
    <s v="ORD12624"/>
    <x v="3439"/>
    <s v="CUST1462"/>
    <s v="Customer 462"/>
    <x v="0"/>
    <s v="Odisha"/>
    <x v="0"/>
    <s v="Accessories"/>
    <x v="0"/>
    <n v="1"/>
    <n v="650"/>
    <x v="3"/>
    <n v="552.5"/>
    <n v="390"/>
    <n v="162.5"/>
  </r>
  <r>
    <s v="ORD13867"/>
    <x v="3440"/>
    <s v="CUST1262"/>
    <s v="Customer 262"/>
    <x v="3"/>
    <s v="Uttar Pradesh"/>
    <x v="3"/>
    <s v="Storage"/>
    <x v="6"/>
    <n v="1"/>
    <n v="5600"/>
    <x v="5"/>
    <n v="4480"/>
    <n v="3900"/>
    <n v="580"/>
  </r>
  <r>
    <s v="ORD13114"/>
    <x v="3441"/>
    <s v="CUST1466"/>
    <s v="Customer 466"/>
    <x v="0"/>
    <s v="Odisha"/>
    <x v="3"/>
    <s v="Storage"/>
    <x v="14"/>
    <n v="5"/>
    <n v="4800"/>
    <x v="3"/>
    <n v="20400"/>
    <n v="16500"/>
    <n v="3900"/>
  </r>
  <r>
    <s v="ORD13821"/>
    <x v="3442"/>
    <s v="CUST1064"/>
    <s v="Customer 064"/>
    <x v="3"/>
    <s v="Uttar Pradesh"/>
    <x v="0"/>
    <s v="Paper"/>
    <x v="3"/>
    <n v="2"/>
    <n v="520"/>
    <x v="2"/>
    <n v="1040"/>
    <n v="660"/>
    <n v="380"/>
  </r>
  <r>
    <s v="ORD12074"/>
    <x v="3443"/>
    <s v="CUST1172"/>
    <s v="Customer 172"/>
    <x v="1"/>
    <s v="Tamil Nadu"/>
    <x v="0"/>
    <s v="Stationery"/>
    <x v="18"/>
    <n v="5"/>
    <n v="300"/>
    <x v="4"/>
    <n v="1425"/>
    <n v="850"/>
    <n v="575"/>
  </r>
  <r>
    <s v="ORD11353"/>
    <x v="3444"/>
    <s v="CUST1248"/>
    <s v="Customer 248"/>
    <x v="1"/>
    <s v="Karnataka"/>
    <x v="3"/>
    <s v="Tables"/>
    <x v="16"/>
    <n v="1"/>
    <n v="6200"/>
    <x v="3"/>
    <n v="5270"/>
    <n v="4300"/>
    <n v="970"/>
  </r>
  <r>
    <s v="ORD11443"/>
    <x v="3445"/>
    <s v="CUST1468"/>
    <s v="Customer 468"/>
    <x v="1"/>
    <s v="Tamil Nadu"/>
    <x v="0"/>
    <s v="Paper"/>
    <x v="3"/>
    <n v="1"/>
    <n v="520"/>
    <x v="4"/>
    <n v="494"/>
    <n v="330"/>
    <n v="164"/>
  </r>
  <r>
    <s v="ORD11746"/>
    <x v="3446"/>
    <s v="CUST1490"/>
    <s v="Customer 490"/>
    <x v="3"/>
    <s v="Punjab"/>
    <x v="0"/>
    <s v="Stationery"/>
    <x v="15"/>
    <n v="3"/>
    <n v="450"/>
    <x v="3"/>
    <n v="1147.5"/>
    <n v="780"/>
    <n v="367.5"/>
  </r>
  <r>
    <s v="ORD12112"/>
    <x v="3447"/>
    <s v="CUST1338"/>
    <s v="Customer 338"/>
    <x v="3"/>
    <s v="Punjab"/>
    <x v="2"/>
    <s v="Accessories"/>
    <x v="13"/>
    <n v="2"/>
    <n v="1400"/>
    <x v="0"/>
    <n v="2520"/>
    <n v="1800"/>
    <n v="720"/>
  </r>
  <r>
    <s v="ORD11204"/>
    <x v="3448"/>
    <s v="CUST1381"/>
    <s v="Customer 381"/>
    <x v="2"/>
    <s v="Maharashtra"/>
    <x v="3"/>
    <s v="Storage"/>
    <x v="6"/>
    <n v="2"/>
    <n v="5600"/>
    <x v="3"/>
    <n v="9520"/>
    <n v="7800"/>
    <n v="1720"/>
  </r>
  <r>
    <s v="ORD11626"/>
    <x v="3449"/>
    <s v="CUST1497"/>
    <s v="Customer 497"/>
    <x v="2"/>
    <s v="Gujarat"/>
    <x v="0"/>
    <s v="Stationery"/>
    <x v="15"/>
    <n v="5"/>
    <n v="450"/>
    <x v="2"/>
    <n v="2250"/>
    <n v="1300"/>
    <n v="950"/>
  </r>
  <r>
    <s v="ORD12651"/>
    <x v="3450"/>
    <s v="CUST1441"/>
    <s v="Customer 441"/>
    <x v="3"/>
    <s v="Haryana"/>
    <x v="0"/>
    <s v="Stationery"/>
    <x v="15"/>
    <n v="5"/>
    <n v="450"/>
    <x v="4"/>
    <n v="2137.5"/>
    <n v="1300"/>
    <n v="837.5"/>
  </r>
  <r>
    <s v="ORD11913"/>
    <x v="3451"/>
    <s v="CUST1002"/>
    <s v="Customer 002"/>
    <x v="3"/>
    <s v="Punjab"/>
    <x v="1"/>
    <s v="Kitchen"/>
    <x v="1"/>
    <n v="1"/>
    <n v="1900"/>
    <x v="4"/>
    <n v="1805"/>
    <n v="1250"/>
    <n v="555"/>
  </r>
  <r>
    <s v="ORD11423"/>
    <x v="3452"/>
    <s v="CUST1295"/>
    <s v="Customer 295"/>
    <x v="2"/>
    <s v="Goa"/>
    <x v="0"/>
    <s v="Stationery"/>
    <x v="10"/>
    <n v="5"/>
    <n v="280"/>
    <x v="5"/>
    <n v="1120"/>
    <n v="800"/>
    <n v="320"/>
  </r>
  <r>
    <s v="ORD10989"/>
    <x v="3453"/>
    <s v="CUST1124"/>
    <s v="Customer 124"/>
    <x v="1"/>
    <s v="Karnataka"/>
    <x v="2"/>
    <s v="Monitors"/>
    <x v="11"/>
    <n v="3"/>
    <n v="10500"/>
    <x v="0"/>
    <n v="28350"/>
    <n v="22800"/>
    <n v="5550"/>
  </r>
  <r>
    <s v="ORD13027"/>
    <x v="3454"/>
    <s v="CUST1057"/>
    <s v="Customer 057"/>
    <x v="2"/>
    <s v="Goa"/>
    <x v="2"/>
    <s v="Accessories"/>
    <x v="13"/>
    <n v="4"/>
    <n v="1400"/>
    <x v="3"/>
    <n v="4760"/>
    <n v="3600"/>
    <n v="1160"/>
  </r>
  <r>
    <s v="ORD12011"/>
    <x v="3455"/>
    <s v="CUST1249"/>
    <s v="Customer 249"/>
    <x v="1"/>
    <s v="Telangana"/>
    <x v="0"/>
    <s v="Stationery"/>
    <x v="18"/>
    <n v="2"/>
    <n v="300"/>
    <x v="0"/>
    <n v="540"/>
    <n v="340"/>
    <n v="200"/>
  </r>
  <r>
    <s v="ORD10014"/>
    <x v="3456"/>
    <s v="CUST1381"/>
    <s v="Customer 381"/>
    <x v="2"/>
    <s v="Goa"/>
    <x v="3"/>
    <s v="Chairs"/>
    <x v="12"/>
    <n v="4"/>
    <n v="7500"/>
    <x v="2"/>
    <n v="30000"/>
    <n v="20800"/>
    <n v="9200"/>
  </r>
  <r>
    <s v="ORD13837"/>
    <x v="3457"/>
    <s v="CUST1099"/>
    <s v="Customer 099"/>
    <x v="0"/>
    <s v="Jharkhand"/>
    <x v="3"/>
    <s v="Storage"/>
    <x v="14"/>
    <n v="1"/>
    <n v="4800"/>
    <x v="0"/>
    <n v="4320"/>
    <n v="3300"/>
    <n v="1020"/>
  </r>
  <r>
    <s v="ORD12551"/>
    <x v="3458"/>
    <s v="CUST1328"/>
    <s v="Customer 328"/>
    <x v="1"/>
    <s v="Karnataka"/>
    <x v="1"/>
    <s v="Appliances"/>
    <x v="7"/>
    <n v="3"/>
    <n v="2400"/>
    <x v="2"/>
    <n v="7200"/>
    <n v="4950"/>
    <n v="2250"/>
  </r>
  <r>
    <s v="ORD13765"/>
    <x v="3459"/>
    <s v="CUST1207"/>
    <s v="Customer 207"/>
    <x v="2"/>
    <s v="Maharashtra"/>
    <x v="1"/>
    <s v="Kitchen"/>
    <x v="2"/>
    <n v="5"/>
    <n v="4200"/>
    <x v="3"/>
    <n v="17850"/>
    <n v="14500"/>
    <n v="3350"/>
  </r>
  <r>
    <s v="ORD11380"/>
    <x v="3460"/>
    <s v="CUST1271"/>
    <s v="Customer 271"/>
    <x v="0"/>
    <s v="Odisha"/>
    <x v="2"/>
    <s v="Audio"/>
    <x v="17"/>
    <n v="4"/>
    <n v="2800"/>
    <x v="3"/>
    <n v="9520"/>
    <n v="7200"/>
    <n v="2320"/>
  </r>
  <r>
    <s v="ORD11666"/>
    <x v="3461"/>
    <s v="CUST1199"/>
    <s v="Customer 199"/>
    <x v="1"/>
    <s v="Karnataka"/>
    <x v="0"/>
    <s v="Stationery"/>
    <x v="15"/>
    <n v="1"/>
    <n v="450"/>
    <x v="4"/>
    <n v="427.5"/>
    <n v="260"/>
    <n v="167.5"/>
  </r>
  <r>
    <s v="ORD12349"/>
    <x v="3462"/>
    <s v="CUST1101"/>
    <s v="Customer 101"/>
    <x v="2"/>
    <s v="Rajasthan"/>
    <x v="3"/>
    <s v="Storage"/>
    <x v="14"/>
    <n v="5"/>
    <n v="4800"/>
    <x v="4"/>
    <n v="22800"/>
    <n v="16500"/>
    <n v="6300"/>
  </r>
  <r>
    <s v="ORD12742"/>
    <x v="3463"/>
    <s v="CUST1049"/>
    <s v="Customer 049"/>
    <x v="1"/>
    <s v="Karnataka"/>
    <x v="0"/>
    <s v="Stationery"/>
    <x v="15"/>
    <n v="3"/>
    <n v="450"/>
    <x v="1"/>
    <n v="1012.5"/>
    <n v="780"/>
    <n v="232.5"/>
  </r>
  <r>
    <s v="ORD11992"/>
    <x v="3464"/>
    <s v="CUST1219"/>
    <s v="Customer 219"/>
    <x v="2"/>
    <s v="Rajasthan"/>
    <x v="3"/>
    <s v="Tables"/>
    <x v="16"/>
    <n v="1"/>
    <n v="6200"/>
    <x v="2"/>
    <n v="6200"/>
    <n v="4300"/>
    <n v="1900"/>
  </r>
  <r>
    <s v="ORD12231"/>
    <x v="3465"/>
    <s v="CUST1317"/>
    <s v="Customer 317"/>
    <x v="0"/>
    <s v="Bihar"/>
    <x v="3"/>
    <s v="Tables"/>
    <x v="16"/>
    <n v="3"/>
    <n v="6200"/>
    <x v="2"/>
    <n v="18600"/>
    <n v="12900"/>
    <n v="5700"/>
  </r>
  <r>
    <s v="ORD10734"/>
    <x v="3466"/>
    <s v="CUST1388"/>
    <s v="Customer 388"/>
    <x v="1"/>
    <s v="Kerala"/>
    <x v="3"/>
    <s v="Storage"/>
    <x v="6"/>
    <n v="3"/>
    <n v="5600"/>
    <x v="5"/>
    <n v="13440"/>
    <n v="11700"/>
    <n v="1740"/>
  </r>
  <r>
    <s v="ORD10588"/>
    <x v="3467"/>
    <s v="CUST1050"/>
    <s v="Customer 050"/>
    <x v="1"/>
    <s v="Andhra Pradesh"/>
    <x v="3"/>
    <s v="Storage"/>
    <x v="14"/>
    <n v="4"/>
    <n v="4800"/>
    <x v="2"/>
    <n v="19200"/>
    <n v="13200"/>
    <n v="6000"/>
  </r>
  <r>
    <s v="ORD10406"/>
    <x v="3468"/>
    <s v="CUST1251"/>
    <s v="Customer 251"/>
    <x v="1"/>
    <s v="Kerala"/>
    <x v="1"/>
    <s v="Kitchen"/>
    <x v="4"/>
    <n v="2"/>
    <n v="6800"/>
    <x v="3"/>
    <n v="11560"/>
    <n v="9400"/>
    <n v="2160"/>
  </r>
  <r>
    <s v="ORD11313"/>
    <x v="3469"/>
    <s v="CUST1390"/>
    <s v="Customer 390"/>
    <x v="2"/>
    <s v="Maharashtra"/>
    <x v="2"/>
    <s v="Accessories"/>
    <x v="13"/>
    <n v="1"/>
    <n v="1400"/>
    <x v="3"/>
    <n v="1190"/>
    <n v="900"/>
    <n v="290"/>
  </r>
  <r>
    <s v="ORD11499"/>
    <x v="3470"/>
    <s v="CUST1234"/>
    <s v="Customer 234"/>
    <x v="1"/>
    <s v="Tamil Nadu"/>
    <x v="1"/>
    <s v="Kitchen"/>
    <x v="1"/>
    <n v="3"/>
    <n v="1900"/>
    <x v="4"/>
    <n v="5415"/>
    <n v="3750"/>
    <n v="1665"/>
  </r>
  <r>
    <s v="ORD11792"/>
    <x v="3471"/>
    <s v="CUST1441"/>
    <s v="Customer 441"/>
    <x v="1"/>
    <s v="Tamil Nadu"/>
    <x v="2"/>
    <s v="Audio"/>
    <x v="17"/>
    <n v="4"/>
    <n v="2800"/>
    <x v="3"/>
    <n v="9520"/>
    <n v="7200"/>
    <n v="2320"/>
  </r>
  <r>
    <s v="ORD13377"/>
    <x v="3472"/>
    <s v="CUST1253"/>
    <s v="Customer 253"/>
    <x v="1"/>
    <s v="Telangana"/>
    <x v="1"/>
    <s v="Kitchen"/>
    <x v="2"/>
    <n v="3"/>
    <n v="4200"/>
    <x v="1"/>
    <n v="9450"/>
    <n v="8700"/>
    <n v="750"/>
  </r>
  <r>
    <s v="ORD13001"/>
    <x v="3473"/>
    <s v="CUST1390"/>
    <s v="Customer 390"/>
    <x v="1"/>
    <s v="Tamil Nadu"/>
    <x v="0"/>
    <s v="Stationery"/>
    <x v="18"/>
    <n v="5"/>
    <n v="300"/>
    <x v="0"/>
    <n v="1350"/>
    <n v="850"/>
    <n v="500"/>
  </r>
  <r>
    <s v="ORD12495"/>
    <x v="3474"/>
    <s v="CUST1210"/>
    <s v="Customer 210"/>
    <x v="1"/>
    <s v="Tamil Nadu"/>
    <x v="1"/>
    <s v="Kitchen"/>
    <x v="1"/>
    <n v="1"/>
    <n v="1900"/>
    <x v="4"/>
    <n v="1805"/>
    <n v="1250"/>
    <n v="555"/>
  </r>
  <r>
    <s v="ORD13317"/>
    <x v="3475"/>
    <s v="CUST1317"/>
    <s v="Customer 317"/>
    <x v="1"/>
    <s v="Tamil Nadu"/>
    <x v="3"/>
    <s v="Storage"/>
    <x v="6"/>
    <n v="1"/>
    <n v="5600"/>
    <x v="4"/>
    <n v="5320"/>
    <n v="3900"/>
    <n v="1420"/>
  </r>
  <r>
    <s v="ORD11918"/>
    <x v="3476"/>
    <s v="CUST1246"/>
    <s v="Customer 246"/>
    <x v="2"/>
    <s v="Gujarat"/>
    <x v="3"/>
    <s v="Storage"/>
    <x v="6"/>
    <n v="4"/>
    <n v="5600"/>
    <x v="5"/>
    <n v="17920"/>
    <n v="15600"/>
    <n v="2320"/>
  </r>
  <r>
    <s v="ORD13239"/>
    <x v="3477"/>
    <s v="CUST1442"/>
    <s v="Customer 442"/>
    <x v="2"/>
    <s v="Rajasthan"/>
    <x v="0"/>
    <s v="Stationery"/>
    <x v="18"/>
    <n v="1"/>
    <n v="300"/>
    <x v="0"/>
    <n v="270"/>
    <n v="170"/>
    <n v="100"/>
  </r>
  <r>
    <s v="ORD12919"/>
    <x v="3478"/>
    <s v="CUST1425"/>
    <s v="Customer 425"/>
    <x v="0"/>
    <s v="Odisha"/>
    <x v="0"/>
    <s v="Stationery"/>
    <x v="15"/>
    <n v="3"/>
    <n v="450"/>
    <x v="4"/>
    <n v="1282.5"/>
    <n v="780"/>
    <n v="502.5"/>
  </r>
  <r>
    <s v="ORD13145"/>
    <x v="3479"/>
    <s v="CUST1382"/>
    <s v="Customer 382"/>
    <x v="1"/>
    <s v="Telangana"/>
    <x v="2"/>
    <s v="Audio"/>
    <x v="5"/>
    <n v="3"/>
    <n v="2200"/>
    <x v="3"/>
    <n v="5610"/>
    <n v="4350"/>
    <n v="1260"/>
  </r>
  <r>
    <s v="ORD13676"/>
    <x v="3480"/>
    <s v="CUST1216"/>
    <s v="Customer 216"/>
    <x v="0"/>
    <s v="Bihar"/>
    <x v="2"/>
    <s v="Audio"/>
    <x v="5"/>
    <n v="3"/>
    <n v="2200"/>
    <x v="5"/>
    <n v="5280"/>
    <n v="4350"/>
    <n v="930"/>
  </r>
  <r>
    <s v="ORD13025"/>
    <x v="3481"/>
    <s v="CUST1187"/>
    <s v="Customer 187"/>
    <x v="2"/>
    <s v="Gujarat"/>
    <x v="2"/>
    <s v="Audio"/>
    <x v="5"/>
    <n v="3"/>
    <n v="2200"/>
    <x v="0"/>
    <n v="5940"/>
    <n v="4350"/>
    <n v="1590"/>
  </r>
  <r>
    <s v="ORD13656"/>
    <x v="3482"/>
    <s v="CUST1241"/>
    <s v="Customer 241"/>
    <x v="1"/>
    <s v="Tamil Nadu"/>
    <x v="0"/>
    <s v="Accessories"/>
    <x v="0"/>
    <n v="3"/>
    <n v="650"/>
    <x v="4"/>
    <n v="1852.5"/>
    <n v="1170"/>
    <n v="682.5"/>
  </r>
  <r>
    <s v="ORD11442"/>
    <x v="3483"/>
    <s v="CUST1257"/>
    <s v="Customer 257"/>
    <x v="1"/>
    <s v="Karnataka"/>
    <x v="1"/>
    <s v="Kitchen"/>
    <x v="2"/>
    <n v="2"/>
    <n v="4200"/>
    <x v="4"/>
    <n v="7980"/>
    <n v="5800"/>
    <n v="2180"/>
  </r>
  <r>
    <s v="ORD13956"/>
    <x v="3484"/>
    <s v="CUST1472"/>
    <s v="Customer 472"/>
    <x v="2"/>
    <s v="Rajasthan"/>
    <x v="0"/>
    <s v="Stationery"/>
    <x v="18"/>
    <n v="5"/>
    <n v="300"/>
    <x v="0"/>
    <n v="1350"/>
    <n v="850"/>
    <n v="500"/>
  </r>
  <r>
    <s v="ORD11195"/>
    <x v="3485"/>
    <s v="CUST1263"/>
    <s v="Customer 263"/>
    <x v="2"/>
    <s v="Rajasthan"/>
    <x v="3"/>
    <s v="Storage"/>
    <x v="6"/>
    <n v="5"/>
    <n v="5600"/>
    <x v="1"/>
    <n v="21000"/>
    <n v="19500"/>
    <n v="1500"/>
  </r>
  <r>
    <s v="ORD10434"/>
    <x v="3486"/>
    <s v="CUST1066"/>
    <s v="Customer 066"/>
    <x v="1"/>
    <s v="Kerala"/>
    <x v="0"/>
    <s v="Stationery"/>
    <x v="10"/>
    <n v="4"/>
    <n v="280"/>
    <x v="0"/>
    <n v="1008"/>
    <n v="640"/>
    <n v="368"/>
  </r>
  <r>
    <s v="ORD11447"/>
    <x v="3487"/>
    <s v="CUST1470"/>
    <s v="Customer 470"/>
    <x v="3"/>
    <s v="Delhi"/>
    <x v="3"/>
    <s v="Storage"/>
    <x v="6"/>
    <n v="2"/>
    <n v="5600"/>
    <x v="4"/>
    <n v="10640"/>
    <n v="7800"/>
    <n v="2840"/>
  </r>
  <r>
    <s v="ORD10868"/>
    <x v="3488"/>
    <s v="CUST1419"/>
    <s v="Customer 419"/>
    <x v="2"/>
    <s v="Rajasthan"/>
    <x v="3"/>
    <s v="Storage"/>
    <x v="6"/>
    <n v="5"/>
    <n v="5600"/>
    <x v="3"/>
    <n v="23800"/>
    <n v="19500"/>
    <n v="4300"/>
  </r>
  <r>
    <s v="ORD11797"/>
    <x v="3489"/>
    <s v="CUST1488"/>
    <s v="Customer 488"/>
    <x v="2"/>
    <s v="Rajasthan"/>
    <x v="2"/>
    <s v="Accessories"/>
    <x v="9"/>
    <n v="1"/>
    <n v="850"/>
    <x v="3"/>
    <n v="722.5"/>
    <n v="560"/>
    <n v="162.5"/>
  </r>
  <r>
    <s v="ORD11280"/>
    <x v="3490"/>
    <s v="CUST1433"/>
    <s v="Customer 433"/>
    <x v="1"/>
    <s v="Karnataka"/>
    <x v="1"/>
    <s v="Kitchen"/>
    <x v="2"/>
    <n v="3"/>
    <n v="4200"/>
    <x v="0"/>
    <n v="11340"/>
    <n v="8700"/>
    <n v="2640"/>
  </r>
  <r>
    <s v="ORD11088"/>
    <x v="3491"/>
    <s v="CUST1496"/>
    <s v="Customer 496"/>
    <x v="2"/>
    <s v="Goa"/>
    <x v="0"/>
    <s v="Stationery"/>
    <x v="10"/>
    <n v="5"/>
    <n v="280"/>
    <x v="0"/>
    <n v="1260"/>
    <n v="800"/>
    <n v="460"/>
  </r>
  <r>
    <s v="ORD11685"/>
    <x v="3492"/>
    <s v="CUST1180"/>
    <s v="Customer 180"/>
    <x v="1"/>
    <s v="Tamil Nadu"/>
    <x v="2"/>
    <s v="Audio"/>
    <x v="17"/>
    <n v="4"/>
    <n v="2800"/>
    <x v="0"/>
    <n v="10080"/>
    <n v="7200"/>
    <n v="2880"/>
  </r>
  <r>
    <s v="ORD12118"/>
    <x v="3493"/>
    <s v="CUST1272"/>
    <s v="Customer 272"/>
    <x v="3"/>
    <s v="Haryana"/>
    <x v="3"/>
    <s v="Tables"/>
    <x v="16"/>
    <n v="3"/>
    <n v="6200"/>
    <x v="2"/>
    <n v="18600"/>
    <n v="12900"/>
    <n v="5700"/>
  </r>
  <r>
    <s v="ORD11508"/>
    <x v="3494"/>
    <s v="CUST1240"/>
    <s v="Customer 240"/>
    <x v="3"/>
    <s v="Uttar Pradesh"/>
    <x v="2"/>
    <s v="Accessories"/>
    <x v="9"/>
    <n v="4"/>
    <n v="850"/>
    <x v="3"/>
    <n v="2890"/>
    <n v="2240"/>
    <n v="650"/>
  </r>
  <r>
    <s v="ORD12854"/>
    <x v="3495"/>
    <s v="CUST1045"/>
    <s v="Customer 045"/>
    <x v="1"/>
    <s v="Andhra Pradesh"/>
    <x v="0"/>
    <s v="Stationery"/>
    <x v="18"/>
    <n v="3"/>
    <n v="300"/>
    <x v="3"/>
    <n v="765"/>
    <n v="510"/>
    <n v="255"/>
  </r>
  <r>
    <s v="ORD10410"/>
    <x v="3496"/>
    <s v="CUST1007"/>
    <s v="Customer 007"/>
    <x v="0"/>
    <s v="West Bengal"/>
    <x v="0"/>
    <s v="Stationery"/>
    <x v="10"/>
    <n v="3"/>
    <n v="280"/>
    <x v="3"/>
    <n v="714"/>
    <n v="480"/>
    <n v="234"/>
  </r>
  <r>
    <s v="ORD11041"/>
    <x v="3497"/>
    <s v="CUST1354"/>
    <s v="Customer 354"/>
    <x v="1"/>
    <s v="Tamil Nadu"/>
    <x v="2"/>
    <s v="Accessories"/>
    <x v="8"/>
    <n v="3"/>
    <n v="1800"/>
    <x v="0"/>
    <n v="4860"/>
    <n v="3300"/>
    <n v="1560"/>
  </r>
  <r>
    <s v="ORD13724"/>
    <x v="3498"/>
    <s v="CUST1497"/>
    <s v="Customer 497"/>
    <x v="0"/>
    <s v="West Bengal"/>
    <x v="2"/>
    <s v="Monitors"/>
    <x v="11"/>
    <n v="5"/>
    <n v="10500"/>
    <x v="1"/>
    <n v="39375"/>
    <n v="38000"/>
    <n v="1375"/>
  </r>
  <r>
    <s v="ORD13877"/>
    <x v="3499"/>
    <s v="CUST1348"/>
    <s v="Customer 348"/>
    <x v="2"/>
    <s v="Maharashtra"/>
    <x v="0"/>
    <s v="Stationery"/>
    <x v="10"/>
    <n v="4"/>
    <n v="280"/>
    <x v="3"/>
    <n v="952"/>
    <n v="640"/>
    <n v="312"/>
  </r>
  <r>
    <s v="ORD12552"/>
    <x v="3500"/>
    <s v="CUST1161"/>
    <s v="Customer 161"/>
    <x v="3"/>
    <s v="Uttar Pradesh"/>
    <x v="2"/>
    <s v="Accessories"/>
    <x v="8"/>
    <n v="4"/>
    <n v="1800"/>
    <x v="0"/>
    <n v="6480"/>
    <n v="4400"/>
    <n v="2080"/>
  </r>
  <r>
    <s v="ORD10707"/>
    <x v="3501"/>
    <s v="CUST1004"/>
    <s v="Customer 004"/>
    <x v="0"/>
    <s v="Odisha"/>
    <x v="2"/>
    <s v="Monitors"/>
    <x v="11"/>
    <n v="1"/>
    <n v="10500"/>
    <x v="0"/>
    <n v="9450"/>
    <n v="7600"/>
    <n v="1850"/>
  </r>
  <r>
    <s v="ORD10812"/>
    <x v="3502"/>
    <s v="CUST1440"/>
    <s v="Customer 440"/>
    <x v="0"/>
    <s v="Bihar"/>
    <x v="1"/>
    <s v="Kitchen"/>
    <x v="4"/>
    <n v="2"/>
    <n v="6800"/>
    <x v="3"/>
    <n v="11560"/>
    <n v="9400"/>
    <n v="2160"/>
  </r>
  <r>
    <s v="ORD13268"/>
    <x v="3503"/>
    <s v="CUST1346"/>
    <s v="Customer 346"/>
    <x v="3"/>
    <s v="Haryana"/>
    <x v="0"/>
    <s v="Stationery"/>
    <x v="15"/>
    <n v="5"/>
    <n v="450"/>
    <x v="4"/>
    <n v="2137.5"/>
    <n v="1300"/>
    <n v="837.5"/>
  </r>
  <r>
    <s v="ORD11925"/>
    <x v="3504"/>
    <s v="CUST1181"/>
    <s v="Customer 181"/>
    <x v="1"/>
    <s v="Telangana"/>
    <x v="2"/>
    <s v="Accessories"/>
    <x v="13"/>
    <n v="4"/>
    <n v="1400"/>
    <x v="2"/>
    <n v="5600"/>
    <n v="3600"/>
    <n v="2000"/>
  </r>
  <r>
    <s v="ORD12934"/>
    <x v="3505"/>
    <s v="CUST1218"/>
    <s v="Customer 218"/>
    <x v="1"/>
    <s v="Karnataka"/>
    <x v="3"/>
    <s v="Chairs"/>
    <x v="12"/>
    <n v="1"/>
    <n v="7500"/>
    <x v="1"/>
    <n v="5625"/>
    <n v="5200"/>
    <n v="425"/>
  </r>
  <r>
    <s v="ORD13627"/>
    <x v="3506"/>
    <s v="CUST1386"/>
    <s v="Customer 386"/>
    <x v="3"/>
    <s v="Haryana"/>
    <x v="2"/>
    <s v="Audio"/>
    <x v="5"/>
    <n v="4"/>
    <n v="2200"/>
    <x v="0"/>
    <n v="7920"/>
    <n v="5800"/>
    <n v="2120"/>
  </r>
  <r>
    <s v="ORD10546"/>
    <x v="3507"/>
    <s v="CUST1027"/>
    <s v="Customer 027"/>
    <x v="1"/>
    <s v="Kerala"/>
    <x v="3"/>
    <s v="Tables"/>
    <x v="16"/>
    <n v="1"/>
    <n v="6200"/>
    <x v="3"/>
    <n v="5270"/>
    <n v="4300"/>
    <n v="970"/>
  </r>
  <r>
    <s v="ORD12728"/>
    <x v="3508"/>
    <s v="CUST1021"/>
    <s v="Customer 021"/>
    <x v="1"/>
    <s v="Andhra Pradesh"/>
    <x v="0"/>
    <s v="Stationery"/>
    <x v="18"/>
    <n v="1"/>
    <n v="300"/>
    <x v="0"/>
    <n v="270"/>
    <n v="170"/>
    <n v="100"/>
  </r>
  <r>
    <s v="ORD12987"/>
    <x v="3509"/>
    <s v="CUST1374"/>
    <s v="Customer 374"/>
    <x v="2"/>
    <s v="Maharashtra"/>
    <x v="2"/>
    <s v="Accessories"/>
    <x v="8"/>
    <n v="2"/>
    <n v="1800"/>
    <x v="3"/>
    <n v="3060"/>
    <n v="2200"/>
    <n v="860"/>
  </r>
  <r>
    <s v="ORD10986"/>
    <x v="3510"/>
    <s v="CUST1327"/>
    <s v="Customer 327"/>
    <x v="1"/>
    <s v="Andhra Pradesh"/>
    <x v="0"/>
    <s v="Stationery"/>
    <x v="10"/>
    <n v="3"/>
    <n v="280"/>
    <x v="0"/>
    <n v="756"/>
    <n v="480"/>
    <n v="276"/>
  </r>
  <r>
    <s v="ORD13779"/>
    <x v="3511"/>
    <s v="CUST1493"/>
    <s v="Customer 493"/>
    <x v="3"/>
    <s v="Punjab"/>
    <x v="3"/>
    <s v="Storage"/>
    <x v="6"/>
    <n v="1"/>
    <n v="5600"/>
    <x v="3"/>
    <n v="4760"/>
    <n v="3900"/>
    <n v="860"/>
  </r>
  <r>
    <s v="ORD12464"/>
    <x v="3512"/>
    <s v="CUST1293"/>
    <s v="Customer 293"/>
    <x v="0"/>
    <s v="West Bengal"/>
    <x v="0"/>
    <s v="Stationery"/>
    <x v="10"/>
    <n v="5"/>
    <n v="280"/>
    <x v="0"/>
    <n v="1260"/>
    <n v="800"/>
    <n v="460"/>
  </r>
  <r>
    <s v="ORD11523"/>
    <x v="3513"/>
    <s v="CUST1096"/>
    <s v="Customer 096"/>
    <x v="1"/>
    <s v="Karnataka"/>
    <x v="2"/>
    <s v="Audio"/>
    <x v="17"/>
    <n v="3"/>
    <n v="2800"/>
    <x v="2"/>
    <n v="8400"/>
    <n v="5400"/>
    <n v="3000"/>
  </r>
  <r>
    <s v="ORD10582"/>
    <x v="3514"/>
    <s v="CUST1417"/>
    <s v="Customer 417"/>
    <x v="3"/>
    <s v="Haryana"/>
    <x v="3"/>
    <s v="Storage"/>
    <x v="14"/>
    <n v="2"/>
    <n v="4800"/>
    <x v="3"/>
    <n v="8160"/>
    <n v="6600"/>
    <n v="1560"/>
  </r>
  <r>
    <s v="ORD10592"/>
    <x v="3515"/>
    <s v="CUST1452"/>
    <s v="Customer 452"/>
    <x v="0"/>
    <s v="Jharkhand"/>
    <x v="2"/>
    <s v="Monitors"/>
    <x v="11"/>
    <n v="3"/>
    <n v="10500"/>
    <x v="4"/>
    <n v="29925"/>
    <n v="22800"/>
    <n v="7125"/>
  </r>
  <r>
    <s v="ORD10067"/>
    <x v="3516"/>
    <s v="CUST1453"/>
    <s v="Customer 453"/>
    <x v="2"/>
    <s v="Gujarat"/>
    <x v="2"/>
    <s v="Accessories"/>
    <x v="9"/>
    <n v="4"/>
    <n v="850"/>
    <x v="4"/>
    <n v="3230"/>
    <n v="2240"/>
    <n v="990"/>
  </r>
  <r>
    <s v="ORD11056"/>
    <x v="3517"/>
    <s v="CUST1498"/>
    <s v="Customer 498"/>
    <x v="2"/>
    <s v="Maharashtra"/>
    <x v="1"/>
    <s v="Kitchen"/>
    <x v="1"/>
    <n v="1"/>
    <n v="1900"/>
    <x v="0"/>
    <n v="1710"/>
    <n v="1250"/>
    <n v="460"/>
  </r>
  <r>
    <s v="ORD13390"/>
    <x v="3518"/>
    <s v="CUST1339"/>
    <s v="Customer 339"/>
    <x v="0"/>
    <s v="West Bengal"/>
    <x v="2"/>
    <s v="Accessories"/>
    <x v="13"/>
    <n v="3"/>
    <n v="1400"/>
    <x v="4"/>
    <n v="3990"/>
    <n v="2700"/>
    <n v="1290"/>
  </r>
  <r>
    <s v="ORD12217"/>
    <x v="3519"/>
    <s v="CUST1226"/>
    <s v="Customer 226"/>
    <x v="3"/>
    <s v="Delhi"/>
    <x v="0"/>
    <s v="Paper"/>
    <x v="3"/>
    <n v="5"/>
    <n v="520"/>
    <x v="1"/>
    <n v="1950"/>
    <n v="1650"/>
    <n v="300"/>
  </r>
  <r>
    <s v="ORD11843"/>
    <x v="3520"/>
    <s v="CUST1409"/>
    <s v="Customer 409"/>
    <x v="2"/>
    <s v="Maharashtra"/>
    <x v="2"/>
    <s v="Accessories"/>
    <x v="9"/>
    <n v="3"/>
    <n v="850"/>
    <x v="1"/>
    <n v="1912.5"/>
    <n v="1680"/>
    <n v="232.5"/>
  </r>
  <r>
    <s v="ORD13813"/>
    <x v="3521"/>
    <s v="CUST1338"/>
    <s v="Customer 338"/>
    <x v="3"/>
    <s v="Punjab"/>
    <x v="1"/>
    <s v="Appliances"/>
    <x v="7"/>
    <n v="1"/>
    <n v="2400"/>
    <x v="3"/>
    <n v="2040"/>
    <n v="1650"/>
    <n v="390"/>
  </r>
  <r>
    <s v="ORD13749"/>
    <x v="3522"/>
    <s v="CUST1460"/>
    <s v="Customer 460"/>
    <x v="0"/>
    <s v="Odisha"/>
    <x v="2"/>
    <s v="Audio"/>
    <x v="5"/>
    <n v="1"/>
    <n v="2200"/>
    <x v="3"/>
    <n v="1870"/>
    <n v="1450"/>
    <n v="420"/>
  </r>
  <r>
    <s v="ORD12062"/>
    <x v="3523"/>
    <s v="CUST1281"/>
    <s v="Customer 281"/>
    <x v="3"/>
    <s v="Delhi"/>
    <x v="3"/>
    <s v="Chairs"/>
    <x v="12"/>
    <n v="4"/>
    <n v="7500"/>
    <x v="2"/>
    <n v="30000"/>
    <n v="20800"/>
    <n v="9200"/>
  </r>
  <r>
    <s v="ORD10696"/>
    <x v="3524"/>
    <s v="CUST1127"/>
    <s v="Customer 127"/>
    <x v="1"/>
    <s v="Telangana"/>
    <x v="3"/>
    <s v="Chairs"/>
    <x v="12"/>
    <n v="5"/>
    <n v="7500"/>
    <x v="3"/>
    <n v="31875"/>
    <n v="26000"/>
    <n v="5875"/>
  </r>
  <r>
    <s v="ORD11210"/>
    <x v="3525"/>
    <s v="CUST1482"/>
    <s v="Customer 482"/>
    <x v="1"/>
    <s v="Telangana"/>
    <x v="0"/>
    <s v="Paper"/>
    <x v="3"/>
    <n v="4"/>
    <n v="520"/>
    <x v="1"/>
    <n v="1560"/>
    <n v="1320"/>
    <n v="240"/>
  </r>
  <r>
    <s v="ORD12906"/>
    <x v="3526"/>
    <s v="CUST1433"/>
    <s v="Customer 433"/>
    <x v="2"/>
    <s v="Gujarat"/>
    <x v="2"/>
    <s v="Audio"/>
    <x v="5"/>
    <n v="5"/>
    <n v="2200"/>
    <x v="2"/>
    <n v="11000"/>
    <n v="7250"/>
    <n v="3750"/>
  </r>
  <r>
    <s v="ORD13383"/>
    <x v="3527"/>
    <s v="CUST1481"/>
    <s v="Customer 481"/>
    <x v="3"/>
    <s v="Delhi"/>
    <x v="3"/>
    <s v="Storage"/>
    <x v="14"/>
    <n v="2"/>
    <n v="4800"/>
    <x v="4"/>
    <n v="9120"/>
    <n v="6600"/>
    <n v="2520"/>
  </r>
  <r>
    <s v="ORD11586"/>
    <x v="3528"/>
    <s v="CUST1159"/>
    <s v="Customer 159"/>
    <x v="3"/>
    <s v="Haryana"/>
    <x v="1"/>
    <s v="Kitchen"/>
    <x v="2"/>
    <n v="3"/>
    <n v="4200"/>
    <x v="0"/>
    <n v="11340"/>
    <n v="8700"/>
    <n v="2640"/>
  </r>
  <r>
    <s v="ORD11516"/>
    <x v="3529"/>
    <s v="CUST1466"/>
    <s v="Customer 466"/>
    <x v="3"/>
    <s v="Uttar Pradesh"/>
    <x v="1"/>
    <s v="Kitchen"/>
    <x v="2"/>
    <n v="3"/>
    <n v="4200"/>
    <x v="4"/>
    <n v="11970"/>
    <n v="8700"/>
    <n v="3270"/>
  </r>
  <r>
    <s v="ORD11705"/>
    <x v="3530"/>
    <s v="CUST1460"/>
    <s v="Customer 460"/>
    <x v="1"/>
    <s v="Kerala"/>
    <x v="2"/>
    <s v="Accessories"/>
    <x v="8"/>
    <n v="1"/>
    <n v="1800"/>
    <x v="0"/>
    <n v="1620"/>
    <n v="1100"/>
    <n v="520"/>
  </r>
  <r>
    <s v="ORD12144"/>
    <x v="3531"/>
    <s v="CUST1306"/>
    <s v="Customer 306"/>
    <x v="1"/>
    <s v="Karnataka"/>
    <x v="2"/>
    <s v="Accessories"/>
    <x v="9"/>
    <n v="2"/>
    <n v="850"/>
    <x v="3"/>
    <n v="1445"/>
    <n v="1120"/>
    <n v="325"/>
  </r>
  <r>
    <s v="ORD11977"/>
    <x v="3532"/>
    <s v="CUST1466"/>
    <s v="Customer 466"/>
    <x v="1"/>
    <s v="Tamil Nadu"/>
    <x v="0"/>
    <s v="Stationery"/>
    <x v="15"/>
    <n v="3"/>
    <n v="450"/>
    <x v="3"/>
    <n v="1147.5"/>
    <n v="780"/>
    <n v="367.5"/>
  </r>
  <r>
    <s v="ORD13912"/>
    <x v="3533"/>
    <s v="CUST1486"/>
    <s v="Customer 486"/>
    <x v="1"/>
    <s v="Telangana"/>
    <x v="1"/>
    <s v="Kitchen"/>
    <x v="4"/>
    <n v="2"/>
    <n v="6800"/>
    <x v="3"/>
    <n v="11560"/>
    <n v="9400"/>
    <n v="2160"/>
  </r>
  <r>
    <s v="ORD11576"/>
    <x v="3534"/>
    <s v="CUST1160"/>
    <s v="Customer 160"/>
    <x v="1"/>
    <s v="Telangana"/>
    <x v="3"/>
    <s v="Storage"/>
    <x v="6"/>
    <n v="1"/>
    <n v="5600"/>
    <x v="2"/>
    <n v="5600"/>
    <n v="3900"/>
    <n v="1700"/>
  </r>
  <r>
    <s v="ORD12505"/>
    <x v="3535"/>
    <s v="CUST1026"/>
    <s v="Customer 026"/>
    <x v="1"/>
    <s v="Karnataka"/>
    <x v="0"/>
    <s v="Stationery"/>
    <x v="10"/>
    <n v="1"/>
    <n v="280"/>
    <x v="3"/>
    <n v="238"/>
    <n v="160"/>
    <n v="78"/>
  </r>
  <r>
    <s v="ORD13584"/>
    <x v="3536"/>
    <s v="CUST1154"/>
    <s v="Customer 154"/>
    <x v="3"/>
    <s v="Haryana"/>
    <x v="3"/>
    <s v="Storage"/>
    <x v="6"/>
    <n v="1"/>
    <n v="5600"/>
    <x v="0"/>
    <n v="5040"/>
    <n v="3900"/>
    <n v="1140"/>
  </r>
  <r>
    <s v="ORD12143"/>
    <x v="3537"/>
    <s v="CUST1482"/>
    <s v="Customer 482"/>
    <x v="1"/>
    <s v="Telangana"/>
    <x v="2"/>
    <s v="Accessories"/>
    <x v="8"/>
    <n v="4"/>
    <n v="1800"/>
    <x v="0"/>
    <n v="6480"/>
    <n v="4400"/>
    <n v="2080"/>
  </r>
  <r>
    <s v="ORD12490"/>
    <x v="3538"/>
    <s v="CUST1179"/>
    <s v="Customer 179"/>
    <x v="2"/>
    <s v="Gujarat"/>
    <x v="0"/>
    <s v="Paper"/>
    <x v="3"/>
    <n v="5"/>
    <n v="520"/>
    <x v="0"/>
    <n v="2340"/>
    <n v="1650"/>
    <n v="690"/>
  </r>
  <r>
    <s v="ORD12092"/>
    <x v="3539"/>
    <s v="CUST1164"/>
    <s v="Customer 164"/>
    <x v="3"/>
    <s v="Uttar Pradesh"/>
    <x v="2"/>
    <s v="Monitors"/>
    <x v="11"/>
    <n v="5"/>
    <n v="10500"/>
    <x v="3"/>
    <n v="44625"/>
    <n v="38000"/>
    <n v="6625"/>
  </r>
  <r>
    <s v="ORD12433"/>
    <x v="3540"/>
    <s v="CUST1082"/>
    <s v="Customer 082"/>
    <x v="3"/>
    <s v="Uttar Pradesh"/>
    <x v="2"/>
    <s v="Accessories"/>
    <x v="8"/>
    <n v="4"/>
    <n v="1800"/>
    <x v="3"/>
    <n v="6120"/>
    <n v="4400"/>
    <n v="1720"/>
  </r>
  <r>
    <s v="ORD11807"/>
    <x v="3541"/>
    <s v="CUST1005"/>
    <s v="Customer 005"/>
    <x v="2"/>
    <s v="Rajasthan"/>
    <x v="0"/>
    <s v="Stationery"/>
    <x v="10"/>
    <n v="3"/>
    <n v="280"/>
    <x v="4"/>
    <n v="798"/>
    <n v="480"/>
    <n v="318"/>
  </r>
  <r>
    <s v="ORD13242"/>
    <x v="3542"/>
    <s v="CUST1104"/>
    <s v="Customer 104"/>
    <x v="1"/>
    <s v="Karnataka"/>
    <x v="2"/>
    <s v="Audio"/>
    <x v="17"/>
    <n v="1"/>
    <n v="2800"/>
    <x v="0"/>
    <n v="2520"/>
    <n v="1800"/>
    <n v="720"/>
  </r>
  <r>
    <s v="ORD12323"/>
    <x v="3543"/>
    <s v="CUST1170"/>
    <s v="Customer 170"/>
    <x v="2"/>
    <s v="Gujarat"/>
    <x v="2"/>
    <s v="Monitors"/>
    <x v="11"/>
    <n v="1"/>
    <n v="10500"/>
    <x v="3"/>
    <n v="8925"/>
    <n v="7600"/>
    <n v="1325"/>
  </r>
  <r>
    <s v="ORD11819"/>
    <x v="3544"/>
    <s v="CUST1068"/>
    <s v="Customer 068"/>
    <x v="3"/>
    <s v="Haryana"/>
    <x v="3"/>
    <s v="Storage"/>
    <x v="14"/>
    <n v="4"/>
    <n v="4800"/>
    <x v="3"/>
    <n v="16320"/>
    <n v="13200"/>
    <n v="3120"/>
  </r>
  <r>
    <s v="ORD10788"/>
    <x v="3545"/>
    <s v="CUST1344"/>
    <s v="Customer 344"/>
    <x v="2"/>
    <s v="Maharashtra"/>
    <x v="0"/>
    <s v="Stationery"/>
    <x v="15"/>
    <n v="5"/>
    <n v="450"/>
    <x v="2"/>
    <n v="2250"/>
    <n v="1300"/>
    <n v="950"/>
  </r>
  <r>
    <s v="ORD10047"/>
    <x v="3546"/>
    <s v="CUST1223"/>
    <s v="Customer 223"/>
    <x v="2"/>
    <s v="Goa"/>
    <x v="0"/>
    <s v="Accessories"/>
    <x v="0"/>
    <n v="2"/>
    <n v="650"/>
    <x v="2"/>
    <n v="1300"/>
    <n v="780"/>
    <n v="520"/>
  </r>
  <r>
    <s v="ORD10697"/>
    <x v="3547"/>
    <s v="CUST1361"/>
    <s v="Customer 361"/>
    <x v="3"/>
    <s v="Haryana"/>
    <x v="2"/>
    <s v="Audio"/>
    <x v="17"/>
    <n v="3"/>
    <n v="2800"/>
    <x v="4"/>
    <n v="7980"/>
    <n v="5400"/>
    <n v="2580"/>
  </r>
  <r>
    <s v="ORD11008"/>
    <x v="3548"/>
    <s v="CUST1252"/>
    <s v="Customer 252"/>
    <x v="1"/>
    <s v="Andhra Pradesh"/>
    <x v="3"/>
    <s v="Storage"/>
    <x v="6"/>
    <n v="4"/>
    <n v="5600"/>
    <x v="0"/>
    <n v="20160"/>
    <n v="15600"/>
    <n v="4560"/>
  </r>
  <r>
    <s v="ORD11660"/>
    <x v="3549"/>
    <s v="CUST1127"/>
    <s v="Customer 127"/>
    <x v="1"/>
    <s v="Telangana"/>
    <x v="3"/>
    <s v="Chairs"/>
    <x v="12"/>
    <n v="4"/>
    <n v="7500"/>
    <x v="2"/>
    <n v="30000"/>
    <n v="20800"/>
    <n v="9200"/>
  </r>
  <r>
    <s v="ORD10357"/>
    <x v="3550"/>
    <s v="CUST1076"/>
    <s v="Customer 076"/>
    <x v="2"/>
    <s v="Rajasthan"/>
    <x v="0"/>
    <s v="Accessories"/>
    <x v="0"/>
    <n v="1"/>
    <n v="650"/>
    <x v="2"/>
    <n v="650"/>
    <n v="390"/>
    <n v="260"/>
  </r>
  <r>
    <s v="ORD11298"/>
    <x v="3551"/>
    <s v="CUST1339"/>
    <s v="Customer 339"/>
    <x v="2"/>
    <s v="Rajasthan"/>
    <x v="1"/>
    <s v="Kitchen"/>
    <x v="1"/>
    <n v="5"/>
    <n v="1900"/>
    <x v="0"/>
    <n v="8550"/>
    <n v="6250"/>
    <n v="2300"/>
  </r>
  <r>
    <s v="ORD12352"/>
    <x v="3552"/>
    <s v="CUST1376"/>
    <s v="Customer 376"/>
    <x v="1"/>
    <s v="Tamil Nadu"/>
    <x v="3"/>
    <s v="Chairs"/>
    <x v="12"/>
    <n v="2"/>
    <n v="7500"/>
    <x v="0"/>
    <n v="13500"/>
    <n v="10400"/>
    <n v="3100"/>
  </r>
  <r>
    <s v="ORD12032"/>
    <x v="3553"/>
    <s v="CUST1089"/>
    <s v="Customer 089"/>
    <x v="1"/>
    <s v="Andhra Pradesh"/>
    <x v="0"/>
    <s v="Stationery"/>
    <x v="15"/>
    <n v="1"/>
    <n v="450"/>
    <x v="0"/>
    <n v="405"/>
    <n v="260"/>
    <n v="145"/>
  </r>
  <r>
    <s v="ORD12948"/>
    <x v="3554"/>
    <s v="CUST1249"/>
    <s v="Customer 249"/>
    <x v="3"/>
    <s v="Punjab"/>
    <x v="0"/>
    <s v="Stationery"/>
    <x v="15"/>
    <n v="4"/>
    <n v="450"/>
    <x v="3"/>
    <n v="1530"/>
    <n v="1040"/>
    <n v="490"/>
  </r>
  <r>
    <s v="ORD10988"/>
    <x v="3555"/>
    <s v="CUST1159"/>
    <s v="Customer 159"/>
    <x v="2"/>
    <s v="Maharashtra"/>
    <x v="1"/>
    <s v="Appliances"/>
    <x v="7"/>
    <n v="4"/>
    <n v="2400"/>
    <x v="4"/>
    <n v="9120"/>
    <n v="6600"/>
    <n v="2520"/>
  </r>
  <r>
    <s v="ORD11958"/>
    <x v="3556"/>
    <s v="CUST1266"/>
    <s v="Customer 266"/>
    <x v="0"/>
    <s v="Jharkhand"/>
    <x v="2"/>
    <s v="Accessories"/>
    <x v="9"/>
    <n v="5"/>
    <n v="850"/>
    <x v="4"/>
    <n v="4037.5"/>
    <n v="2800"/>
    <n v="1237.5"/>
  </r>
  <r>
    <s v="ORD10743"/>
    <x v="3557"/>
    <s v="CUST1318"/>
    <s v="Customer 318"/>
    <x v="1"/>
    <s v="Karnataka"/>
    <x v="2"/>
    <s v="Monitors"/>
    <x v="11"/>
    <n v="2"/>
    <n v="10500"/>
    <x v="0"/>
    <n v="18900"/>
    <n v="15200"/>
    <n v="3700"/>
  </r>
  <r>
    <s v="ORD13069"/>
    <x v="3558"/>
    <s v="CUST1075"/>
    <s v="Customer 075"/>
    <x v="1"/>
    <s v="Karnataka"/>
    <x v="3"/>
    <s v="Chairs"/>
    <x v="12"/>
    <n v="5"/>
    <n v="7500"/>
    <x v="4"/>
    <n v="35625"/>
    <n v="26000"/>
    <n v="9625"/>
  </r>
  <r>
    <s v="ORD11500"/>
    <x v="3559"/>
    <s v="CUST1421"/>
    <s v="Customer 421"/>
    <x v="3"/>
    <s v="Haryana"/>
    <x v="2"/>
    <s v="Audio"/>
    <x v="5"/>
    <n v="3"/>
    <n v="2200"/>
    <x v="5"/>
    <n v="5280"/>
    <n v="4350"/>
    <n v="930"/>
  </r>
  <r>
    <s v="ORD10388"/>
    <x v="3560"/>
    <s v="CUST1416"/>
    <s v="Customer 416"/>
    <x v="1"/>
    <s v="Kerala"/>
    <x v="0"/>
    <s v="Paper"/>
    <x v="3"/>
    <n v="4"/>
    <n v="520"/>
    <x v="4"/>
    <n v="1976"/>
    <n v="1320"/>
    <n v="656"/>
  </r>
  <r>
    <s v="ORD13487"/>
    <x v="3561"/>
    <s v="CUST1171"/>
    <s v="Customer 171"/>
    <x v="0"/>
    <s v="Bihar"/>
    <x v="1"/>
    <s v="Appliances"/>
    <x v="7"/>
    <n v="3"/>
    <n v="2400"/>
    <x v="3"/>
    <n v="6120"/>
    <n v="4950"/>
    <n v="1170"/>
  </r>
  <r>
    <s v="ORD10022"/>
    <x v="3562"/>
    <s v="CUST1186"/>
    <s v="Customer 186"/>
    <x v="1"/>
    <s v="Telangana"/>
    <x v="2"/>
    <s v="Accessories"/>
    <x v="8"/>
    <n v="2"/>
    <n v="1800"/>
    <x v="5"/>
    <n v="2880"/>
    <n v="2200"/>
    <n v="680"/>
  </r>
  <r>
    <s v="ORD12721"/>
    <x v="3563"/>
    <s v="CUST1314"/>
    <s v="Customer 314"/>
    <x v="2"/>
    <s v="Goa"/>
    <x v="2"/>
    <s v="Audio"/>
    <x v="17"/>
    <n v="3"/>
    <n v="2800"/>
    <x v="4"/>
    <n v="7980"/>
    <n v="5400"/>
    <n v="2580"/>
  </r>
  <r>
    <s v="ORD12812"/>
    <x v="3564"/>
    <s v="CUST1144"/>
    <s v="Customer 144"/>
    <x v="3"/>
    <s v="Delhi"/>
    <x v="0"/>
    <s v="Stationery"/>
    <x v="10"/>
    <n v="4"/>
    <n v="280"/>
    <x v="5"/>
    <n v="896"/>
    <n v="640"/>
    <n v="256"/>
  </r>
  <r>
    <s v="ORD12706"/>
    <x v="3565"/>
    <s v="CUST1143"/>
    <s v="Customer 143"/>
    <x v="1"/>
    <s v="Andhra Pradesh"/>
    <x v="0"/>
    <s v="Accessories"/>
    <x v="0"/>
    <n v="3"/>
    <n v="650"/>
    <x v="5"/>
    <n v="1560"/>
    <n v="1170"/>
    <n v="390"/>
  </r>
  <r>
    <s v="ORD11670"/>
    <x v="3566"/>
    <s v="CUST1363"/>
    <s v="Customer 363"/>
    <x v="2"/>
    <s v="Gujarat"/>
    <x v="1"/>
    <s v="Kitchen"/>
    <x v="2"/>
    <n v="5"/>
    <n v="4200"/>
    <x v="2"/>
    <n v="21000"/>
    <n v="14500"/>
    <n v="6500"/>
  </r>
  <r>
    <s v="ORD12561"/>
    <x v="3567"/>
    <s v="CUST1289"/>
    <s v="Customer 289"/>
    <x v="0"/>
    <s v="West Bengal"/>
    <x v="2"/>
    <s v="Accessories"/>
    <x v="13"/>
    <n v="1"/>
    <n v="1400"/>
    <x v="1"/>
    <n v="1050"/>
    <n v="900"/>
    <n v="150"/>
  </r>
  <r>
    <s v="ORD12986"/>
    <x v="3568"/>
    <s v="CUST1325"/>
    <s v="Customer 325"/>
    <x v="1"/>
    <s v="Telangana"/>
    <x v="2"/>
    <s v="Monitors"/>
    <x v="11"/>
    <n v="4"/>
    <n v="10500"/>
    <x v="3"/>
    <n v="35700"/>
    <n v="30400"/>
    <n v="5300"/>
  </r>
  <r>
    <s v="ORD12732"/>
    <x v="3569"/>
    <s v="CUST1262"/>
    <s v="Customer 262"/>
    <x v="0"/>
    <s v="West Bengal"/>
    <x v="2"/>
    <s v="Accessories"/>
    <x v="13"/>
    <n v="1"/>
    <n v="1400"/>
    <x v="4"/>
    <n v="1330"/>
    <n v="900"/>
    <n v="430"/>
  </r>
  <r>
    <s v="ORD11789"/>
    <x v="3570"/>
    <s v="CUST1237"/>
    <s v="Customer 237"/>
    <x v="1"/>
    <s v="Karnataka"/>
    <x v="2"/>
    <s v="Accessories"/>
    <x v="13"/>
    <n v="3"/>
    <n v="1400"/>
    <x v="3"/>
    <n v="3570"/>
    <n v="2700"/>
    <n v="870"/>
  </r>
  <r>
    <s v="ORD11453"/>
    <x v="3571"/>
    <s v="CUST1026"/>
    <s v="Customer 026"/>
    <x v="1"/>
    <s v="Karnataka"/>
    <x v="0"/>
    <s v="Stationery"/>
    <x v="10"/>
    <n v="4"/>
    <n v="280"/>
    <x v="3"/>
    <n v="952"/>
    <n v="640"/>
    <n v="312"/>
  </r>
  <r>
    <s v="ORD13483"/>
    <x v="3572"/>
    <s v="CUST1398"/>
    <s v="Customer 398"/>
    <x v="1"/>
    <s v="Telangana"/>
    <x v="2"/>
    <s v="Audio"/>
    <x v="17"/>
    <n v="1"/>
    <n v="2800"/>
    <x v="4"/>
    <n v="2660"/>
    <n v="1800"/>
    <n v="860"/>
  </r>
  <r>
    <s v="ORD11661"/>
    <x v="3573"/>
    <s v="CUST1310"/>
    <s v="Customer 310"/>
    <x v="1"/>
    <s v="Telangana"/>
    <x v="3"/>
    <s v="Tables"/>
    <x v="16"/>
    <n v="3"/>
    <n v="6200"/>
    <x v="0"/>
    <n v="16740"/>
    <n v="12900"/>
    <n v="3840"/>
  </r>
  <r>
    <s v="ORD12980"/>
    <x v="3574"/>
    <s v="CUST1238"/>
    <s v="Customer 238"/>
    <x v="0"/>
    <s v="West Bengal"/>
    <x v="0"/>
    <s v="Stationery"/>
    <x v="18"/>
    <n v="4"/>
    <n v="300"/>
    <x v="3"/>
    <n v="1020"/>
    <n v="680"/>
    <n v="340"/>
  </r>
  <r>
    <s v="ORD13840"/>
    <x v="3575"/>
    <s v="CUST1477"/>
    <s v="Customer 477"/>
    <x v="1"/>
    <s v="Kerala"/>
    <x v="2"/>
    <s v="Accessories"/>
    <x v="8"/>
    <n v="2"/>
    <n v="1800"/>
    <x v="1"/>
    <n v="2700"/>
    <n v="2200"/>
    <n v="500"/>
  </r>
  <r>
    <s v="ORD11249"/>
    <x v="3576"/>
    <s v="CUST1163"/>
    <s v="Customer 163"/>
    <x v="0"/>
    <s v="Bihar"/>
    <x v="0"/>
    <s v="Paper"/>
    <x v="3"/>
    <n v="2"/>
    <n v="520"/>
    <x v="3"/>
    <n v="884"/>
    <n v="660"/>
    <n v="224"/>
  </r>
  <r>
    <s v="ORD11809"/>
    <x v="3577"/>
    <s v="CUST1045"/>
    <s v="Customer 045"/>
    <x v="0"/>
    <s v="West Bengal"/>
    <x v="3"/>
    <s v="Storage"/>
    <x v="6"/>
    <n v="5"/>
    <n v="5600"/>
    <x v="2"/>
    <n v="28000"/>
    <n v="19500"/>
    <n v="8500"/>
  </r>
  <r>
    <s v="ORD11521"/>
    <x v="3578"/>
    <s v="CUST1432"/>
    <s v="Customer 432"/>
    <x v="2"/>
    <s v="Rajasthan"/>
    <x v="1"/>
    <s v="Kitchen"/>
    <x v="2"/>
    <n v="4"/>
    <n v="4200"/>
    <x v="4"/>
    <n v="15960"/>
    <n v="11600"/>
    <n v="4360"/>
  </r>
  <r>
    <s v="ORD13609"/>
    <x v="3579"/>
    <s v="CUST1309"/>
    <s v="Customer 309"/>
    <x v="2"/>
    <s v="Maharashtra"/>
    <x v="2"/>
    <s v="Monitors"/>
    <x v="11"/>
    <n v="2"/>
    <n v="10500"/>
    <x v="0"/>
    <n v="18900"/>
    <n v="15200"/>
    <n v="3700"/>
  </r>
  <r>
    <s v="ORD12766"/>
    <x v="3580"/>
    <s v="CUST1268"/>
    <s v="Customer 268"/>
    <x v="1"/>
    <s v="Andhra Pradesh"/>
    <x v="2"/>
    <s v="Accessories"/>
    <x v="13"/>
    <n v="5"/>
    <n v="1400"/>
    <x v="1"/>
    <n v="5250"/>
    <n v="4500"/>
    <n v="750"/>
  </r>
  <r>
    <s v="ORD13754"/>
    <x v="3581"/>
    <s v="CUST1135"/>
    <s v="Customer 135"/>
    <x v="3"/>
    <s v="Haryana"/>
    <x v="0"/>
    <s v="Stationery"/>
    <x v="15"/>
    <n v="1"/>
    <n v="450"/>
    <x v="2"/>
    <n v="450"/>
    <n v="260"/>
    <n v="190"/>
  </r>
  <r>
    <s v="ORD10806"/>
    <x v="3582"/>
    <s v="CUST1391"/>
    <s v="Customer 391"/>
    <x v="1"/>
    <s v="Tamil Nadu"/>
    <x v="3"/>
    <s v="Storage"/>
    <x v="14"/>
    <n v="5"/>
    <n v="4800"/>
    <x v="0"/>
    <n v="21600"/>
    <n v="16500"/>
    <n v="5100"/>
  </r>
  <r>
    <s v="ORD10390"/>
    <x v="3583"/>
    <s v="CUST1077"/>
    <s v="Customer 077"/>
    <x v="1"/>
    <s v="Tamil Nadu"/>
    <x v="0"/>
    <s v="Paper"/>
    <x v="3"/>
    <n v="3"/>
    <n v="520"/>
    <x v="5"/>
    <n v="1248"/>
    <n v="990"/>
    <n v="258"/>
  </r>
  <r>
    <s v="ORD13545"/>
    <x v="3584"/>
    <s v="CUST1019"/>
    <s v="Customer 019"/>
    <x v="2"/>
    <s v="Rajasthan"/>
    <x v="3"/>
    <s v="Tables"/>
    <x v="16"/>
    <n v="3"/>
    <n v="6200"/>
    <x v="4"/>
    <n v="17670"/>
    <n v="12900"/>
    <n v="4770"/>
  </r>
  <r>
    <s v="ORD10241"/>
    <x v="3585"/>
    <s v="CUST1071"/>
    <s v="Customer 071"/>
    <x v="1"/>
    <s v="Karnataka"/>
    <x v="2"/>
    <s v="Audio"/>
    <x v="17"/>
    <n v="3"/>
    <n v="2800"/>
    <x v="0"/>
    <n v="7560"/>
    <n v="5400"/>
    <n v="2160"/>
  </r>
  <r>
    <s v="ORD12590"/>
    <x v="3586"/>
    <s v="CUST1173"/>
    <s v="Customer 173"/>
    <x v="0"/>
    <s v="Bihar"/>
    <x v="0"/>
    <s v="Stationery"/>
    <x v="15"/>
    <n v="1"/>
    <n v="450"/>
    <x v="2"/>
    <n v="450"/>
    <n v="260"/>
    <n v="190"/>
  </r>
  <r>
    <s v="ORD12678"/>
    <x v="3587"/>
    <s v="CUST1440"/>
    <s v="Customer 440"/>
    <x v="1"/>
    <s v="Tamil Nadu"/>
    <x v="0"/>
    <s v="Accessories"/>
    <x v="0"/>
    <n v="4"/>
    <n v="650"/>
    <x v="3"/>
    <n v="2210"/>
    <n v="1560"/>
    <n v="650"/>
  </r>
  <r>
    <s v="ORD10329"/>
    <x v="3588"/>
    <s v="CUST1071"/>
    <s v="Customer 071"/>
    <x v="2"/>
    <s v="Gujarat"/>
    <x v="0"/>
    <s v="Paper"/>
    <x v="3"/>
    <n v="4"/>
    <n v="520"/>
    <x v="4"/>
    <n v="1976"/>
    <n v="1320"/>
    <n v="656"/>
  </r>
  <r>
    <s v="ORD12195"/>
    <x v="3589"/>
    <s v="CUST1329"/>
    <s v="Customer 329"/>
    <x v="1"/>
    <s v="Karnataka"/>
    <x v="2"/>
    <s v="Audio"/>
    <x v="17"/>
    <n v="2"/>
    <n v="2800"/>
    <x v="0"/>
    <n v="5040"/>
    <n v="3600"/>
    <n v="1440"/>
  </r>
  <r>
    <s v="ORD13712"/>
    <x v="3590"/>
    <s v="CUST1500"/>
    <s v="Customer 500"/>
    <x v="2"/>
    <s v="Rajasthan"/>
    <x v="2"/>
    <s v="Audio"/>
    <x v="17"/>
    <n v="2"/>
    <n v="2800"/>
    <x v="3"/>
    <n v="4760"/>
    <n v="3600"/>
    <n v="1160"/>
  </r>
  <r>
    <s v="ORD12013"/>
    <x v="3591"/>
    <s v="CUST1077"/>
    <s v="Customer 077"/>
    <x v="0"/>
    <s v="Jharkhand"/>
    <x v="2"/>
    <s v="Audio"/>
    <x v="5"/>
    <n v="5"/>
    <n v="2200"/>
    <x v="0"/>
    <n v="9900"/>
    <n v="7250"/>
    <n v="2650"/>
  </r>
  <r>
    <s v="ORD12044"/>
    <x v="3592"/>
    <s v="CUST1375"/>
    <s v="Customer 375"/>
    <x v="0"/>
    <s v="Jharkhand"/>
    <x v="0"/>
    <s v="Stationery"/>
    <x v="10"/>
    <n v="1"/>
    <n v="280"/>
    <x v="2"/>
    <n v="280"/>
    <n v="160"/>
    <n v="120"/>
  </r>
  <r>
    <s v="ORD10877"/>
    <x v="3593"/>
    <s v="CUST1270"/>
    <s v="Customer 270"/>
    <x v="1"/>
    <s v="Andhra Pradesh"/>
    <x v="1"/>
    <s v="Appliances"/>
    <x v="7"/>
    <n v="5"/>
    <n v="2400"/>
    <x v="2"/>
    <n v="12000"/>
    <n v="8250"/>
    <n v="3750"/>
  </r>
  <r>
    <s v="ORD13874"/>
    <x v="3594"/>
    <s v="CUST1238"/>
    <s v="Customer 238"/>
    <x v="1"/>
    <s v="Karnataka"/>
    <x v="2"/>
    <s v="Accessories"/>
    <x v="8"/>
    <n v="1"/>
    <n v="1800"/>
    <x v="3"/>
    <n v="1530"/>
    <n v="1100"/>
    <n v="430"/>
  </r>
  <r>
    <s v="ORD13339"/>
    <x v="3595"/>
    <s v="CUST1430"/>
    <s v="Customer 430"/>
    <x v="3"/>
    <s v="Haryana"/>
    <x v="3"/>
    <s v="Chairs"/>
    <x v="12"/>
    <n v="2"/>
    <n v="7500"/>
    <x v="5"/>
    <n v="12000"/>
    <n v="10400"/>
    <n v="1600"/>
  </r>
  <r>
    <s v="ORD11870"/>
    <x v="3596"/>
    <s v="CUST1387"/>
    <s v="Customer 387"/>
    <x v="2"/>
    <s v="Goa"/>
    <x v="1"/>
    <s v="Appliances"/>
    <x v="7"/>
    <n v="4"/>
    <n v="2400"/>
    <x v="0"/>
    <n v="8640"/>
    <n v="6600"/>
    <n v="2040"/>
  </r>
  <r>
    <s v="ORD10258"/>
    <x v="3597"/>
    <s v="CUST1052"/>
    <s v="Customer 052"/>
    <x v="3"/>
    <s v="Haryana"/>
    <x v="2"/>
    <s v="Accessories"/>
    <x v="9"/>
    <n v="2"/>
    <n v="850"/>
    <x v="0"/>
    <n v="1530"/>
    <n v="1120"/>
    <n v="410"/>
  </r>
  <r>
    <s v="ORD10883"/>
    <x v="3598"/>
    <s v="CUST1225"/>
    <s v="Customer 225"/>
    <x v="2"/>
    <s v="Goa"/>
    <x v="0"/>
    <s v="Paper"/>
    <x v="3"/>
    <n v="4"/>
    <n v="520"/>
    <x v="0"/>
    <n v="1872"/>
    <n v="1320"/>
    <n v="552"/>
  </r>
  <r>
    <s v="ORD13326"/>
    <x v="3599"/>
    <s v="CUST1392"/>
    <s v="Customer 392"/>
    <x v="1"/>
    <s v="Telangana"/>
    <x v="3"/>
    <s v="Storage"/>
    <x v="6"/>
    <n v="1"/>
    <n v="5600"/>
    <x v="3"/>
    <n v="4760"/>
    <n v="3900"/>
    <n v="860"/>
  </r>
  <r>
    <s v="ORD13589"/>
    <x v="3600"/>
    <s v="CUST1326"/>
    <s v="Customer 326"/>
    <x v="2"/>
    <s v="Rajasthan"/>
    <x v="2"/>
    <s v="Accessories"/>
    <x v="13"/>
    <n v="5"/>
    <n v="1400"/>
    <x v="5"/>
    <n v="5600"/>
    <n v="4500"/>
    <n v="1100"/>
  </r>
  <r>
    <s v="ORD13124"/>
    <x v="3601"/>
    <s v="CUST1307"/>
    <s v="Customer 307"/>
    <x v="2"/>
    <s v="Gujarat"/>
    <x v="2"/>
    <s v="Accessories"/>
    <x v="9"/>
    <n v="5"/>
    <n v="850"/>
    <x v="0"/>
    <n v="3825"/>
    <n v="2800"/>
    <n v="1025"/>
  </r>
  <r>
    <s v="ORD13067"/>
    <x v="3602"/>
    <s v="CUST1415"/>
    <s v="Customer 415"/>
    <x v="2"/>
    <s v="Goa"/>
    <x v="1"/>
    <s v="Appliances"/>
    <x v="7"/>
    <n v="3"/>
    <n v="2400"/>
    <x v="2"/>
    <n v="7200"/>
    <n v="4950"/>
    <n v="2250"/>
  </r>
  <r>
    <s v="ORD11531"/>
    <x v="3603"/>
    <s v="CUST1045"/>
    <s v="Customer 045"/>
    <x v="1"/>
    <s v="Andhra Pradesh"/>
    <x v="3"/>
    <s v="Storage"/>
    <x v="14"/>
    <n v="1"/>
    <n v="4800"/>
    <x v="4"/>
    <n v="4560"/>
    <n v="3300"/>
    <n v="1260"/>
  </r>
  <r>
    <s v="ORD13393"/>
    <x v="3604"/>
    <s v="CUST1399"/>
    <s v="Customer 399"/>
    <x v="0"/>
    <s v="Odisha"/>
    <x v="0"/>
    <s v="Paper"/>
    <x v="3"/>
    <n v="1"/>
    <n v="520"/>
    <x v="4"/>
    <n v="494"/>
    <n v="330"/>
    <n v="164"/>
  </r>
  <r>
    <s v="ORD10758"/>
    <x v="3605"/>
    <s v="CUST1192"/>
    <s v="Customer 192"/>
    <x v="3"/>
    <s v="Punjab"/>
    <x v="2"/>
    <s v="Monitors"/>
    <x v="11"/>
    <n v="1"/>
    <n v="10500"/>
    <x v="4"/>
    <n v="9975"/>
    <n v="7600"/>
    <n v="2375"/>
  </r>
  <r>
    <s v="ORD13947"/>
    <x v="3606"/>
    <s v="CUST1012"/>
    <s v="Customer 012"/>
    <x v="1"/>
    <s v="Telangana"/>
    <x v="2"/>
    <s v="Accessories"/>
    <x v="13"/>
    <n v="3"/>
    <n v="1400"/>
    <x v="1"/>
    <n v="3150"/>
    <n v="2700"/>
    <n v="450"/>
  </r>
  <r>
    <s v="ORD10740"/>
    <x v="3607"/>
    <s v="CUST1450"/>
    <s v="Customer 450"/>
    <x v="2"/>
    <s v="Goa"/>
    <x v="0"/>
    <s v="Paper"/>
    <x v="3"/>
    <n v="2"/>
    <n v="520"/>
    <x v="2"/>
    <n v="1040"/>
    <n v="660"/>
    <n v="380"/>
  </r>
  <r>
    <s v="ORD13973"/>
    <x v="3608"/>
    <s v="CUST1063"/>
    <s v="Customer 063"/>
    <x v="2"/>
    <s v="Rajasthan"/>
    <x v="1"/>
    <s v="Kitchen"/>
    <x v="2"/>
    <n v="2"/>
    <n v="4200"/>
    <x v="4"/>
    <n v="7980"/>
    <n v="5800"/>
    <n v="2180"/>
  </r>
  <r>
    <s v="ORD10917"/>
    <x v="3609"/>
    <s v="CUST1272"/>
    <s v="Customer 272"/>
    <x v="1"/>
    <s v="Andhra Pradesh"/>
    <x v="3"/>
    <s v="Tables"/>
    <x v="16"/>
    <n v="2"/>
    <n v="6200"/>
    <x v="0"/>
    <n v="11160"/>
    <n v="8600"/>
    <n v="2560"/>
  </r>
  <r>
    <s v="ORD12890"/>
    <x v="3610"/>
    <s v="CUST1098"/>
    <s v="Customer 098"/>
    <x v="0"/>
    <s v="West Bengal"/>
    <x v="2"/>
    <s v="Audio"/>
    <x v="5"/>
    <n v="5"/>
    <n v="2200"/>
    <x v="3"/>
    <n v="9350"/>
    <n v="7250"/>
    <n v="2100"/>
  </r>
  <r>
    <s v="ORD10333"/>
    <x v="3611"/>
    <s v="CUST1155"/>
    <s v="Customer 155"/>
    <x v="3"/>
    <s v="Haryana"/>
    <x v="2"/>
    <s v="Accessories"/>
    <x v="9"/>
    <n v="2"/>
    <n v="850"/>
    <x v="4"/>
    <n v="1615"/>
    <n v="1120"/>
    <n v="495"/>
  </r>
  <r>
    <s v="ORD10206"/>
    <x v="3612"/>
    <s v="CUST1133"/>
    <s v="Customer 133"/>
    <x v="2"/>
    <s v="Rajasthan"/>
    <x v="3"/>
    <s v="Tables"/>
    <x v="16"/>
    <n v="2"/>
    <n v="6200"/>
    <x v="0"/>
    <n v="11160"/>
    <n v="8600"/>
    <n v="2560"/>
  </r>
  <r>
    <s v="ORD12469"/>
    <x v="3613"/>
    <s v="CUST1014"/>
    <s v="Customer 014"/>
    <x v="0"/>
    <s v="Jharkhand"/>
    <x v="3"/>
    <s v="Tables"/>
    <x v="16"/>
    <n v="4"/>
    <n v="6200"/>
    <x v="1"/>
    <n v="18600"/>
    <n v="17200"/>
    <n v="1400"/>
  </r>
  <r>
    <s v="ORD13475"/>
    <x v="3614"/>
    <s v="CUST1149"/>
    <s v="Customer 149"/>
    <x v="3"/>
    <s v="Delhi"/>
    <x v="2"/>
    <s v="Audio"/>
    <x v="5"/>
    <n v="3"/>
    <n v="2200"/>
    <x v="3"/>
    <n v="5610"/>
    <n v="4350"/>
    <n v="1260"/>
  </r>
  <r>
    <s v="ORD10510"/>
    <x v="3615"/>
    <s v="CUST1119"/>
    <s v="Customer 119"/>
    <x v="2"/>
    <s v="Rajasthan"/>
    <x v="1"/>
    <s v="Kitchen"/>
    <x v="1"/>
    <n v="1"/>
    <n v="1900"/>
    <x v="1"/>
    <n v="1425"/>
    <n v="1250"/>
    <n v="175"/>
  </r>
  <r>
    <s v="ORD11203"/>
    <x v="3616"/>
    <s v="CUST1493"/>
    <s v="Customer 493"/>
    <x v="0"/>
    <s v="Jharkhand"/>
    <x v="3"/>
    <s v="Storage"/>
    <x v="6"/>
    <n v="4"/>
    <n v="5600"/>
    <x v="4"/>
    <n v="21280"/>
    <n v="15600"/>
    <n v="5680"/>
  </r>
  <r>
    <s v="ORD10551"/>
    <x v="3617"/>
    <s v="CUST1402"/>
    <s v="Customer 402"/>
    <x v="2"/>
    <s v="Gujarat"/>
    <x v="0"/>
    <s v="Paper"/>
    <x v="3"/>
    <n v="2"/>
    <n v="520"/>
    <x v="3"/>
    <n v="884"/>
    <n v="660"/>
    <n v="224"/>
  </r>
  <r>
    <s v="ORD12583"/>
    <x v="3618"/>
    <s v="CUST1146"/>
    <s v="Customer 146"/>
    <x v="3"/>
    <s v="Delhi"/>
    <x v="3"/>
    <s v="Storage"/>
    <x v="14"/>
    <n v="4"/>
    <n v="4800"/>
    <x v="2"/>
    <n v="19200"/>
    <n v="13200"/>
    <n v="6000"/>
  </r>
  <r>
    <s v="ORD12029"/>
    <x v="3619"/>
    <s v="CUST1263"/>
    <s v="Customer 263"/>
    <x v="2"/>
    <s v="Goa"/>
    <x v="1"/>
    <s v="Appliances"/>
    <x v="7"/>
    <n v="1"/>
    <n v="2400"/>
    <x v="3"/>
    <n v="2040"/>
    <n v="1650"/>
    <n v="390"/>
  </r>
  <r>
    <s v="ORD11648"/>
    <x v="3620"/>
    <s v="CUST1332"/>
    <s v="Customer 332"/>
    <x v="1"/>
    <s v="Tamil Nadu"/>
    <x v="3"/>
    <s v="Storage"/>
    <x v="14"/>
    <n v="5"/>
    <n v="4800"/>
    <x v="4"/>
    <n v="22800"/>
    <n v="16500"/>
    <n v="6300"/>
  </r>
  <r>
    <s v="ORD11000"/>
    <x v="3621"/>
    <s v="CUST1257"/>
    <s v="Customer 257"/>
    <x v="1"/>
    <s v="Kerala"/>
    <x v="0"/>
    <s v="Paper"/>
    <x v="3"/>
    <n v="2"/>
    <n v="520"/>
    <x v="3"/>
    <n v="884"/>
    <n v="660"/>
    <n v="224"/>
  </r>
  <r>
    <s v="ORD10306"/>
    <x v="3622"/>
    <s v="CUST1071"/>
    <s v="Customer 071"/>
    <x v="1"/>
    <s v="Karnataka"/>
    <x v="2"/>
    <s v="Monitors"/>
    <x v="11"/>
    <n v="2"/>
    <n v="10500"/>
    <x v="3"/>
    <n v="17850"/>
    <n v="15200"/>
    <n v="2650"/>
  </r>
  <r>
    <s v="ORD11437"/>
    <x v="3623"/>
    <s v="CUST1214"/>
    <s v="Customer 214"/>
    <x v="1"/>
    <s v="Kerala"/>
    <x v="2"/>
    <s v="Accessories"/>
    <x v="13"/>
    <n v="1"/>
    <n v="1400"/>
    <x v="3"/>
    <n v="1190"/>
    <n v="900"/>
    <n v="290"/>
  </r>
  <r>
    <s v="ORD12225"/>
    <x v="3624"/>
    <s v="CUST1201"/>
    <s v="Customer 201"/>
    <x v="1"/>
    <s v="Telangana"/>
    <x v="0"/>
    <s v="Stationery"/>
    <x v="18"/>
    <n v="4"/>
    <n v="300"/>
    <x v="5"/>
    <n v="960"/>
    <n v="680"/>
    <n v="280"/>
  </r>
  <r>
    <s v="ORD13402"/>
    <x v="3625"/>
    <s v="CUST1459"/>
    <s v="Customer 459"/>
    <x v="1"/>
    <s v="Tamil Nadu"/>
    <x v="0"/>
    <s v="Stationery"/>
    <x v="18"/>
    <n v="4"/>
    <n v="300"/>
    <x v="0"/>
    <n v="1080"/>
    <n v="680"/>
    <n v="400"/>
  </r>
  <r>
    <s v="ORD10904"/>
    <x v="3626"/>
    <s v="CUST1443"/>
    <s v="Customer 443"/>
    <x v="0"/>
    <s v="Odisha"/>
    <x v="3"/>
    <s v="Storage"/>
    <x v="6"/>
    <n v="4"/>
    <n v="5600"/>
    <x v="5"/>
    <n v="17920"/>
    <n v="15600"/>
    <n v="2320"/>
  </r>
  <r>
    <s v="ORD13713"/>
    <x v="3627"/>
    <s v="CUST1404"/>
    <s v="Customer 404"/>
    <x v="0"/>
    <s v="Odisha"/>
    <x v="2"/>
    <s v="Accessories"/>
    <x v="9"/>
    <n v="1"/>
    <n v="850"/>
    <x v="0"/>
    <n v="765"/>
    <n v="560"/>
    <n v="205"/>
  </r>
  <r>
    <s v="ORD10074"/>
    <x v="3628"/>
    <s v="CUST1065"/>
    <s v="Customer 065"/>
    <x v="3"/>
    <s v="Uttar Pradesh"/>
    <x v="3"/>
    <s v="Storage"/>
    <x v="14"/>
    <n v="2"/>
    <n v="4800"/>
    <x v="0"/>
    <n v="8640"/>
    <n v="6600"/>
    <n v="2040"/>
  </r>
  <r>
    <s v="ORD11007"/>
    <x v="3629"/>
    <s v="CUST1426"/>
    <s v="Customer 426"/>
    <x v="2"/>
    <s v="Goa"/>
    <x v="2"/>
    <s v="Audio"/>
    <x v="5"/>
    <n v="2"/>
    <n v="2200"/>
    <x v="5"/>
    <n v="3520"/>
    <n v="2900"/>
    <n v="620"/>
  </r>
  <r>
    <s v="ORD11982"/>
    <x v="3630"/>
    <s v="CUST1312"/>
    <s v="Customer 312"/>
    <x v="2"/>
    <s v="Maharashtra"/>
    <x v="2"/>
    <s v="Audio"/>
    <x v="5"/>
    <n v="3"/>
    <n v="2200"/>
    <x v="0"/>
    <n v="5940"/>
    <n v="4350"/>
    <n v="1590"/>
  </r>
  <r>
    <s v="ORD10119"/>
    <x v="3631"/>
    <s v="CUST1123"/>
    <s v="Customer 123"/>
    <x v="1"/>
    <s v="Tamil Nadu"/>
    <x v="3"/>
    <s v="Tables"/>
    <x v="16"/>
    <n v="5"/>
    <n v="6200"/>
    <x v="0"/>
    <n v="27900"/>
    <n v="21500"/>
    <n v="6400"/>
  </r>
  <r>
    <s v="ORD11070"/>
    <x v="3632"/>
    <s v="CUST1006"/>
    <s v="Customer 006"/>
    <x v="2"/>
    <s v="Gujarat"/>
    <x v="3"/>
    <s v="Tables"/>
    <x v="16"/>
    <n v="2"/>
    <n v="6200"/>
    <x v="0"/>
    <n v="11160"/>
    <n v="8600"/>
    <n v="2560"/>
  </r>
  <r>
    <s v="ORD10033"/>
    <x v="3633"/>
    <s v="CUST1047"/>
    <s v="Customer 047"/>
    <x v="1"/>
    <s v="Andhra Pradesh"/>
    <x v="0"/>
    <s v="Paper"/>
    <x v="3"/>
    <n v="4"/>
    <n v="520"/>
    <x v="4"/>
    <n v="1976"/>
    <n v="1320"/>
    <n v="656"/>
  </r>
  <r>
    <s v="ORD12228"/>
    <x v="3634"/>
    <s v="CUST1467"/>
    <s v="Customer 467"/>
    <x v="1"/>
    <s v="Kerala"/>
    <x v="2"/>
    <s v="Accessories"/>
    <x v="9"/>
    <n v="4"/>
    <n v="850"/>
    <x v="3"/>
    <n v="2890"/>
    <n v="2240"/>
    <n v="650"/>
  </r>
  <r>
    <s v="ORD11269"/>
    <x v="3635"/>
    <s v="CUST1477"/>
    <s v="Customer 477"/>
    <x v="0"/>
    <s v="West Bengal"/>
    <x v="1"/>
    <s v="Kitchen"/>
    <x v="1"/>
    <n v="5"/>
    <n v="1900"/>
    <x v="0"/>
    <n v="8550"/>
    <n v="6250"/>
    <n v="2300"/>
  </r>
  <r>
    <s v="ORD10296"/>
    <x v="3636"/>
    <s v="CUST1261"/>
    <s v="Customer 261"/>
    <x v="1"/>
    <s v="Karnataka"/>
    <x v="3"/>
    <s v="Storage"/>
    <x v="6"/>
    <n v="1"/>
    <n v="5600"/>
    <x v="5"/>
    <n v="4480"/>
    <n v="3900"/>
    <n v="580"/>
  </r>
  <r>
    <s v="ORD12472"/>
    <x v="3637"/>
    <s v="CUST1050"/>
    <s v="Customer 050"/>
    <x v="1"/>
    <s v="Telangana"/>
    <x v="0"/>
    <s v="Paper"/>
    <x v="3"/>
    <n v="1"/>
    <n v="520"/>
    <x v="1"/>
    <n v="390"/>
    <n v="330"/>
    <n v="60"/>
  </r>
  <r>
    <s v="ORD13740"/>
    <x v="3638"/>
    <s v="CUST1417"/>
    <s v="Customer 417"/>
    <x v="1"/>
    <s v="Telangana"/>
    <x v="0"/>
    <s v="Stationery"/>
    <x v="18"/>
    <n v="4"/>
    <n v="300"/>
    <x v="1"/>
    <n v="900"/>
    <n v="680"/>
    <n v="220"/>
  </r>
  <r>
    <s v="ORD10542"/>
    <x v="3639"/>
    <s v="CUST1028"/>
    <s v="Customer 028"/>
    <x v="2"/>
    <s v="Gujarat"/>
    <x v="2"/>
    <s v="Accessories"/>
    <x v="8"/>
    <n v="5"/>
    <n v="1800"/>
    <x v="3"/>
    <n v="7650"/>
    <n v="5500"/>
    <n v="2150"/>
  </r>
  <r>
    <s v="ORD13600"/>
    <x v="3640"/>
    <s v="CUST1311"/>
    <s v="Customer 311"/>
    <x v="2"/>
    <s v="Gujarat"/>
    <x v="2"/>
    <s v="Audio"/>
    <x v="17"/>
    <n v="4"/>
    <n v="2800"/>
    <x v="5"/>
    <n v="8960"/>
    <n v="7200"/>
    <n v="1760"/>
  </r>
  <r>
    <s v="ORD10691"/>
    <x v="3641"/>
    <s v="CUST1499"/>
    <s v="Customer 499"/>
    <x v="0"/>
    <s v="Jharkhand"/>
    <x v="3"/>
    <s v="Storage"/>
    <x v="14"/>
    <n v="2"/>
    <n v="4800"/>
    <x v="4"/>
    <n v="9120"/>
    <n v="6600"/>
    <n v="2520"/>
  </r>
  <r>
    <s v="ORD11188"/>
    <x v="3642"/>
    <s v="CUST1300"/>
    <s v="Customer 300"/>
    <x v="3"/>
    <s v="Uttar Pradesh"/>
    <x v="0"/>
    <s v="Paper"/>
    <x v="3"/>
    <n v="2"/>
    <n v="520"/>
    <x v="3"/>
    <n v="884"/>
    <n v="660"/>
    <n v="224"/>
  </r>
  <r>
    <s v="ORD10404"/>
    <x v="3643"/>
    <s v="CUST1486"/>
    <s v="Customer 486"/>
    <x v="0"/>
    <s v="Odisha"/>
    <x v="1"/>
    <s v="Appliances"/>
    <x v="7"/>
    <n v="3"/>
    <n v="2400"/>
    <x v="2"/>
    <n v="7200"/>
    <n v="4950"/>
    <n v="2250"/>
  </r>
  <r>
    <s v="ORD12079"/>
    <x v="3644"/>
    <s v="CUST1130"/>
    <s v="Customer 130"/>
    <x v="1"/>
    <s v="Karnataka"/>
    <x v="0"/>
    <s v="Accessories"/>
    <x v="0"/>
    <n v="4"/>
    <n v="650"/>
    <x v="2"/>
    <n v="2600"/>
    <n v="1560"/>
    <n v="1040"/>
  </r>
  <r>
    <s v="ORD12119"/>
    <x v="3645"/>
    <s v="CUST1273"/>
    <s v="Customer 273"/>
    <x v="1"/>
    <s v="Karnataka"/>
    <x v="3"/>
    <s v="Chairs"/>
    <x v="12"/>
    <n v="4"/>
    <n v="7500"/>
    <x v="0"/>
    <n v="27000"/>
    <n v="20800"/>
    <n v="6200"/>
  </r>
  <r>
    <s v="ORD13729"/>
    <x v="3646"/>
    <s v="CUST1171"/>
    <s v="Customer 171"/>
    <x v="0"/>
    <s v="West Bengal"/>
    <x v="0"/>
    <s v="Stationery"/>
    <x v="15"/>
    <n v="4"/>
    <n v="450"/>
    <x v="3"/>
    <n v="1530"/>
    <n v="1040"/>
    <n v="490"/>
  </r>
  <r>
    <s v="ORD11426"/>
    <x v="3647"/>
    <s v="CUST1408"/>
    <s v="Customer 408"/>
    <x v="2"/>
    <s v="Gujarat"/>
    <x v="0"/>
    <s v="Accessories"/>
    <x v="0"/>
    <n v="3"/>
    <n v="650"/>
    <x v="2"/>
    <n v="1950"/>
    <n v="1170"/>
    <n v="780"/>
  </r>
  <r>
    <s v="ORD10055"/>
    <x v="3648"/>
    <s v="CUST1249"/>
    <s v="Customer 249"/>
    <x v="1"/>
    <s v="Telangana"/>
    <x v="1"/>
    <s v="Kitchen"/>
    <x v="1"/>
    <n v="2"/>
    <n v="1900"/>
    <x v="2"/>
    <n v="3800"/>
    <n v="2500"/>
    <n v="1300"/>
  </r>
  <r>
    <s v="ORD10379"/>
    <x v="3649"/>
    <s v="CUST1190"/>
    <s v="Customer 190"/>
    <x v="1"/>
    <s v="Telangana"/>
    <x v="3"/>
    <s v="Tables"/>
    <x v="16"/>
    <n v="3"/>
    <n v="6200"/>
    <x v="5"/>
    <n v="14880"/>
    <n v="12900"/>
    <n v="1980"/>
  </r>
  <r>
    <s v="ORD10307"/>
    <x v="3650"/>
    <s v="CUST1152"/>
    <s v="Customer 152"/>
    <x v="2"/>
    <s v="Rajasthan"/>
    <x v="0"/>
    <s v="Stationery"/>
    <x v="10"/>
    <n v="4"/>
    <n v="280"/>
    <x v="3"/>
    <n v="952"/>
    <n v="640"/>
    <n v="312"/>
  </r>
  <r>
    <s v="ORD11382"/>
    <x v="3651"/>
    <s v="CUST1143"/>
    <s v="Customer 143"/>
    <x v="3"/>
    <s v="Punjab"/>
    <x v="3"/>
    <s v="Tables"/>
    <x v="16"/>
    <n v="1"/>
    <n v="6200"/>
    <x v="5"/>
    <n v="4960"/>
    <n v="4300"/>
    <n v="660"/>
  </r>
  <r>
    <s v="ORD11884"/>
    <x v="3652"/>
    <s v="CUST1424"/>
    <s v="Customer 424"/>
    <x v="2"/>
    <s v="Gujarat"/>
    <x v="3"/>
    <s v="Tables"/>
    <x v="16"/>
    <n v="3"/>
    <n v="6200"/>
    <x v="0"/>
    <n v="16740"/>
    <n v="12900"/>
    <n v="3840"/>
  </r>
  <r>
    <s v="ORD13128"/>
    <x v="3653"/>
    <s v="CUST1455"/>
    <s v="Customer 455"/>
    <x v="1"/>
    <s v="Kerala"/>
    <x v="2"/>
    <s v="Audio"/>
    <x v="5"/>
    <n v="4"/>
    <n v="2200"/>
    <x v="0"/>
    <n v="7920"/>
    <n v="5800"/>
    <n v="2120"/>
  </r>
  <r>
    <s v="ORD11397"/>
    <x v="3654"/>
    <s v="CUST1310"/>
    <s v="Customer 310"/>
    <x v="1"/>
    <s v="Kerala"/>
    <x v="0"/>
    <s v="Stationery"/>
    <x v="18"/>
    <n v="4"/>
    <n v="300"/>
    <x v="0"/>
    <n v="1080"/>
    <n v="680"/>
    <n v="400"/>
  </r>
  <r>
    <s v="ORD13097"/>
    <x v="3655"/>
    <s v="CUST1088"/>
    <s v="Customer 088"/>
    <x v="3"/>
    <s v="Punjab"/>
    <x v="2"/>
    <s v="Accessories"/>
    <x v="9"/>
    <n v="3"/>
    <n v="850"/>
    <x v="1"/>
    <n v="1912.5"/>
    <n v="1680"/>
    <n v="232.5"/>
  </r>
  <r>
    <s v="ORD11558"/>
    <x v="3656"/>
    <s v="CUST1387"/>
    <s v="Customer 387"/>
    <x v="0"/>
    <s v="Odisha"/>
    <x v="0"/>
    <s v="Stationery"/>
    <x v="10"/>
    <n v="3"/>
    <n v="280"/>
    <x v="5"/>
    <n v="672"/>
    <n v="480"/>
    <n v="192"/>
  </r>
  <r>
    <s v="ORD11085"/>
    <x v="3657"/>
    <s v="CUST1101"/>
    <s v="Customer 101"/>
    <x v="3"/>
    <s v="Delhi"/>
    <x v="2"/>
    <s v="Accessories"/>
    <x v="9"/>
    <n v="5"/>
    <n v="850"/>
    <x v="5"/>
    <n v="3400"/>
    <n v="2800"/>
    <n v="600"/>
  </r>
  <r>
    <s v="ORD10736"/>
    <x v="3658"/>
    <s v="CUST1336"/>
    <s v="Customer 336"/>
    <x v="2"/>
    <s v="Maharashtra"/>
    <x v="2"/>
    <s v="Accessories"/>
    <x v="13"/>
    <n v="3"/>
    <n v="1400"/>
    <x v="2"/>
    <n v="4200"/>
    <n v="2700"/>
    <n v="1500"/>
  </r>
  <r>
    <s v="ORD11372"/>
    <x v="3659"/>
    <s v="CUST1172"/>
    <s v="Customer 172"/>
    <x v="1"/>
    <s v="Karnataka"/>
    <x v="2"/>
    <s v="Audio"/>
    <x v="5"/>
    <n v="4"/>
    <n v="2200"/>
    <x v="1"/>
    <n v="6600"/>
    <n v="5800"/>
    <n v="800"/>
  </r>
  <r>
    <s v="ORD10531"/>
    <x v="3660"/>
    <s v="CUST1300"/>
    <s v="Customer 300"/>
    <x v="2"/>
    <s v="Gujarat"/>
    <x v="0"/>
    <s v="Stationery"/>
    <x v="18"/>
    <n v="5"/>
    <n v="300"/>
    <x v="1"/>
    <n v="1125"/>
    <n v="850"/>
    <n v="275"/>
  </r>
  <r>
    <s v="ORD10370"/>
    <x v="3661"/>
    <s v="CUST1387"/>
    <s v="Customer 387"/>
    <x v="2"/>
    <s v="Maharashtra"/>
    <x v="2"/>
    <s v="Audio"/>
    <x v="17"/>
    <n v="1"/>
    <n v="2800"/>
    <x v="4"/>
    <n v="2660"/>
    <n v="1800"/>
    <n v="860"/>
  </r>
  <r>
    <s v="ORD10629"/>
    <x v="3662"/>
    <s v="CUST1253"/>
    <s v="Customer 253"/>
    <x v="1"/>
    <s v="Tamil Nadu"/>
    <x v="3"/>
    <s v="Storage"/>
    <x v="14"/>
    <n v="3"/>
    <n v="4800"/>
    <x v="4"/>
    <n v="13680"/>
    <n v="9900"/>
    <n v="3780"/>
  </r>
  <r>
    <s v="ORD13229"/>
    <x v="3663"/>
    <s v="CUST1369"/>
    <s v="Customer 369"/>
    <x v="1"/>
    <s v="Karnataka"/>
    <x v="0"/>
    <s v="Stationery"/>
    <x v="18"/>
    <n v="2"/>
    <n v="300"/>
    <x v="2"/>
    <n v="600"/>
    <n v="340"/>
    <n v="260"/>
  </r>
  <r>
    <s v="ORD10462"/>
    <x v="3664"/>
    <s v="CUST1071"/>
    <s v="Customer 071"/>
    <x v="3"/>
    <s v="Uttar Pradesh"/>
    <x v="0"/>
    <s v="Stationery"/>
    <x v="10"/>
    <n v="1"/>
    <n v="280"/>
    <x v="0"/>
    <n v="252"/>
    <n v="160"/>
    <n v="92"/>
  </r>
  <r>
    <s v="ORD11292"/>
    <x v="3665"/>
    <s v="CUST1430"/>
    <s v="Customer 430"/>
    <x v="3"/>
    <s v="Delhi"/>
    <x v="1"/>
    <s v="Appliances"/>
    <x v="7"/>
    <n v="2"/>
    <n v="2400"/>
    <x v="5"/>
    <n v="3840"/>
    <n v="3300"/>
    <n v="540"/>
  </r>
  <r>
    <s v="ORD13471"/>
    <x v="3666"/>
    <s v="CUST1112"/>
    <s v="Customer 112"/>
    <x v="2"/>
    <s v="Goa"/>
    <x v="3"/>
    <s v="Chairs"/>
    <x v="12"/>
    <n v="3"/>
    <n v="7500"/>
    <x v="0"/>
    <n v="20250"/>
    <n v="15600"/>
    <n v="4650"/>
  </r>
  <r>
    <s v="ORD13272"/>
    <x v="3667"/>
    <s v="CUST1206"/>
    <s v="Customer 206"/>
    <x v="0"/>
    <s v="West Bengal"/>
    <x v="2"/>
    <s v="Accessories"/>
    <x v="13"/>
    <n v="4"/>
    <n v="1400"/>
    <x v="1"/>
    <n v="4200"/>
    <n v="3600"/>
    <n v="600"/>
  </r>
  <r>
    <s v="ORD10017"/>
    <x v="3668"/>
    <s v="CUST1257"/>
    <s v="Customer 257"/>
    <x v="1"/>
    <s v="Karnataka"/>
    <x v="0"/>
    <s v="Stationery"/>
    <x v="15"/>
    <n v="5"/>
    <n v="450"/>
    <x v="5"/>
    <n v="1800"/>
    <n v="1300"/>
    <n v="500"/>
  </r>
  <r>
    <s v="ORD10943"/>
    <x v="3669"/>
    <s v="CUST1457"/>
    <s v="Customer 457"/>
    <x v="3"/>
    <s v="Delhi"/>
    <x v="2"/>
    <s v="Audio"/>
    <x v="17"/>
    <n v="5"/>
    <n v="2800"/>
    <x v="4"/>
    <n v="13300"/>
    <n v="9000"/>
    <n v="4300"/>
  </r>
  <r>
    <s v="ORD12725"/>
    <x v="3670"/>
    <s v="CUST1396"/>
    <s v="Customer 396"/>
    <x v="1"/>
    <s v="Telangana"/>
    <x v="1"/>
    <s v="Kitchen"/>
    <x v="1"/>
    <n v="3"/>
    <n v="1900"/>
    <x v="0"/>
    <n v="5130"/>
    <n v="3750"/>
    <n v="1380"/>
  </r>
  <r>
    <s v="ORD10842"/>
    <x v="3671"/>
    <s v="CUST1329"/>
    <s v="Customer 329"/>
    <x v="2"/>
    <s v="Gujarat"/>
    <x v="2"/>
    <s v="Accessories"/>
    <x v="13"/>
    <n v="5"/>
    <n v="1400"/>
    <x v="0"/>
    <n v="6300"/>
    <n v="4500"/>
    <n v="1800"/>
  </r>
  <r>
    <s v="ORD12898"/>
    <x v="3672"/>
    <s v="CUST1313"/>
    <s v="Customer 313"/>
    <x v="2"/>
    <s v="Gujarat"/>
    <x v="0"/>
    <s v="Stationery"/>
    <x v="18"/>
    <n v="3"/>
    <n v="300"/>
    <x v="3"/>
    <n v="765"/>
    <n v="510"/>
    <n v="255"/>
  </r>
  <r>
    <s v="ORD11020"/>
    <x v="3673"/>
    <s v="CUST1058"/>
    <s v="Customer 058"/>
    <x v="1"/>
    <s v="Kerala"/>
    <x v="0"/>
    <s v="Accessories"/>
    <x v="0"/>
    <n v="1"/>
    <n v="650"/>
    <x v="4"/>
    <n v="617.5"/>
    <n v="390"/>
    <n v="227.5"/>
  </r>
  <r>
    <s v="ORD11754"/>
    <x v="3674"/>
    <s v="CUST1198"/>
    <s v="Customer 198"/>
    <x v="3"/>
    <s v="Delhi"/>
    <x v="2"/>
    <s v="Monitors"/>
    <x v="11"/>
    <n v="4"/>
    <n v="10500"/>
    <x v="5"/>
    <n v="33600"/>
    <n v="30400"/>
    <n v="3200"/>
  </r>
  <r>
    <s v="ORD13681"/>
    <x v="3675"/>
    <s v="CUST1355"/>
    <s v="Customer 355"/>
    <x v="3"/>
    <s v="Uttar Pradesh"/>
    <x v="3"/>
    <s v="Storage"/>
    <x v="6"/>
    <n v="1"/>
    <n v="5600"/>
    <x v="4"/>
    <n v="5320"/>
    <n v="3900"/>
    <n v="1420"/>
  </r>
  <r>
    <s v="ORD12891"/>
    <x v="3676"/>
    <s v="CUST1075"/>
    <s v="Customer 075"/>
    <x v="1"/>
    <s v="Telangana"/>
    <x v="2"/>
    <s v="Accessories"/>
    <x v="13"/>
    <n v="4"/>
    <n v="1400"/>
    <x v="0"/>
    <n v="5040"/>
    <n v="3600"/>
    <n v="1440"/>
  </r>
  <r>
    <s v="ORD10679"/>
    <x v="3677"/>
    <s v="CUST1262"/>
    <s v="Customer 262"/>
    <x v="3"/>
    <s v="Haryana"/>
    <x v="0"/>
    <s v="Stationery"/>
    <x v="15"/>
    <n v="2"/>
    <n v="450"/>
    <x v="3"/>
    <n v="765"/>
    <n v="520"/>
    <n v="245"/>
  </r>
  <r>
    <s v="ORD12236"/>
    <x v="3678"/>
    <s v="CUST1396"/>
    <s v="Customer 396"/>
    <x v="1"/>
    <s v="Telangana"/>
    <x v="2"/>
    <s v="Accessories"/>
    <x v="8"/>
    <n v="1"/>
    <n v="1800"/>
    <x v="3"/>
    <n v="1530"/>
    <n v="1100"/>
    <n v="430"/>
  </r>
  <r>
    <s v="ORD11208"/>
    <x v="3679"/>
    <s v="CUST1361"/>
    <s v="Customer 361"/>
    <x v="1"/>
    <s v="Tamil Nadu"/>
    <x v="3"/>
    <s v="Chairs"/>
    <x v="12"/>
    <n v="1"/>
    <n v="7500"/>
    <x v="3"/>
    <n v="6375"/>
    <n v="5200"/>
    <n v="1175"/>
  </r>
  <r>
    <s v="ORD10746"/>
    <x v="3680"/>
    <s v="CUST1183"/>
    <s v="Customer 183"/>
    <x v="3"/>
    <s v="Uttar Pradesh"/>
    <x v="3"/>
    <s v="Chairs"/>
    <x v="12"/>
    <n v="5"/>
    <n v="7500"/>
    <x v="5"/>
    <n v="30000"/>
    <n v="26000"/>
    <n v="4000"/>
  </r>
  <r>
    <s v="ORD12792"/>
    <x v="3681"/>
    <s v="CUST1078"/>
    <s v="Customer 078"/>
    <x v="1"/>
    <s v="Andhra Pradesh"/>
    <x v="0"/>
    <s v="Stationery"/>
    <x v="18"/>
    <n v="5"/>
    <n v="300"/>
    <x v="0"/>
    <n v="1350"/>
    <n v="850"/>
    <n v="500"/>
  </r>
  <r>
    <s v="ORD12641"/>
    <x v="3682"/>
    <s v="CUST1120"/>
    <s v="Customer 120"/>
    <x v="1"/>
    <s v="Karnataka"/>
    <x v="0"/>
    <s v="Stationery"/>
    <x v="15"/>
    <n v="5"/>
    <n v="450"/>
    <x v="5"/>
    <n v="1800"/>
    <n v="1300"/>
    <n v="500"/>
  </r>
  <r>
    <s v="ORD10198"/>
    <x v="3683"/>
    <s v="CUST1060"/>
    <s v="Customer 060"/>
    <x v="2"/>
    <s v="Goa"/>
    <x v="2"/>
    <s v="Accessories"/>
    <x v="8"/>
    <n v="3"/>
    <n v="1800"/>
    <x v="2"/>
    <n v="5400"/>
    <n v="3300"/>
    <n v="2100"/>
  </r>
  <r>
    <s v="ORD13458"/>
    <x v="3684"/>
    <s v="CUST1016"/>
    <s v="Customer 016"/>
    <x v="2"/>
    <s v="Goa"/>
    <x v="2"/>
    <s v="Accessories"/>
    <x v="9"/>
    <n v="5"/>
    <n v="850"/>
    <x v="1"/>
    <n v="3187.5"/>
    <n v="2800"/>
    <n v="387.5"/>
  </r>
  <r>
    <s v="ORD12367"/>
    <x v="3685"/>
    <s v="CUST1169"/>
    <s v="Customer 169"/>
    <x v="2"/>
    <s v="Gujarat"/>
    <x v="0"/>
    <s v="Accessories"/>
    <x v="0"/>
    <n v="5"/>
    <n v="650"/>
    <x v="2"/>
    <n v="3250"/>
    <n v="1950"/>
    <n v="1300"/>
  </r>
  <r>
    <s v="ORD11182"/>
    <x v="3686"/>
    <s v="CUST1464"/>
    <s v="Customer 464"/>
    <x v="1"/>
    <s v="Karnataka"/>
    <x v="2"/>
    <s v="Audio"/>
    <x v="17"/>
    <n v="5"/>
    <n v="2800"/>
    <x v="0"/>
    <n v="12600"/>
    <n v="9000"/>
    <n v="3600"/>
  </r>
  <r>
    <s v="ORD11622"/>
    <x v="3687"/>
    <s v="CUST1003"/>
    <s v="Customer 003"/>
    <x v="1"/>
    <s v="Tamil Nadu"/>
    <x v="0"/>
    <s v="Accessories"/>
    <x v="0"/>
    <n v="5"/>
    <n v="650"/>
    <x v="3"/>
    <n v="2762.5"/>
    <n v="1950"/>
    <n v="812.5"/>
  </r>
  <r>
    <s v="ORD12650"/>
    <x v="3688"/>
    <s v="CUST1166"/>
    <s v="Customer 166"/>
    <x v="2"/>
    <s v="Goa"/>
    <x v="2"/>
    <s v="Audio"/>
    <x v="17"/>
    <n v="2"/>
    <n v="2800"/>
    <x v="2"/>
    <n v="5600"/>
    <n v="3600"/>
    <n v="2000"/>
  </r>
  <r>
    <s v="ORD10427"/>
    <x v="3689"/>
    <s v="CUST1433"/>
    <s v="Customer 433"/>
    <x v="1"/>
    <s v="Telangana"/>
    <x v="0"/>
    <s v="Stationery"/>
    <x v="18"/>
    <n v="3"/>
    <n v="300"/>
    <x v="5"/>
    <n v="720"/>
    <n v="510"/>
    <n v="210"/>
  </r>
  <r>
    <s v="ORD11004"/>
    <x v="3690"/>
    <s v="CUST1444"/>
    <s v="Customer 444"/>
    <x v="3"/>
    <s v="Punjab"/>
    <x v="2"/>
    <s v="Accessories"/>
    <x v="9"/>
    <n v="1"/>
    <n v="850"/>
    <x v="4"/>
    <n v="807.5"/>
    <n v="560"/>
    <n v="247.5"/>
  </r>
  <r>
    <s v="ORD13014"/>
    <x v="3691"/>
    <s v="CUST1369"/>
    <s v="Customer 369"/>
    <x v="3"/>
    <s v="Uttar Pradesh"/>
    <x v="2"/>
    <s v="Accessories"/>
    <x v="9"/>
    <n v="4"/>
    <n v="850"/>
    <x v="4"/>
    <n v="3230"/>
    <n v="2240"/>
    <n v="990"/>
  </r>
  <r>
    <s v="ORD12379"/>
    <x v="3692"/>
    <s v="CUST1494"/>
    <s v="Customer 494"/>
    <x v="0"/>
    <s v="Bihar"/>
    <x v="3"/>
    <s v="Storage"/>
    <x v="14"/>
    <n v="2"/>
    <n v="4800"/>
    <x v="0"/>
    <n v="8640"/>
    <n v="6600"/>
    <n v="2040"/>
  </r>
  <r>
    <s v="ORD12145"/>
    <x v="3693"/>
    <s v="CUST1182"/>
    <s v="Customer 182"/>
    <x v="2"/>
    <s v="Goa"/>
    <x v="3"/>
    <s v="Storage"/>
    <x v="14"/>
    <n v="3"/>
    <n v="4800"/>
    <x v="2"/>
    <n v="14400"/>
    <n v="9900"/>
    <n v="4500"/>
  </r>
  <r>
    <s v="ORD10879"/>
    <x v="3694"/>
    <s v="CUST1275"/>
    <s v="Customer 275"/>
    <x v="2"/>
    <s v="Maharashtra"/>
    <x v="2"/>
    <s v="Accessories"/>
    <x v="8"/>
    <n v="3"/>
    <n v="1800"/>
    <x v="0"/>
    <n v="4860"/>
    <n v="3300"/>
    <n v="1560"/>
  </r>
  <r>
    <s v="ORD11997"/>
    <x v="3695"/>
    <s v="CUST1277"/>
    <s v="Customer 277"/>
    <x v="1"/>
    <s v="Andhra Pradesh"/>
    <x v="2"/>
    <s v="Audio"/>
    <x v="5"/>
    <n v="4"/>
    <n v="2200"/>
    <x v="0"/>
    <n v="7920"/>
    <n v="5800"/>
    <n v="2120"/>
  </r>
  <r>
    <s v="ORD11201"/>
    <x v="3696"/>
    <s v="CUST1440"/>
    <s v="Customer 440"/>
    <x v="3"/>
    <s v="Haryana"/>
    <x v="2"/>
    <s v="Accessories"/>
    <x v="13"/>
    <n v="4"/>
    <n v="1400"/>
    <x v="3"/>
    <n v="4760"/>
    <n v="3600"/>
    <n v="1160"/>
  </r>
  <r>
    <s v="ORD11510"/>
    <x v="3697"/>
    <s v="CUST1342"/>
    <s v="Customer 342"/>
    <x v="1"/>
    <s v="Kerala"/>
    <x v="2"/>
    <s v="Accessories"/>
    <x v="8"/>
    <n v="4"/>
    <n v="1800"/>
    <x v="3"/>
    <n v="6120"/>
    <n v="4400"/>
    <n v="1720"/>
  </r>
  <r>
    <s v="ORD11124"/>
    <x v="3698"/>
    <s v="CUST1122"/>
    <s v="Customer 122"/>
    <x v="2"/>
    <s v="Gujarat"/>
    <x v="3"/>
    <s v="Tables"/>
    <x v="16"/>
    <n v="2"/>
    <n v="6200"/>
    <x v="2"/>
    <n v="12400"/>
    <n v="8600"/>
    <n v="3800"/>
  </r>
  <r>
    <s v="ORD10810"/>
    <x v="3699"/>
    <s v="CUST1499"/>
    <s v="Customer 499"/>
    <x v="1"/>
    <s v="Tamil Nadu"/>
    <x v="1"/>
    <s v="Appliances"/>
    <x v="7"/>
    <n v="3"/>
    <n v="2400"/>
    <x v="0"/>
    <n v="6480"/>
    <n v="4950"/>
    <n v="1530"/>
  </r>
  <r>
    <s v="ORD13690"/>
    <x v="3700"/>
    <s v="CUST1084"/>
    <s v="Customer 084"/>
    <x v="0"/>
    <s v="West Bengal"/>
    <x v="0"/>
    <s v="Accessories"/>
    <x v="0"/>
    <n v="4"/>
    <n v="650"/>
    <x v="0"/>
    <n v="2340"/>
    <n v="1560"/>
    <n v="780"/>
  </r>
  <r>
    <s v="ORD11069"/>
    <x v="3701"/>
    <s v="CUST1167"/>
    <s v="Customer 167"/>
    <x v="3"/>
    <s v="Haryana"/>
    <x v="0"/>
    <s v="Accessories"/>
    <x v="0"/>
    <n v="1"/>
    <n v="650"/>
    <x v="5"/>
    <n v="520"/>
    <n v="390"/>
    <n v="130"/>
  </r>
  <r>
    <s v="ORD12866"/>
    <x v="3702"/>
    <s v="CUST1018"/>
    <s v="Customer 018"/>
    <x v="1"/>
    <s v="Telangana"/>
    <x v="2"/>
    <s v="Audio"/>
    <x v="5"/>
    <n v="1"/>
    <n v="2200"/>
    <x v="4"/>
    <n v="2090"/>
    <n v="1450"/>
    <n v="640"/>
  </r>
  <r>
    <s v="ORD12307"/>
    <x v="3703"/>
    <s v="CUST1163"/>
    <s v="Customer 163"/>
    <x v="2"/>
    <s v="Rajasthan"/>
    <x v="3"/>
    <s v="Chairs"/>
    <x v="12"/>
    <n v="2"/>
    <n v="7500"/>
    <x v="4"/>
    <n v="14250"/>
    <n v="10400"/>
    <n v="3850"/>
  </r>
  <r>
    <s v="ORD11966"/>
    <x v="3704"/>
    <s v="CUST1371"/>
    <s v="Customer 371"/>
    <x v="1"/>
    <s v="Karnataka"/>
    <x v="2"/>
    <s v="Monitors"/>
    <x v="11"/>
    <n v="1"/>
    <n v="10500"/>
    <x v="3"/>
    <n v="8925"/>
    <n v="7600"/>
    <n v="1325"/>
  </r>
  <r>
    <s v="ORD10123"/>
    <x v="3705"/>
    <s v="CUST1328"/>
    <s v="Customer 328"/>
    <x v="1"/>
    <s v="Andhra Pradesh"/>
    <x v="0"/>
    <s v="Stationery"/>
    <x v="15"/>
    <n v="4"/>
    <n v="450"/>
    <x v="0"/>
    <n v="1620"/>
    <n v="1040"/>
    <n v="580"/>
  </r>
  <r>
    <s v="ORD11515"/>
    <x v="3706"/>
    <s v="CUST1124"/>
    <s v="Customer 124"/>
    <x v="0"/>
    <s v="Odisha"/>
    <x v="2"/>
    <s v="Accessories"/>
    <x v="8"/>
    <n v="1"/>
    <n v="1800"/>
    <x v="4"/>
    <n v="1710"/>
    <n v="1100"/>
    <n v="610"/>
  </r>
  <r>
    <s v="ORD10610"/>
    <x v="3707"/>
    <s v="CUST1429"/>
    <s v="Customer 429"/>
    <x v="1"/>
    <s v="Telangana"/>
    <x v="2"/>
    <s v="Monitors"/>
    <x v="11"/>
    <n v="5"/>
    <n v="10500"/>
    <x v="5"/>
    <n v="42000"/>
    <n v="38000"/>
    <n v="4000"/>
  </r>
  <r>
    <s v="ORD10643"/>
    <x v="3708"/>
    <s v="CUST1428"/>
    <s v="Customer 428"/>
    <x v="2"/>
    <s v="Maharashtra"/>
    <x v="2"/>
    <s v="Audio"/>
    <x v="5"/>
    <n v="2"/>
    <n v="2200"/>
    <x v="3"/>
    <n v="3740"/>
    <n v="2900"/>
    <n v="840"/>
  </r>
  <r>
    <s v="ORD13774"/>
    <x v="3709"/>
    <s v="CUST1064"/>
    <s v="Customer 064"/>
    <x v="2"/>
    <s v="Gujarat"/>
    <x v="0"/>
    <s v="Stationery"/>
    <x v="18"/>
    <n v="5"/>
    <n v="300"/>
    <x v="4"/>
    <n v="1425"/>
    <n v="850"/>
    <n v="575"/>
  </r>
  <r>
    <s v="ORD10710"/>
    <x v="3710"/>
    <s v="CUST1233"/>
    <s v="Customer 233"/>
    <x v="2"/>
    <s v="Gujarat"/>
    <x v="3"/>
    <s v="Chairs"/>
    <x v="12"/>
    <n v="4"/>
    <n v="7500"/>
    <x v="3"/>
    <n v="25500"/>
    <n v="20800"/>
    <n v="4700"/>
  </r>
  <r>
    <s v="ORD12219"/>
    <x v="3711"/>
    <s v="CUST1144"/>
    <s v="Customer 144"/>
    <x v="0"/>
    <s v="Odisha"/>
    <x v="2"/>
    <s v="Audio"/>
    <x v="17"/>
    <n v="3"/>
    <n v="2800"/>
    <x v="5"/>
    <n v="6720"/>
    <n v="5400"/>
    <n v="1320"/>
  </r>
  <r>
    <s v="ORD11697"/>
    <x v="3712"/>
    <s v="CUST1235"/>
    <s v="Customer 235"/>
    <x v="1"/>
    <s v="Kerala"/>
    <x v="3"/>
    <s v="Storage"/>
    <x v="14"/>
    <n v="4"/>
    <n v="4800"/>
    <x v="3"/>
    <n v="16320"/>
    <n v="13200"/>
    <n v="3120"/>
  </r>
  <r>
    <s v="ORD10931"/>
    <x v="3713"/>
    <s v="CUST1269"/>
    <s v="Customer 269"/>
    <x v="2"/>
    <s v="Gujarat"/>
    <x v="0"/>
    <s v="Accessories"/>
    <x v="0"/>
    <n v="4"/>
    <n v="650"/>
    <x v="5"/>
    <n v="2080"/>
    <n v="1560"/>
    <n v="520"/>
  </r>
  <r>
    <s v="ORD10723"/>
    <x v="3714"/>
    <s v="CUST1423"/>
    <s v="Customer 423"/>
    <x v="1"/>
    <s v="Tamil Nadu"/>
    <x v="0"/>
    <s v="Paper"/>
    <x v="3"/>
    <n v="5"/>
    <n v="520"/>
    <x v="5"/>
    <n v="2080"/>
    <n v="1650"/>
    <n v="430"/>
  </r>
  <r>
    <s v="ORD13080"/>
    <x v="3715"/>
    <s v="CUST1225"/>
    <s v="Customer 225"/>
    <x v="3"/>
    <s v="Punjab"/>
    <x v="0"/>
    <s v="Stationery"/>
    <x v="18"/>
    <n v="4"/>
    <n v="300"/>
    <x v="0"/>
    <n v="1080"/>
    <n v="680"/>
    <n v="400"/>
  </r>
  <r>
    <s v="ORD13991"/>
    <x v="3716"/>
    <s v="CUST1378"/>
    <s v="Customer 378"/>
    <x v="1"/>
    <s v="Tamil Nadu"/>
    <x v="1"/>
    <s v="Kitchen"/>
    <x v="4"/>
    <n v="2"/>
    <n v="6800"/>
    <x v="2"/>
    <n v="13600"/>
    <n v="9400"/>
    <n v="4200"/>
  </r>
  <r>
    <s v="ORD11543"/>
    <x v="3717"/>
    <s v="CUST1045"/>
    <s v="Customer 045"/>
    <x v="0"/>
    <s v="West Bengal"/>
    <x v="3"/>
    <s v="Chairs"/>
    <x v="12"/>
    <n v="3"/>
    <n v="7500"/>
    <x v="3"/>
    <n v="19125"/>
    <n v="15600"/>
    <n v="3525"/>
  </r>
  <r>
    <s v="ORD10738"/>
    <x v="3718"/>
    <s v="CUST1167"/>
    <s v="Customer 167"/>
    <x v="2"/>
    <s v="Goa"/>
    <x v="2"/>
    <s v="Audio"/>
    <x v="17"/>
    <n v="3"/>
    <n v="2800"/>
    <x v="3"/>
    <n v="7140"/>
    <n v="5400"/>
    <n v="1740"/>
  </r>
  <r>
    <s v="ORD10186"/>
    <x v="3719"/>
    <s v="CUST1224"/>
    <s v="Customer 224"/>
    <x v="1"/>
    <s v="Telangana"/>
    <x v="1"/>
    <s v="Kitchen"/>
    <x v="2"/>
    <n v="1"/>
    <n v="4200"/>
    <x v="2"/>
    <n v="4200"/>
    <n v="2900"/>
    <n v="1300"/>
  </r>
  <r>
    <s v="ORD13404"/>
    <x v="3720"/>
    <s v="CUST1493"/>
    <s v="Customer 493"/>
    <x v="1"/>
    <s v="Kerala"/>
    <x v="2"/>
    <s v="Accessories"/>
    <x v="13"/>
    <n v="5"/>
    <n v="1400"/>
    <x v="0"/>
    <n v="6300"/>
    <n v="4500"/>
    <n v="1800"/>
  </r>
  <r>
    <s v="ORD11744"/>
    <x v="3721"/>
    <s v="CUST1012"/>
    <s v="Customer 012"/>
    <x v="2"/>
    <s v="Goa"/>
    <x v="0"/>
    <s v="Stationery"/>
    <x v="15"/>
    <n v="4"/>
    <n v="450"/>
    <x v="4"/>
    <n v="1710"/>
    <n v="1040"/>
    <n v="670"/>
  </r>
  <r>
    <s v="ORD12041"/>
    <x v="3722"/>
    <s v="CUST1145"/>
    <s v="Customer 145"/>
    <x v="2"/>
    <s v="Goa"/>
    <x v="2"/>
    <s v="Accessories"/>
    <x v="9"/>
    <n v="2"/>
    <n v="850"/>
    <x v="5"/>
    <n v="1360"/>
    <n v="1120"/>
    <n v="240"/>
  </r>
  <r>
    <s v="ORD11366"/>
    <x v="3723"/>
    <s v="CUST1009"/>
    <s v="Customer 009"/>
    <x v="1"/>
    <s v="Kerala"/>
    <x v="2"/>
    <s v="Accessories"/>
    <x v="9"/>
    <n v="2"/>
    <n v="850"/>
    <x v="5"/>
    <n v="1360"/>
    <n v="1120"/>
    <n v="240"/>
  </r>
  <r>
    <s v="ORD13666"/>
    <x v="3724"/>
    <s v="CUST1226"/>
    <s v="Customer 226"/>
    <x v="3"/>
    <s v="Delhi"/>
    <x v="0"/>
    <s v="Stationery"/>
    <x v="10"/>
    <n v="3"/>
    <n v="280"/>
    <x v="4"/>
    <n v="798"/>
    <n v="480"/>
    <n v="318"/>
  </r>
  <r>
    <s v="ORD11337"/>
    <x v="3725"/>
    <s v="CUST1320"/>
    <s v="Customer 320"/>
    <x v="2"/>
    <s v="Maharashtra"/>
    <x v="3"/>
    <s v="Chairs"/>
    <x v="12"/>
    <n v="2"/>
    <n v="7500"/>
    <x v="3"/>
    <n v="12750"/>
    <n v="10400"/>
    <n v="2350"/>
  </r>
  <r>
    <s v="ORD13213"/>
    <x v="3726"/>
    <s v="CUST1172"/>
    <s v="Customer 172"/>
    <x v="0"/>
    <s v="Bihar"/>
    <x v="2"/>
    <s v="Audio"/>
    <x v="17"/>
    <n v="1"/>
    <n v="2800"/>
    <x v="4"/>
    <n v="2660"/>
    <n v="1800"/>
    <n v="860"/>
  </r>
  <r>
    <s v="ORD10309"/>
    <x v="3727"/>
    <s v="CUST1158"/>
    <s v="Customer 158"/>
    <x v="2"/>
    <s v="Rajasthan"/>
    <x v="3"/>
    <s v="Storage"/>
    <x v="14"/>
    <n v="3"/>
    <n v="4800"/>
    <x v="0"/>
    <n v="12960"/>
    <n v="9900"/>
    <n v="3060"/>
  </r>
  <r>
    <s v="ORD11831"/>
    <x v="3728"/>
    <s v="CUST1178"/>
    <s v="Customer 178"/>
    <x v="2"/>
    <s v="Rajasthan"/>
    <x v="0"/>
    <s v="Paper"/>
    <x v="3"/>
    <n v="5"/>
    <n v="520"/>
    <x v="3"/>
    <n v="2210"/>
    <n v="1650"/>
    <n v="560"/>
  </r>
  <r>
    <s v="ORD10096"/>
    <x v="3729"/>
    <s v="CUST1145"/>
    <s v="Customer 145"/>
    <x v="1"/>
    <s v="Tamil Nadu"/>
    <x v="1"/>
    <s v="Kitchen"/>
    <x v="2"/>
    <n v="2"/>
    <n v="4200"/>
    <x v="2"/>
    <n v="8400"/>
    <n v="5800"/>
    <n v="2600"/>
  </r>
  <r>
    <s v="ORD12574"/>
    <x v="3730"/>
    <s v="CUST1196"/>
    <s v="Customer 196"/>
    <x v="1"/>
    <s v="Telangana"/>
    <x v="3"/>
    <s v="Storage"/>
    <x v="6"/>
    <n v="3"/>
    <n v="5600"/>
    <x v="3"/>
    <n v="14280"/>
    <n v="11700"/>
    <n v="2580"/>
  </r>
  <r>
    <s v="ORD10398"/>
    <x v="3731"/>
    <s v="CUST1099"/>
    <s v="Customer 099"/>
    <x v="1"/>
    <s v="Kerala"/>
    <x v="0"/>
    <s v="Stationery"/>
    <x v="10"/>
    <n v="1"/>
    <n v="280"/>
    <x v="0"/>
    <n v="252"/>
    <n v="160"/>
    <n v="92"/>
  </r>
  <r>
    <s v="ORD10940"/>
    <x v="3732"/>
    <s v="CUST1255"/>
    <s v="Customer 255"/>
    <x v="1"/>
    <s v="Andhra Pradesh"/>
    <x v="1"/>
    <s v="Kitchen"/>
    <x v="1"/>
    <n v="2"/>
    <n v="1900"/>
    <x v="1"/>
    <n v="2850"/>
    <n v="2500"/>
    <n v="350"/>
  </r>
  <r>
    <s v="ORD13309"/>
    <x v="3733"/>
    <s v="CUST1012"/>
    <s v="Customer 012"/>
    <x v="1"/>
    <s v="Kerala"/>
    <x v="2"/>
    <s v="Monitors"/>
    <x v="11"/>
    <n v="1"/>
    <n v="10500"/>
    <x v="1"/>
    <n v="7875"/>
    <n v="7600"/>
    <n v="275"/>
  </r>
  <r>
    <s v="ORD13995"/>
    <x v="3734"/>
    <s v="CUST1256"/>
    <s v="Customer 256"/>
    <x v="2"/>
    <s v="Gujarat"/>
    <x v="2"/>
    <s v="Monitors"/>
    <x v="11"/>
    <n v="5"/>
    <n v="10500"/>
    <x v="1"/>
    <n v="39375"/>
    <n v="38000"/>
    <n v="1375"/>
  </r>
  <r>
    <s v="ORD12394"/>
    <x v="3735"/>
    <s v="CUST1111"/>
    <s v="Customer 111"/>
    <x v="2"/>
    <s v="Maharashtra"/>
    <x v="0"/>
    <s v="Stationery"/>
    <x v="18"/>
    <n v="3"/>
    <n v="300"/>
    <x v="3"/>
    <n v="765"/>
    <n v="510"/>
    <n v="255"/>
  </r>
  <r>
    <s v="ORD13977"/>
    <x v="3736"/>
    <s v="CUST1323"/>
    <s v="Customer 323"/>
    <x v="3"/>
    <s v="Uttar Pradesh"/>
    <x v="2"/>
    <s v="Monitors"/>
    <x v="11"/>
    <n v="4"/>
    <n v="10500"/>
    <x v="4"/>
    <n v="39900"/>
    <n v="30400"/>
    <n v="9500"/>
  </r>
  <r>
    <s v="ORD11490"/>
    <x v="3737"/>
    <s v="CUST1255"/>
    <s v="Customer 255"/>
    <x v="2"/>
    <s v="Maharashtra"/>
    <x v="1"/>
    <s v="Appliances"/>
    <x v="7"/>
    <n v="1"/>
    <n v="2400"/>
    <x v="5"/>
    <n v="1920"/>
    <n v="1650"/>
    <n v="270"/>
  </r>
  <r>
    <s v="ORD12955"/>
    <x v="3738"/>
    <s v="CUST1139"/>
    <s v="Customer 139"/>
    <x v="1"/>
    <s v="Kerala"/>
    <x v="1"/>
    <s v="Kitchen"/>
    <x v="2"/>
    <n v="1"/>
    <n v="4200"/>
    <x v="4"/>
    <n v="3990"/>
    <n v="2900"/>
    <n v="1090"/>
  </r>
  <r>
    <s v="ORD13855"/>
    <x v="3739"/>
    <s v="CUST1242"/>
    <s v="Customer 242"/>
    <x v="1"/>
    <s v="Telangana"/>
    <x v="2"/>
    <s v="Audio"/>
    <x v="17"/>
    <n v="2"/>
    <n v="2800"/>
    <x v="4"/>
    <n v="5320"/>
    <n v="3600"/>
    <n v="1720"/>
  </r>
  <r>
    <s v="ORD12524"/>
    <x v="3740"/>
    <s v="CUST1201"/>
    <s v="Customer 201"/>
    <x v="3"/>
    <s v="Uttar Pradesh"/>
    <x v="3"/>
    <s v="Chairs"/>
    <x v="12"/>
    <n v="2"/>
    <n v="7500"/>
    <x v="4"/>
    <n v="14250"/>
    <n v="10400"/>
    <n v="3850"/>
  </r>
  <r>
    <s v="ORD10252"/>
    <x v="3741"/>
    <s v="CUST1247"/>
    <s v="Customer 247"/>
    <x v="3"/>
    <s v="Punjab"/>
    <x v="2"/>
    <s v="Monitors"/>
    <x v="11"/>
    <n v="4"/>
    <n v="10500"/>
    <x v="4"/>
    <n v="39900"/>
    <n v="30400"/>
    <n v="9500"/>
  </r>
  <r>
    <s v="ORD12315"/>
    <x v="3742"/>
    <s v="CUST1114"/>
    <s v="Customer 114"/>
    <x v="1"/>
    <s v="Andhra Pradesh"/>
    <x v="0"/>
    <s v="Stationery"/>
    <x v="10"/>
    <n v="1"/>
    <n v="280"/>
    <x v="5"/>
    <n v="224"/>
    <n v="160"/>
    <n v="64"/>
  </r>
  <r>
    <s v="ORD10827"/>
    <x v="3743"/>
    <s v="CUST1341"/>
    <s v="Customer 341"/>
    <x v="2"/>
    <s v="Gujarat"/>
    <x v="0"/>
    <s v="Stationery"/>
    <x v="18"/>
    <n v="2"/>
    <n v="300"/>
    <x v="0"/>
    <n v="540"/>
    <n v="340"/>
    <n v="200"/>
  </r>
  <r>
    <s v="ORD10487"/>
    <x v="3744"/>
    <s v="CUST1168"/>
    <s v="Customer 168"/>
    <x v="3"/>
    <s v="Delhi"/>
    <x v="1"/>
    <s v="Appliances"/>
    <x v="7"/>
    <n v="1"/>
    <n v="2400"/>
    <x v="5"/>
    <n v="1920"/>
    <n v="1650"/>
    <n v="270"/>
  </r>
  <r>
    <s v="ORD13586"/>
    <x v="3745"/>
    <s v="CUST1109"/>
    <s v="Customer 109"/>
    <x v="0"/>
    <s v="West Bengal"/>
    <x v="1"/>
    <s v="Kitchen"/>
    <x v="2"/>
    <n v="2"/>
    <n v="4200"/>
    <x v="0"/>
    <n v="7560"/>
    <n v="5800"/>
    <n v="1760"/>
  </r>
  <r>
    <s v="ORD10848"/>
    <x v="3746"/>
    <s v="CUST1026"/>
    <s v="Customer 026"/>
    <x v="1"/>
    <s v="Telangana"/>
    <x v="0"/>
    <s v="Stationery"/>
    <x v="15"/>
    <n v="3"/>
    <n v="450"/>
    <x v="5"/>
    <n v="1080"/>
    <n v="780"/>
    <n v="300"/>
  </r>
  <r>
    <s v="ORD13700"/>
    <x v="3747"/>
    <s v="CUST1380"/>
    <s v="Customer 380"/>
    <x v="1"/>
    <s v="Telangana"/>
    <x v="0"/>
    <s v="Paper"/>
    <x v="3"/>
    <n v="3"/>
    <n v="520"/>
    <x v="0"/>
    <n v="1404"/>
    <n v="990"/>
    <n v="414"/>
  </r>
  <r>
    <s v="ORD13703"/>
    <x v="3748"/>
    <s v="CUST1125"/>
    <s v="Customer 125"/>
    <x v="1"/>
    <s v="Telangana"/>
    <x v="2"/>
    <s v="Audio"/>
    <x v="17"/>
    <n v="1"/>
    <n v="2800"/>
    <x v="0"/>
    <n v="2520"/>
    <n v="1800"/>
    <n v="720"/>
  </r>
  <r>
    <s v="ORD13447"/>
    <x v="3749"/>
    <s v="CUST1161"/>
    <s v="Customer 161"/>
    <x v="3"/>
    <s v="Haryana"/>
    <x v="0"/>
    <s v="Accessories"/>
    <x v="0"/>
    <n v="4"/>
    <n v="650"/>
    <x v="4"/>
    <n v="2470"/>
    <n v="1560"/>
    <n v="910"/>
  </r>
  <r>
    <s v="ORD12577"/>
    <x v="3750"/>
    <s v="CUST1136"/>
    <s v="Customer 136"/>
    <x v="3"/>
    <s v="Punjab"/>
    <x v="0"/>
    <s v="Stationery"/>
    <x v="18"/>
    <n v="2"/>
    <n v="300"/>
    <x v="4"/>
    <n v="570"/>
    <n v="340"/>
    <n v="230"/>
  </r>
  <r>
    <s v="ORD11145"/>
    <x v="3751"/>
    <s v="CUST1166"/>
    <s v="Customer 166"/>
    <x v="3"/>
    <s v="Uttar Pradesh"/>
    <x v="2"/>
    <s v="Accessories"/>
    <x v="8"/>
    <n v="3"/>
    <n v="1800"/>
    <x v="3"/>
    <n v="4590"/>
    <n v="3300"/>
    <n v="1290"/>
  </r>
  <r>
    <s v="ORD13755"/>
    <x v="3752"/>
    <s v="CUST1019"/>
    <s v="Customer 019"/>
    <x v="1"/>
    <s v="Tamil Nadu"/>
    <x v="0"/>
    <s v="Stationery"/>
    <x v="18"/>
    <n v="4"/>
    <n v="300"/>
    <x v="3"/>
    <n v="1020"/>
    <n v="680"/>
    <n v="340"/>
  </r>
  <r>
    <s v="ORD12353"/>
    <x v="3753"/>
    <s v="CUST1358"/>
    <s v="Customer 358"/>
    <x v="2"/>
    <s v="Gujarat"/>
    <x v="0"/>
    <s v="Stationery"/>
    <x v="15"/>
    <n v="3"/>
    <n v="450"/>
    <x v="4"/>
    <n v="1282.5"/>
    <n v="780"/>
    <n v="502.5"/>
  </r>
  <r>
    <s v="ORD12746"/>
    <x v="3754"/>
    <s v="CUST1203"/>
    <s v="Customer 203"/>
    <x v="1"/>
    <s v="Kerala"/>
    <x v="3"/>
    <s v="Chairs"/>
    <x v="12"/>
    <n v="4"/>
    <n v="7500"/>
    <x v="1"/>
    <n v="22500"/>
    <n v="20800"/>
    <n v="1700"/>
  </r>
  <r>
    <s v="ORD11273"/>
    <x v="3755"/>
    <s v="CUST1466"/>
    <s v="Customer 466"/>
    <x v="2"/>
    <s v="Gujarat"/>
    <x v="1"/>
    <s v="Kitchen"/>
    <x v="4"/>
    <n v="1"/>
    <n v="6800"/>
    <x v="3"/>
    <n v="5780"/>
    <n v="4700"/>
    <n v="1080"/>
  </r>
  <r>
    <s v="ORD12884"/>
    <x v="3756"/>
    <s v="CUST1025"/>
    <s v="Customer 025"/>
    <x v="1"/>
    <s v="Andhra Pradesh"/>
    <x v="1"/>
    <s v="Kitchen"/>
    <x v="1"/>
    <n v="2"/>
    <n v="1900"/>
    <x v="2"/>
    <n v="3800"/>
    <n v="2500"/>
    <n v="1300"/>
  </r>
  <r>
    <s v="ORD13822"/>
    <x v="3757"/>
    <s v="CUST1006"/>
    <s v="Customer 006"/>
    <x v="3"/>
    <s v="Uttar Pradesh"/>
    <x v="2"/>
    <s v="Monitors"/>
    <x v="11"/>
    <n v="4"/>
    <n v="10500"/>
    <x v="0"/>
    <n v="37800"/>
    <n v="30400"/>
    <n v="7400"/>
  </r>
  <r>
    <s v="ORD11636"/>
    <x v="3758"/>
    <s v="CUST1269"/>
    <s v="Customer 269"/>
    <x v="1"/>
    <s v="Tamil Nadu"/>
    <x v="2"/>
    <s v="Accessories"/>
    <x v="8"/>
    <n v="1"/>
    <n v="1800"/>
    <x v="3"/>
    <n v="1530"/>
    <n v="1100"/>
    <n v="430"/>
  </r>
  <r>
    <s v="ORD12105"/>
    <x v="3759"/>
    <s v="CUST1436"/>
    <s v="Customer 436"/>
    <x v="0"/>
    <s v="Bihar"/>
    <x v="0"/>
    <s v="Stationery"/>
    <x v="15"/>
    <n v="4"/>
    <n v="450"/>
    <x v="3"/>
    <n v="1530"/>
    <n v="1040"/>
    <n v="490"/>
  </r>
  <r>
    <s v="ORD10474"/>
    <x v="3760"/>
    <s v="CUST1234"/>
    <s v="Customer 234"/>
    <x v="2"/>
    <s v="Gujarat"/>
    <x v="2"/>
    <s v="Monitors"/>
    <x v="11"/>
    <n v="5"/>
    <n v="10500"/>
    <x v="0"/>
    <n v="47250"/>
    <n v="38000"/>
    <n v="9250"/>
  </r>
  <r>
    <s v="ORD13064"/>
    <x v="3761"/>
    <s v="CUST1064"/>
    <s v="Customer 064"/>
    <x v="1"/>
    <s v="Tamil Nadu"/>
    <x v="2"/>
    <s v="Accessories"/>
    <x v="9"/>
    <n v="4"/>
    <n v="850"/>
    <x v="0"/>
    <n v="3060"/>
    <n v="2240"/>
    <n v="820"/>
  </r>
  <r>
    <s v="ORD12284"/>
    <x v="3762"/>
    <s v="CUST1394"/>
    <s v="Customer 394"/>
    <x v="1"/>
    <s v="Telangana"/>
    <x v="1"/>
    <s v="Kitchen"/>
    <x v="1"/>
    <n v="1"/>
    <n v="1900"/>
    <x v="2"/>
    <n v="1900"/>
    <n v="1250"/>
    <n v="650"/>
  </r>
  <r>
    <s v="ORD10543"/>
    <x v="3763"/>
    <s v="CUST1098"/>
    <s v="Customer 098"/>
    <x v="1"/>
    <s v="Tamil Nadu"/>
    <x v="2"/>
    <s v="Audio"/>
    <x v="5"/>
    <n v="2"/>
    <n v="2200"/>
    <x v="3"/>
    <n v="3740"/>
    <n v="2900"/>
    <n v="840"/>
  </r>
  <r>
    <s v="ORD13217"/>
    <x v="3764"/>
    <s v="CUST1003"/>
    <s v="Customer 003"/>
    <x v="1"/>
    <s v="Karnataka"/>
    <x v="1"/>
    <s v="Appliances"/>
    <x v="7"/>
    <n v="1"/>
    <n v="2400"/>
    <x v="4"/>
    <n v="2280"/>
    <n v="1650"/>
    <n v="630"/>
  </r>
  <r>
    <s v="ORD12863"/>
    <x v="3765"/>
    <s v="CUST1418"/>
    <s v="Customer 418"/>
    <x v="1"/>
    <s v="Kerala"/>
    <x v="2"/>
    <s v="Monitors"/>
    <x v="11"/>
    <n v="4"/>
    <n v="10500"/>
    <x v="2"/>
    <n v="42000"/>
    <n v="30400"/>
    <n v="11600"/>
  </r>
  <r>
    <s v="ORD10285"/>
    <x v="3766"/>
    <s v="CUST1221"/>
    <s v="Customer 221"/>
    <x v="1"/>
    <s v="Telangana"/>
    <x v="2"/>
    <s v="Accessories"/>
    <x v="8"/>
    <n v="5"/>
    <n v="1800"/>
    <x v="3"/>
    <n v="7650"/>
    <n v="5500"/>
    <n v="2150"/>
  </r>
  <r>
    <s v="ORD13068"/>
    <x v="3767"/>
    <s v="CUST1353"/>
    <s v="Customer 353"/>
    <x v="1"/>
    <s v="Tamil Nadu"/>
    <x v="3"/>
    <s v="Storage"/>
    <x v="6"/>
    <n v="2"/>
    <n v="5600"/>
    <x v="4"/>
    <n v="10640"/>
    <n v="7800"/>
    <n v="2840"/>
  </r>
  <r>
    <s v="ORD11909"/>
    <x v="3768"/>
    <s v="CUST1019"/>
    <s v="Customer 019"/>
    <x v="2"/>
    <s v="Gujarat"/>
    <x v="2"/>
    <s v="Accessories"/>
    <x v="13"/>
    <n v="3"/>
    <n v="1400"/>
    <x v="1"/>
    <n v="3150"/>
    <n v="2700"/>
    <n v="450"/>
  </r>
  <r>
    <s v="ORD13450"/>
    <x v="3769"/>
    <s v="CUST1248"/>
    <s v="Customer 248"/>
    <x v="2"/>
    <s v="Rajasthan"/>
    <x v="3"/>
    <s v="Storage"/>
    <x v="6"/>
    <n v="2"/>
    <n v="5600"/>
    <x v="0"/>
    <n v="10080"/>
    <n v="7800"/>
    <n v="2280"/>
  </r>
  <r>
    <s v="ORD10619"/>
    <x v="3770"/>
    <s v="CUST1031"/>
    <s v="Customer 031"/>
    <x v="3"/>
    <s v="Delhi"/>
    <x v="2"/>
    <s v="Audio"/>
    <x v="17"/>
    <n v="2"/>
    <n v="2800"/>
    <x v="0"/>
    <n v="5040"/>
    <n v="3600"/>
    <n v="1440"/>
  </r>
  <r>
    <s v="ORD11335"/>
    <x v="3771"/>
    <s v="CUST1267"/>
    <s v="Customer 267"/>
    <x v="1"/>
    <s v="Andhra Pradesh"/>
    <x v="0"/>
    <s v="Stationery"/>
    <x v="10"/>
    <n v="3"/>
    <n v="280"/>
    <x v="3"/>
    <n v="714"/>
    <n v="480"/>
    <n v="234"/>
  </r>
  <r>
    <s v="ORD11054"/>
    <x v="3772"/>
    <s v="CUST1480"/>
    <s v="Customer 480"/>
    <x v="3"/>
    <s v="Punjab"/>
    <x v="0"/>
    <s v="Accessories"/>
    <x v="0"/>
    <n v="1"/>
    <n v="650"/>
    <x v="3"/>
    <n v="552.5"/>
    <n v="390"/>
    <n v="162.5"/>
  </r>
  <r>
    <s v="ORD12822"/>
    <x v="3773"/>
    <s v="CUST1416"/>
    <s v="Customer 416"/>
    <x v="1"/>
    <s v="Telangana"/>
    <x v="2"/>
    <s v="Monitors"/>
    <x v="11"/>
    <n v="4"/>
    <n v="10500"/>
    <x v="2"/>
    <n v="42000"/>
    <n v="30400"/>
    <n v="11600"/>
  </r>
  <r>
    <s v="ORD13374"/>
    <x v="3774"/>
    <s v="CUST1252"/>
    <s v="Customer 252"/>
    <x v="2"/>
    <s v="Gujarat"/>
    <x v="1"/>
    <s v="Kitchen"/>
    <x v="4"/>
    <n v="2"/>
    <n v="6800"/>
    <x v="4"/>
    <n v="12920"/>
    <n v="9400"/>
    <n v="3520"/>
  </r>
  <r>
    <s v="ORD12300"/>
    <x v="3775"/>
    <s v="CUST1447"/>
    <s v="Customer 447"/>
    <x v="3"/>
    <s v="Haryana"/>
    <x v="1"/>
    <s v="Kitchen"/>
    <x v="1"/>
    <n v="1"/>
    <n v="1900"/>
    <x v="2"/>
    <n v="1900"/>
    <n v="1250"/>
    <n v="650"/>
  </r>
  <r>
    <s v="ORD11781"/>
    <x v="3776"/>
    <s v="CUST1024"/>
    <s v="Customer 024"/>
    <x v="1"/>
    <s v="Karnataka"/>
    <x v="2"/>
    <s v="Monitors"/>
    <x v="11"/>
    <n v="5"/>
    <n v="10500"/>
    <x v="5"/>
    <n v="42000"/>
    <n v="38000"/>
    <n v="4000"/>
  </r>
  <r>
    <s v="ORD10320"/>
    <x v="3777"/>
    <s v="CUST1385"/>
    <s v="Customer 385"/>
    <x v="0"/>
    <s v="Jharkhand"/>
    <x v="3"/>
    <s v="Storage"/>
    <x v="6"/>
    <n v="5"/>
    <n v="5600"/>
    <x v="2"/>
    <n v="28000"/>
    <n v="19500"/>
    <n v="8500"/>
  </r>
  <r>
    <s v="ORD13678"/>
    <x v="3778"/>
    <s v="CUST1385"/>
    <s v="Customer 385"/>
    <x v="2"/>
    <s v="Goa"/>
    <x v="1"/>
    <s v="Kitchen"/>
    <x v="4"/>
    <n v="3"/>
    <n v="6800"/>
    <x v="2"/>
    <n v="20400"/>
    <n v="14100"/>
    <n v="6300"/>
  </r>
  <r>
    <s v="ORD13808"/>
    <x v="3779"/>
    <s v="CUST1078"/>
    <s v="Customer 078"/>
    <x v="3"/>
    <s v="Haryana"/>
    <x v="3"/>
    <s v="Storage"/>
    <x v="14"/>
    <n v="1"/>
    <n v="4800"/>
    <x v="0"/>
    <n v="4320"/>
    <n v="3300"/>
    <n v="1020"/>
  </r>
  <r>
    <s v="ORD13011"/>
    <x v="3780"/>
    <s v="CUST1185"/>
    <s v="Customer 185"/>
    <x v="1"/>
    <s v="Telangana"/>
    <x v="0"/>
    <s v="Stationery"/>
    <x v="15"/>
    <n v="5"/>
    <n v="450"/>
    <x v="0"/>
    <n v="2025"/>
    <n v="1300"/>
    <n v="725"/>
  </r>
  <r>
    <s v="ORD12912"/>
    <x v="3781"/>
    <s v="CUST1046"/>
    <s v="Customer 046"/>
    <x v="2"/>
    <s v="Goa"/>
    <x v="0"/>
    <s v="Stationery"/>
    <x v="10"/>
    <n v="5"/>
    <n v="280"/>
    <x v="3"/>
    <n v="1190"/>
    <n v="800"/>
    <n v="390"/>
  </r>
  <r>
    <s v="ORD10761"/>
    <x v="3782"/>
    <s v="CUST1088"/>
    <s v="Customer 088"/>
    <x v="2"/>
    <s v="Goa"/>
    <x v="0"/>
    <s v="Stationery"/>
    <x v="15"/>
    <n v="2"/>
    <n v="450"/>
    <x v="0"/>
    <n v="810"/>
    <n v="520"/>
    <n v="290"/>
  </r>
  <r>
    <s v="ORD12566"/>
    <x v="3783"/>
    <s v="CUST1216"/>
    <s v="Customer 216"/>
    <x v="2"/>
    <s v="Maharashtra"/>
    <x v="3"/>
    <s v="Storage"/>
    <x v="6"/>
    <n v="5"/>
    <n v="5600"/>
    <x v="2"/>
    <n v="28000"/>
    <n v="19500"/>
    <n v="8500"/>
  </r>
  <r>
    <s v="ORD12045"/>
    <x v="3784"/>
    <s v="CUST1139"/>
    <s v="Customer 139"/>
    <x v="2"/>
    <s v="Rajasthan"/>
    <x v="2"/>
    <s v="Monitors"/>
    <x v="11"/>
    <n v="3"/>
    <n v="10500"/>
    <x v="0"/>
    <n v="28350"/>
    <n v="22800"/>
    <n v="5550"/>
  </r>
  <r>
    <s v="ORD10512"/>
    <x v="3785"/>
    <s v="CUST1374"/>
    <s v="Customer 374"/>
    <x v="1"/>
    <s v="Andhra Pradesh"/>
    <x v="3"/>
    <s v="Storage"/>
    <x v="6"/>
    <n v="1"/>
    <n v="5600"/>
    <x v="0"/>
    <n v="5040"/>
    <n v="3900"/>
    <n v="1140"/>
  </r>
  <r>
    <s v="ORD12991"/>
    <x v="3786"/>
    <s v="CUST1229"/>
    <s v="Customer 229"/>
    <x v="1"/>
    <s v="Telangana"/>
    <x v="0"/>
    <s v="Accessories"/>
    <x v="0"/>
    <n v="3"/>
    <n v="650"/>
    <x v="4"/>
    <n v="1852.5"/>
    <n v="1170"/>
    <n v="682.5"/>
  </r>
  <r>
    <s v="ORD11458"/>
    <x v="3787"/>
    <s v="CUST1228"/>
    <s v="Customer 228"/>
    <x v="0"/>
    <s v="Jharkhand"/>
    <x v="2"/>
    <s v="Audio"/>
    <x v="5"/>
    <n v="5"/>
    <n v="2200"/>
    <x v="5"/>
    <n v="8800"/>
    <n v="7250"/>
    <n v="1550"/>
  </r>
  <r>
    <s v="ORD13981"/>
    <x v="3788"/>
    <s v="CUST1226"/>
    <s v="Customer 226"/>
    <x v="2"/>
    <s v="Maharashtra"/>
    <x v="3"/>
    <s v="Chairs"/>
    <x v="12"/>
    <n v="5"/>
    <n v="7500"/>
    <x v="0"/>
    <n v="33750"/>
    <n v="26000"/>
    <n v="7750"/>
  </r>
  <r>
    <s v="ORD13744"/>
    <x v="3789"/>
    <s v="CUST1220"/>
    <s v="Customer 220"/>
    <x v="0"/>
    <s v="West Bengal"/>
    <x v="2"/>
    <s v="Audio"/>
    <x v="5"/>
    <n v="5"/>
    <n v="2200"/>
    <x v="3"/>
    <n v="9350"/>
    <n v="7250"/>
    <n v="2100"/>
  </r>
  <r>
    <s v="ORD11465"/>
    <x v="3790"/>
    <s v="CUST1426"/>
    <s v="Customer 426"/>
    <x v="3"/>
    <s v="Uttar Pradesh"/>
    <x v="1"/>
    <s v="Kitchen"/>
    <x v="2"/>
    <n v="2"/>
    <n v="4200"/>
    <x v="2"/>
    <n v="8400"/>
    <n v="5800"/>
    <n v="2600"/>
  </r>
  <r>
    <s v="ORD12294"/>
    <x v="3791"/>
    <s v="CUST1375"/>
    <s v="Customer 375"/>
    <x v="2"/>
    <s v="Gujarat"/>
    <x v="3"/>
    <s v="Storage"/>
    <x v="6"/>
    <n v="5"/>
    <n v="5600"/>
    <x v="2"/>
    <n v="28000"/>
    <n v="19500"/>
    <n v="8500"/>
  </r>
  <r>
    <s v="ORD13161"/>
    <x v="3792"/>
    <s v="CUST1060"/>
    <s v="Customer 060"/>
    <x v="0"/>
    <s v="West Bengal"/>
    <x v="2"/>
    <s v="Accessories"/>
    <x v="13"/>
    <n v="1"/>
    <n v="1400"/>
    <x v="4"/>
    <n v="1330"/>
    <n v="900"/>
    <n v="430"/>
  </r>
  <r>
    <s v="ORD10561"/>
    <x v="3793"/>
    <s v="CUST1269"/>
    <s v="Customer 269"/>
    <x v="2"/>
    <s v="Gujarat"/>
    <x v="2"/>
    <s v="Monitors"/>
    <x v="11"/>
    <n v="2"/>
    <n v="10500"/>
    <x v="0"/>
    <n v="18900"/>
    <n v="15200"/>
    <n v="3700"/>
  </r>
  <r>
    <s v="ORD13830"/>
    <x v="3794"/>
    <s v="CUST1076"/>
    <s v="Customer 076"/>
    <x v="3"/>
    <s v="Uttar Pradesh"/>
    <x v="2"/>
    <s v="Accessories"/>
    <x v="8"/>
    <n v="3"/>
    <n v="1800"/>
    <x v="0"/>
    <n v="4860"/>
    <n v="3300"/>
    <n v="1560"/>
  </r>
  <r>
    <s v="ORD13144"/>
    <x v="3795"/>
    <s v="CUST1285"/>
    <s v="Customer 285"/>
    <x v="0"/>
    <s v="Jharkhand"/>
    <x v="2"/>
    <s v="Accessories"/>
    <x v="9"/>
    <n v="1"/>
    <n v="850"/>
    <x v="0"/>
    <n v="765"/>
    <n v="560"/>
    <n v="205"/>
  </r>
  <r>
    <s v="ORD10106"/>
    <x v="3796"/>
    <s v="CUST1394"/>
    <s v="Customer 394"/>
    <x v="3"/>
    <s v="Uttar Pradesh"/>
    <x v="2"/>
    <s v="Accessories"/>
    <x v="9"/>
    <n v="5"/>
    <n v="850"/>
    <x v="3"/>
    <n v="3612.5"/>
    <n v="2800"/>
    <n v="812.5"/>
  </r>
  <r>
    <s v="ORD12457"/>
    <x v="3797"/>
    <s v="CUST1421"/>
    <s v="Customer 421"/>
    <x v="1"/>
    <s v="Andhra Pradesh"/>
    <x v="3"/>
    <s v="Chairs"/>
    <x v="12"/>
    <n v="3"/>
    <n v="7500"/>
    <x v="5"/>
    <n v="18000"/>
    <n v="15600"/>
    <n v="2400"/>
  </r>
  <r>
    <s v="ORD10448"/>
    <x v="3798"/>
    <s v="CUST1478"/>
    <s v="Customer 478"/>
    <x v="1"/>
    <s v="Tamil Nadu"/>
    <x v="0"/>
    <s v="Accessories"/>
    <x v="0"/>
    <n v="5"/>
    <n v="650"/>
    <x v="2"/>
    <n v="3250"/>
    <n v="1950"/>
    <n v="1300"/>
  </r>
  <r>
    <s v="ORD11350"/>
    <x v="3799"/>
    <s v="CUST1298"/>
    <s v="Customer 298"/>
    <x v="1"/>
    <s v="Telangana"/>
    <x v="2"/>
    <s v="Accessories"/>
    <x v="13"/>
    <n v="3"/>
    <n v="1400"/>
    <x v="3"/>
    <n v="3570"/>
    <n v="2700"/>
    <n v="870"/>
  </r>
  <r>
    <s v="ORD12016"/>
    <x v="3800"/>
    <s v="CUST1160"/>
    <s v="Customer 160"/>
    <x v="2"/>
    <s v="Maharashtra"/>
    <x v="2"/>
    <s v="Audio"/>
    <x v="5"/>
    <n v="3"/>
    <n v="2200"/>
    <x v="4"/>
    <n v="6270"/>
    <n v="4350"/>
    <n v="1920"/>
  </r>
  <r>
    <s v="ORD11078"/>
    <x v="3801"/>
    <s v="CUST1083"/>
    <s v="Customer 083"/>
    <x v="2"/>
    <s v="Goa"/>
    <x v="0"/>
    <s v="Stationery"/>
    <x v="18"/>
    <n v="2"/>
    <n v="300"/>
    <x v="3"/>
    <n v="510"/>
    <n v="340"/>
    <n v="170"/>
  </r>
  <r>
    <s v="ORD13778"/>
    <x v="3802"/>
    <s v="CUST1426"/>
    <s v="Customer 426"/>
    <x v="2"/>
    <s v="Goa"/>
    <x v="3"/>
    <s v="Storage"/>
    <x v="14"/>
    <n v="5"/>
    <n v="4800"/>
    <x v="0"/>
    <n v="21600"/>
    <n v="16500"/>
    <n v="5100"/>
  </r>
  <r>
    <s v="ORD12671"/>
    <x v="3803"/>
    <s v="CUST1396"/>
    <s v="Customer 396"/>
    <x v="1"/>
    <s v="Andhra Pradesh"/>
    <x v="2"/>
    <s v="Audio"/>
    <x v="5"/>
    <n v="2"/>
    <n v="2200"/>
    <x v="3"/>
    <n v="3740"/>
    <n v="2900"/>
    <n v="840"/>
  </r>
  <r>
    <s v="ORD12878"/>
    <x v="3804"/>
    <s v="CUST1469"/>
    <s v="Customer 469"/>
    <x v="3"/>
    <s v="Delhi"/>
    <x v="3"/>
    <s v="Tables"/>
    <x v="16"/>
    <n v="1"/>
    <n v="6200"/>
    <x v="5"/>
    <n v="4960"/>
    <n v="4300"/>
    <n v="660"/>
  </r>
  <r>
    <s v="ORD12754"/>
    <x v="3805"/>
    <s v="CUST1326"/>
    <s v="Customer 326"/>
    <x v="2"/>
    <s v="Maharashtra"/>
    <x v="2"/>
    <s v="Accessories"/>
    <x v="13"/>
    <n v="5"/>
    <n v="1400"/>
    <x v="3"/>
    <n v="5950"/>
    <n v="4500"/>
    <n v="1450"/>
  </r>
  <r>
    <s v="ORD13062"/>
    <x v="3806"/>
    <s v="CUST1155"/>
    <s v="Customer 155"/>
    <x v="1"/>
    <s v="Tamil Nadu"/>
    <x v="0"/>
    <s v="Accessories"/>
    <x v="0"/>
    <n v="4"/>
    <n v="650"/>
    <x v="0"/>
    <n v="2340"/>
    <n v="1560"/>
    <n v="780"/>
  </r>
  <r>
    <s v="ORD10630"/>
    <x v="3807"/>
    <s v="CUST1184"/>
    <s v="Customer 184"/>
    <x v="1"/>
    <s v="Telangana"/>
    <x v="1"/>
    <s v="Kitchen"/>
    <x v="4"/>
    <n v="1"/>
    <n v="6800"/>
    <x v="3"/>
    <n v="5780"/>
    <n v="4700"/>
    <n v="1080"/>
  </r>
  <r>
    <s v="ORD10419"/>
    <x v="3808"/>
    <s v="CUST1149"/>
    <s v="Customer 149"/>
    <x v="1"/>
    <s v="Tamil Nadu"/>
    <x v="2"/>
    <s v="Audio"/>
    <x v="5"/>
    <n v="3"/>
    <n v="2200"/>
    <x v="3"/>
    <n v="5610"/>
    <n v="4350"/>
    <n v="1260"/>
  </r>
  <r>
    <s v="ORD10028"/>
    <x v="3809"/>
    <s v="CUST1412"/>
    <s v="Customer 412"/>
    <x v="1"/>
    <s v="Telangana"/>
    <x v="0"/>
    <s v="Stationery"/>
    <x v="15"/>
    <n v="2"/>
    <n v="450"/>
    <x v="4"/>
    <n v="855"/>
    <n v="520"/>
    <n v="335"/>
  </r>
  <r>
    <s v="ORD12879"/>
    <x v="3810"/>
    <s v="CUST1436"/>
    <s v="Customer 436"/>
    <x v="1"/>
    <s v="Kerala"/>
    <x v="2"/>
    <s v="Monitors"/>
    <x v="11"/>
    <n v="2"/>
    <n v="10500"/>
    <x v="3"/>
    <n v="17850"/>
    <n v="15200"/>
    <n v="2650"/>
  </r>
  <r>
    <s v="ORD12387"/>
    <x v="3811"/>
    <s v="CUST1477"/>
    <s v="Customer 477"/>
    <x v="1"/>
    <s v="Tamil Nadu"/>
    <x v="0"/>
    <s v="Stationery"/>
    <x v="15"/>
    <n v="5"/>
    <n v="450"/>
    <x v="1"/>
    <n v="1687.5"/>
    <n v="1300"/>
    <n v="387.5"/>
  </r>
  <r>
    <s v="ORD10861"/>
    <x v="3812"/>
    <s v="CUST1485"/>
    <s v="Customer 485"/>
    <x v="1"/>
    <s v="Andhra Pradesh"/>
    <x v="2"/>
    <s v="Accessories"/>
    <x v="9"/>
    <n v="2"/>
    <n v="850"/>
    <x v="3"/>
    <n v="1445"/>
    <n v="1120"/>
    <n v="325"/>
  </r>
  <r>
    <s v="ORD10479"/>
    <x v="3813"/>
    <s v="CUST1332"/>
    <s v="Customer 332"/>
    <x v="1"/>
    <s v="Kerala"/>
    <x v="2"/>
    <s v="Accessories"/>
    <x v="9"/>
    <n v="5"/>
    <n v="850"/>
    <x v="3"/>
    <n v="3612.5"/>
    <n v="2800"/>
    <n v="812.5"/>
  </r>
  <r>
    <s v="ORD13757"/>
    <x v="3814"/>
    <s v="CUST1319"/>
    <s v="Customer 319"/>
    <x v="1"/>
    <s v="Tamil Nadu"/>
    <x v="1"/>
    <s v="Kitchen"/>
    <x v="1"/>
    <n v="3"/>
    <n v="1900"/>
    <x v="5"/>
    <n v="4560"/>
    <n v="3750"/>
    <n v="810"/>
  </r>
  <r>
    <s v="ORD12099"/>
    <x v="3815"/>
    <s v="CUST1376"/>
    <s v="Customer 376"/>
    <x v="3"/>
    <s v="Punjab"/>
    <x v="2"/>
    <s v="Audio"/>
    <x v="5"/>
    <n v="5"/>
    <n v="2200"/>
    <x v="2"/>
    <n v="11000"/>
    <n v="7250"/>
    <n v="3750"/>
  </r>
  <r>
    <s v="ORD12375"/>
    <x v="3816"/>
    <s v="CUST1350"/>
    <s v="Customer 350"/>
    <x v="2"/>
    <s v="Goa"/>
    <x v="0"/>
    <s v="Accessories"/>
    <x v="0"/>
    <n v="4"/>
    <n v="650"/>
    <x v="3"/>
    <n v="2210"/>
    <n v="1560"/>
    <n v="650"/>
  </r>
  <r>
    <s v="ORD13868"/>
    <x v="3817"/>
    <s v="CUST1406"/>
    <s v="Customer 406"/>
    <x v="3"/>
    <s v="Delhi"/>
    <x v="0"/>
    <s v="Stationery"/>
    <x v="10"/>
    <n v="5"/>
    <n v="280"/>
    <x v="3"/>
    <n v="1190"/>
    <n v="800"/>
    <n v="390"/>
  </r>
  <r>
    <s v="ORD10602"/>
    <x v="3818"/>
    <s v="CUST1390"/>
    <s v="Customer 390"/>
    <x v="2"/>
    <s v="Maharashtra"/>
    <x v="2"/>
    <s v="Accessories"/>
    <x v="9"/>
    <n v="1"/>
    <n v="850"/>
    <x v="4"/>
    <n v="807.5"/>
    <n v="560"/>
    <n v="247.5"/>
  </r>
  <r>
    <s v="ORD13655"/>
    <x v="3819"/>
    <s v="CUST1335"/>
    <s v="Customer 335"/>
    <x v="1"/>
    <s v="Kerala"/>
    <x v="2"/>
    <s v="Audio"/>
    <x v="17"/>
    <n v="1"/>
    <n v="2800"/>
    <x v="4"/>
    <n v="2660"/>
    <n v="1800"/>
    <n v="860"/>
  </r>
  <r>
    <s v="ORD11022"/>
    <x v="3820"/>
    <s v="CUST1037"/>
    <s v="Customer 037"/>
    <x v="3"/>
    <s v="Uttar Pradesh"/>
    <x v="1"/>
    <s v="Kitchen"/>
    <x v="1"/>
    <n v="2"/>
    <n v="1900"/>
    <x v="0"/>
    <n v="3420"/>
    <n v="2500"/>
    <n v="920"/>
  </r>
  <r>
    <s v="ORD13994"/>
    <x v="3821"/>
    <s v="CUST1143"/>
    <s v="Customer 143"/>
    <x v="0"/>
    <s v="West Bengal"/>
    <x v="3"/>
    <s v="Tables"/>
    <x v="16"/>
    <n v="4"/>
    <n v="6200"/>
    <x v="2"/>
    <n v="24800"/>
    <n v="17200"/>
    <n v="7600"/>
  </r>
  <r>
    <s v="ORD13004"/>
    <x v="3822"/>
    <s v="CUST1481"/>
    <s v="Customer 481"/>
    <x v="1"/>
    <s v="Telangana"/>
    <x v="1"/>
    <s v="Kitchen"/>
    <x v="2"/>
    <n v="5"/>
    <n v="4200"/>
    <x v="3"/>
    <n v="17850"/>
    <n v="14500"/>
    <n v="3350"/>
  </r>
  <r>
    <s v="ORD13759"/>
    <x v="3823"/>
    <s v="CUST1041"/>
    <s v="Customer 041"/>
    <x v="1"/>
    <s v="Kerala"/>
    <x v="2"/>
    <s v="Accessories"/>
    <x v="9"/>
    <n v="3"/>
    <n v="850"/>
    <x v="0"/>
    <n v="2295"/>
    <n v="1680"/>
    <n v="615"/>
  </r>
  <r>
    <s v="ORD10264"/>
    <x v="3824"/>
    <s v="CUST1463"/>
    <s v="Customer 463"/>
    <x v="1"/>
    <s v="Telangana"/>
    <x v="1"/>
    <s v="Kitchen"/>
    <x v="1"/>
    <n v="5"/>
    <n v="1900"/>
    <x v="0"/>
    <n v="8550"/>
    <n v="6250"/>
    <n v="2300"/>
  </r>
  <r>
    <s v="ORD13621"/>
    <x v="3825"/>
    <s v="CUST1499"/>
    <s v="Customer 499"/>
    <x v="2"/>
    <s v="Rajasthan"/>
    <x v="0"/>
    <s v="Stationery"/>
    <x v="10"/>
    <n v="4"/>
    <n v="280"/>
    <x v="3"/>
    <n v="952"/>
    <n v="640"/>
    <n v="312"/>
  </r>
  <r>
    <s v="ORD12192"/>
    <x v="3826"/>
    <s v="CUST1205"/>
    <s v="Customer 205"/>
    <x v="3"/>
    <s v="Punjab"/>
    <x v="2"/>
    <s v="Audio"/>
    <x v="17"/>
    <n v="4"/>
    <n v="2800"/>
    <x v="3"/>
    <n v="9520"/>
    <n v="7200"/>
    <n v="2320"/>
  </r>
  <r>
    <s v="ORD12193"/>
    <x v="3827"/>
    <s v="CUST1144"/>
    <s v="Customer 144"/>
    <x v="2"/>
    <s v="Goa"/>
    <x v="2"/>
    <s v="Accessories"/>
    <x v="9"/>
    <n v="4"/>
    <n v="850"/>
    <x v="3"/>
    <n v="2890"/>
    <n v="2240"/>
    <n v="650"/>
  </r>
  <r>
    <s v="ORD11498"/>
    <x v="3828"/>
    <s v="CUST1391"/>
    <s v="Customer 391"/>
    <x v="3"/>
    <s v="Punjab"/>
    <x v="2"/>
    <s v="Audio"/>
    <x v="5"/>
    <n v="4"/>
    <n v="2200"/>
    <x v="5"/>
    <n v="7040"/>
    <n v="5800"/>
    <n v="1240"/>
  </r>
  <r>
    <s v="ORD13234"/>
    <x v="3829"/>
    <s v="CUST1003"/>
    <s v="Customer 003"/>
    <x v="1"/>
    <s v="Karnataka"/>
    <x v="1"/>
    <s v="Kitchen"/>
    <x v="1"/>
    <n v="5"/>
    <n v="1900"/>
    <x v="0"/>
    <n v="8550"/>
    <n v="6250"/>
    <n v="2300"/>
  </r>
  <r>
    <s v="ORD13542"/>
    <x v="3830"/>
    <s v="CUST1291"/>
    <s v="Customer 291"/>
    <x v="2"/>
    <s v="Maharashtra"/>
    <x v="2"/>
    <s v="Accessories"/>
    <x v="8"/>
    <n v="5"/>
    <n v="1800"/>
    <x v="4"/>
    <n v="8550"/>
    <n v="5500"/>
    <n v="3050"/>
  </r>
  <r>
    <s v="ORD12488"/>
    <x v="3831"/>
    <s v="CUST1028"/>
    <s v="Customer 028"/>
    <x v="1"/>
    <s v="Andhra Pradesh"/>
    <x v="2"/>
    <s v="Accessories"/>
    <x v="9"/>
    <n v="4"/>
    <n v="850"/>
    <x v="4"/>
    <n v="3230"/>
    <n v="2240"/>
    <n v="990"/>
  </r>
  <r>
    <s v="ORD12692"/>
    <x v="3832"/>
    <s v="CUST1304"/>
    <s v="Customer 304"/>
    <x v="1"/>
    <s v="Kerala"/>
    <x v="3"/>
    <s v="Storage"/>
    <x v="6"/>
    <n v="2"/>
    <n v="5600"/>
    <x v="4"/>
    <n v="10640"/>
    <n v="7800"/>
    <n v="2840"/>
  </r>
  <r>
    <s v="ORD10134"/>
    <x v="3833"/>
    <s v="CUST1280"/>
    <s v="Customer 280"/>
    <x v="0"/>
    <s v="Odisha"/>
    <x v="1"/>
    <s v="Kitchen"/>
    <x v="1"/>
    <n v="1"/>
    <n v="1900"/>
    <x v="0"/>
    <n v="1710"/>
    <n v="1250"/>
    <n v="460"/>
  </r>
  <r>
    <s v="ORD12031"/>
    <x v="3834"/>
    <s v="CUST1278"/>
    <s v="Customer 278"/>
    <x v="2"/>
    <s v="Rajasthan"/>
    <x v="0"/>
    <s v="Accessories"/>
    <x v="0"/>
    <n v="3"/>
    <n v="650"/>
    <x v="4"/>
    <n v="1852.5"/>
    <n v="1170"/>
    <n v="682.5"/>
  </r>
  <r>
    <s v="ORD11940"/>
    <x v="3835"/>
    <s v="CUST1104"/>
    <s v="Customer 104"/>
    <x v="1"/>
    <s v="Kerala"/>
    <x v="0"/>
    <s v="Paper"/>
    <x v="3"/>
    <n v="3"/>
    <n v="520"/>
    <x v="0"/>
    <n v="1404"/>
    <n v="990"/>
    <n v="414"/>
  </r>
  <r>
    <s v="ORD11139"/>
    <x v="3836"/>
    <s v="CUST1372"/>
    <s v="Customer 372"/>
    <x v="3"/>
    <s v="Uttar Pradesh"/>
    <x v="2"/>
    <s v="Accessories"/>
    <x v="8"/>
    <n v="3"/>
    <n v="1800"/>
    <x v="2"/>
    <n v="5400"/>
    <n v="3300"/>
    <n v="2100"/>
  </r>
  <r>
    <s v="ORD12798"/>
    <x v="3837"/>
    <s v="CUST1284"/>
    <s v="Customer 284"/>
    <x v="2"/>
    <s v="Rajasthan"/>
    <x v="2"/>
    <s v="Audio"/>
    <x v="17"/>
    <n v="5"/>
    <n v="2800"/>
    <x v="4"/>
    <n v="13300"/>
    <n v="9000"/>
    <n v="4300"/>
  </r>
  <r>
    <s v="ORD12296"/>
    <x v="3838"/>
    <s v="CUST1401"/>
    <s v="Customer 401"/>
    <x v="1"/>
    <s v="Telangana"/>
    <x v="0"/>
    <s v="Stationery"/>
    <x v="15"/>
    <n v="2"/>
    <n v="450"/>
    <x v="4"/>
    <n v="855"/>
    <n v="520"/>
    <n v="335"/>
  </r>
  <r>
    <s v="ORD10018"/>
    <x v="3839"/>
    <s v="CUST1065"/>
    <s v="Customer 065"/>
    <x v="1"/>
    <s v="Telangana"/>
    <x v="0"/>
    <s v="Accessories"/>
    <x v="0"/>
    <n v="3"/>
    <n v="650"/>
    <x v="0"/>
    <n v="1755"/>
    <n v="1170"/>
    <n v="585"/>
  </r>
  <r>
    <s v="ORD11535"/>
    <x v="3840"/>
    <s v="CUST1409"/>
    <s v="Customer 409"/>
    <x v="3"/>
    <s v="Punjab"/>
    <x v="1"/>
    <s v="Kitchen"/>
    <x v="4"/>
    <n v="4"/>
    <n v="6800"/>
    <x v="5"/>
    <n v="21760"/>
    <n v="18800"/>
    <n v="2960"/>
  </r>
  <r>
    <s v="ORD13469"/>
    <x v="3841"/>
    <s v="CUST1263"/>
    <s v="Customer 263"/>
    <x v="2"/>
    <s v="Maharashtra"/>
    <x v="0"/>
    <s v="Paper"/>
    <x v="3"/>
    <n v="2"/>
    <n v="520"/>
    <x v="5"/>
    <n v="832"/>
    <n v="660"/>
    <n v="172"/>
  </r>
  <r>
    <s v="ORD12492"/>
    <x v="3842"/>
    <s v="CUST1133"/>
    <s v="Customer 133"/>
    <x v="3"/>
    <s v="Uttar Pradesh"/>
    <x v="3"/>
    <s v="Storage"/>
    <x v="6"/>
    <n v="2"/>
    <n v="5600"/>
    <x v="0"/>
    <n v="10080"/>
    <n v="7800"/>
    <n v="2280"/>
  </r>
  <r>
    <s v="ORD13476"/>
    <x v="3843"/>
    <s v="CUST1108"/>
    <s v="Customer 108"/>
    <x v="1"/>
    <s v="Kerala"/>
    <x v="2"/>
    <s v="Audio"/>
    <x v="5"/>
    <n v="4"/>
    <n v="2200"/>
    <x v="2"/>
    <n v="8800"/>
    <n v="5800"/>
    <n v="3000"/>
  </r>
  <r>
    <s v="ORD13120"/>
    <x v="3844"/>
    <s v="CUST1434"/>
    <s v="Customer 434"/>
    <x v="2"/>
    <s v="Rajasthan"/>
    <x v="0"/>
    <s v="Accessories"/>
    <x v="0"/>
    <n v="4"/>
    <n v="650"/>
    <x v="3"/>
    <n v="2210"/>
    <n v="1560"/>
    <n v="650"/>
  </r>
  <r>
    <s v="ORD10737"/>
    <x v="3845"/>
    <s v="CUST1366"/>
    <s v="Customer 366"/>
    <x v="1"/>
    <s v="Karnataka"/>
    <x v="3"/>
    <s v="Chairs"/>
    <x v="12"/>
    <n v="3"/>
    <n v="7500"/>
    <x v="4"/>
    <n v="21375"/>
    <n v="15600"/>
    <n v="5775"/>
  </r>
  <r>
    <s v="ORD10716"/>
    <x v="3846"/>
    <s v="CUST1400"/>
    <s v="Customer 400"/>
    <x v="1"/>
    <s v="Andhra Pradesh"/>
    <x v="2"/>
    <s v="Accessories"/>
    <x v="13"/>
    <n v="2"/>
    <n v="1400"/>
    <x v="5"/>
    <n v="2240"/>
    <n v="1800"/>
    <n v="440"/>
  </r>
  <r>
    <s v="ORD11050"/>
    <x v="3847"/>
    <s v="CUST1060"/>
    <s v="Customer 060"/>
    <x v="1"/>
    <s v="Karnataka"/>
    <x v="3"/>
    <s v="Storage"/>
    <x v="14"/>
    <n v="3"/>
    <n v="4800"/>
    <x v="0"/>
    <n v="12960"/>
    <n v="9900"/>
    <n v="3060"/>
  </r>
  <r>
    <s v="ORD12403"/>
    <x v="3848"/>
    <s v="CUST1373"/>
    <s v="Customer 373"/>
    <x v="1"/>
    <s v="Karnataka"/>
    <x v="3"/>
    <s v="Chairs"/>
    <x v="12"/>
    <n v="2"/>
    <n v="7500"/>
    <x v="2"/>
    <n v="15000"/>
    <n v="10400"/>
    <n v="4600"/>
  </r>
  <r>
    <s v="ORD10003"/>
    <x v="3849"/>
    <s v="CUST1328"/>
    <s v="Customer 328"/>
    <x v="0"/>
    <s v="West Bengal"/>
    <x v="2"/>
    <s v="Audio"/>
    <x v="17"/>
    <n v="5"/>
    <n v="2800"/>
    <x v="1"/>
    <n v="10500"/>
    <n v="9000"/>
    <n v="1500"/>
  </r>
  <r>
    <s v="ORD12581"/>
    <x v="3850"/>
    <s v="CUST1192"/>
    <s v="Customer 192"/>
    <x v="3"/>
    <s v="Delhi"/>
    <x v="0"/>
    <s v="Stationery"/>
    <x v="10"/>
    <n v="5"/>
    <n v="280"/>
    <x v="2"/>
    <n v="1400"/>
    <n v="800"/>
    <n v="600"/>
  </r>
  <r>
    <s v="ORD10007"/>
    <x v="3851"/>
    <s v="CUST1043"/>
    <s v="Customer 043"/>
    <x v="2"/>
    <s v="Goa"/>
    <x v="3"/>
    <s v="Tables"/>
    <x v="16"/>
    <n v="5"/>
    <n v="6200"/>
    <x v="5"/>
    <n v="24800"/>
    <n v="21500"/>
    <n v="3300"/>
  </r>
  <r>
    <s v="ORD10416"/>
    <x v="3852"/>
    <s v="CUST1339"/>
    <s v="Customer 339"/>
    <x v="1"/>
    <s v="Karnataka"/>
    <x v="1"/>
    <s v="Kitchen"/>
    <x v="2"/>
    <n v="2"/>
    <n v="4200"/>
    <x v="0"/>
    <n v="7560"/>
    <n v="5800"/>
    <n v="1760"/>
  </r>
  <r>
    <s v="ORD10658"/>
    <x v="3853"/>
    <s v="CUST1317"/>
    <s v="Customer 317"/>
    <x v="2"/>
    <s v="Gujarat"/>
    <x v="3"/>
    <s v="Chairs"/>
    <x v="12"/>
    <n v="1"/>
    <n v="7500"/>
    <x v="2"/>
    <n v="7500"/>
    <n v="5200"/>
    <n v="2300"/>
  </r>
  <r>
    <s v="ORD11209"/>
    <x v="3854"/>
    <s v="CUST1143"/>
    <s v="Customer 143"/>
    <x v="1"/>
    <s v="Andhra Pradesh"/>
    <x v="2"/>
    <s v="Accessories"/>
    <x v="9"/>
    <n v="5"/>
    <n v="850"/>
    <x v="4"/>
    <n v="4037.5"/>
    <n v="2800"/>
    <n v="1237.5"/>
  </r>
  <r>
    <s v="ORD10659"/>
    <x v="3855"/>
    <s v="CUST1037"/>
    <s v="Customer 037"/>
    <x v="1"/>
    <s v="Tamil Nadu"/>
    <x v="0"/>
    <s v="Accessories"/>
    <x v="0"/>
    <n v="1"/>
    <n v="650"/>
    <x v="0"/>
    <n v="585"/>
    <n v="390"/>
    <n v="195"/>
  </r>
  <r>
    <s v="ORD13750"/>
    <x v="3856"/>
    <s v="CUST1454"/>
    <s v="Customer 454"/>
    <x v="0"/>
    <s v="Bihar"/>
    <x v="0"/>
    <s v="Stationery"/>
    <x v="10"/>
    <n v="1"/>
    <n v="280"/>
    <x v="0"/>
    <n v="252"/>
    <n v="160"/>
    <n v="92"/>
  </r>
  <r>
    <s v="ORD13429"/>
    <x v="3857"/>
    <s v="CUST1390"/>
    <s v="Customer 390"/>
    <x v="0"/>
    <s v="West Bengal"/>
    <x v="2"/>
    <s v="Accessories"/>
    <x v="13"/>
    <n v="2"/>
    <n v="1400"/>
    <x v="1"/>
    <n v="2100"/>
    <n v="1800"/>
    <n v="300"/>
  </r>
  <r>
    <s v="ORD12139"/>
    <x v="3858"/>
    <s v="CUST1270"/>
    <s v="Customer 270"/>
    <x v="3"/>
    <s v="Delhi"/>
    <x v="3"/>
    <s v="Chairs"/>
    <x v="12"/>
    <n v="2"/>
    <n v="7500"/>
    <x v="0"/>
    <n v="13500"/>
    <n v="10400"/>
    <n v="3100"/>
  </r>
  <r>
    <s v="ORD10201"/>
    <x v="3859"/>
    <s v="CUST1184"/>
    <s v="Customer 184"/>
    <x v="1"/>
    <s v="Kerala"/>
    <x v="2"/>
    <s v="Monitors"/>
    <x v="11"/>
    <n v="5"/>
    <n v="10500"/>
    <x v="5"/>
    <n v="42000"/>
    <n v="38000"/>
    <n v="4000"/>
  </r>
  <r>
    <s v="ORD11024"/>
    <x v="3860"/>
    <s v="CUST1421"/>
    <s v="Customer 421"/>
    <x v="2"/>
    <s v="Maharashtra"/>
    <x v="3"/>
    <s v="Chairs"/>
    <x v="12"/>
    <n v="1"/>
    <n v="7500"/>
    <x v="0"/>
    <n v="6750"/>
    <n v="5200"/>
    <n v="1550"/>
  </r>
  <r>
    <s v="ORD12215"/>
    <x v="3861"/>
    <s v="CUST1058"/>
    <s v="Customer 058"/>
    <x v="2"/>
    <s v="Rajasthan"/>
    <x v="0"/>
    <s v="Stationery"/>
    <x v="10"/>
    <n v="3"/>
    <n v="280"/>
    <x v="3"/>
    <n v="714"/>
    <n v="480"/>
    <n v="234"/>
  </r>
  <r>
    <s v="ORD10405"/>
    <x v="3862"/>
    <s v="CUST1250"/>
    <s v="Customer 250"/>
    <x v="3"/>
    <s v="Punjab"/>
    <x v="1"/>
    <s v="Kitchen"/>
    <x v="2"/>
    <n v="4"/>
    <n v="4200"/>
    <x v="4"/>
    <n v="15960"/>
    <n v="11600"/>
    <n v="4360"/>
  </r>
  <r>
    <s v="ORD13883"/>
    <x v="3863"/>
    <s v="CUST1288"/>
    <s v="Customer 288"/>
    <x v="3"/>
    <s v="Haryana"/>
    <x v="0"/>
    <s v="Stationery"/>
    <x v="10"/>
    <n v="2"/>
    <n v="280"/>
    <x v="3"/>
    <n v="476"/>
    <n v="320"/>
    <n v="156"/>
  </r>
  <r>
    <s v="ORD13710"/>
    <x v="3864"/>
    <s v="CUST1425"/>
    <s v="Customer 425"/>
    <x v="2"/>
    <s v="Gujarat"/>
    <x v="0"/>
    <s v="Stationery"/>
    <x v="15"/>
    <n v="4"/>
    <n v="450"/>
    <x v="3"/>
    <n v="1530"/>
    <n v="1040"/>
    <n v="490"/>
  </r>
  <r>
    <s v="ORD13984"/>
    <x v="3865"/>
    <s v="CUST1338"/>
    <s v="Customer 338"/>
    <x v="1"/>
    <s v="Andhra Pradesh"/>
    <x v="2"/>
    <s v="Accessories"/>
    <x v="9"/>
    <n v="2"/>
    <n v="850"/>
    <x v="3"/>
    <n v="1445"/>
    <n v="1120"/>
    <n v="325"/>
  </r>
  <r>
    <s v="ORD12659"/>
    <x v="3866"/>
    <s v="CUST1337"/>
    <s v="Customer 337"/>
    <x v="2"/>
    <s v="Goa"/>
    <x v="3"/>
    <s v="Storage"/>
    <x v="6"/>
    <n v="2"/>
    <n v="5600"/>
    <x v="2"/>
    <n v="11200"/>
    <n v="7800"/>
    <n v="3400"/>
  </r>
  <r>
    <s v="ORD13322"/>
    <x v="3867"/>
    <s v="CUST1081"/>
    <s v="Customer 081"/>
    <x v="2"/>
    <s v="Gujarat"/>
    <x v="2"/>
    <s v="Audio"/>
    <x v="17"/>
    <n v="2"/>
    <n v="2800"/>
    <x v="0"/>
    <n v="5040"/>
    <n v="3600"/>
    <n v="1440"/>
  </r>
  <r>
    <s v="ORD13095"/>
    <x v="3868"/>
    <s v="CUST1455"/>
    <s v="Customer 455"/>
    <x v="0"/>
    <s v="Odisha"/>
    <x v="2"/>
    <s v="Accessories"/>
    <x v="8"/>
    <n v="1"/>
    <n v="1800"/>
    <x v="0"/>
    <n v="1620"/>
    <n v="1100"/>
    <n v="520"/>
  </r>
  <r>
    <s v="ORD10726"/>
    <x v="3869"/>
    <s v="CUST1059"/>
    <s v="Customer 059"/>
    <x v="3"/>
    <s v="Haryana"/>
    <x v="1"/>
    <s v="Kitchen"/>
    <x v="1"/>
    <n v="5"/>
    <n v="1900"/>
    <x v="3"/>
    <n v="8075"/>
    <n v="6250"/>
    <n v="1825"/>
  </r>
  <r>
    <s v="ORD10571"/>
    <x v="3870"/>
    <s v="CUST1475"/>
    <s v="Customer 475"/>
    <x v="1"/>
    <s v="Tamil Nadu"/>
    <x v="0"/>
    <s v="Stationery"/>
    <x v="15"/>
    <n v="4"/>
    <n v="450"/>
    <x v="3"/>
    <n v="1530"/>
    <n v="1040"/>
    <n v="490"/>
  </r>
  <r>
    <s v="ORD10222"/>
    <x v="3871"/>
    <s v="CUST1228"/>
    <s v="Customer 228"/>
    <x v="2"/>
    <s v="Maharashtra"/>
    <x v="0"/>
    <s v="Stationery"/>
    <x v="10"/>
    <n v="5"/>
    <n v="280"/>
    <x v="3"/>
    <n v="1190"/>
    <n v="800"/>
    <n v="390"/>
  </r>
  <r>
    <s v="ORD10349"/>
    <x v="3872"/>
    <s v="CUST1091"/>
    <s v="Customer 091"/>
    <x v="1"/>
    <s v="Telangana"/>
    <x v="2"/>
    <s v="Accessories"/>
    <x v="13"/>
    <n v="2"/>
    <n v="1400"/>
    <x v="2"/>
    <n v="2800"/>
    <n v="1800"/>
    <n v="1000"/>
  </r>
  <r>
    <s v="ORD11435"/>
    <x v="3873"/>
    <s v="CUST1160"/>
    <s v="Customer 160"/>
    <x v="1"/>
    <s v="Kerala"/>
    <x v="0"/>
    <s v="Stationery"/>
    <x v="18"/>
    <n v="5"/>
    <n v="300"/>
    <x v="5"/>
    <n v="1200"/>
    <n v="850"/>
    <n v="350"/>
  </r>
  <r>
    <s v="ORD10791"/>
    <x v="3874"/>
    <s v="CUST1048"/>
    <s v="Customer 048"/>
    <x v="3"/>
    <s v="Delhi"/>
    <x v="1"/>
    <s v="Kitchen"/>
    <x v="1"/>
    <n v="2"/>
    <n v="1900"/>
    <x v="0"/>
    <n v="3420"/>
    <n v="2500"/>
    <n v="920"/>
  </r>
  <r>
    <s v="ORD12883"/>
    <x v="3875"/>
    <s v="CUST1282"/>
    <s v="Customer 282"/>
    <x v="2"/>
    <s v="Goa"/>
    <x v="0"/>
    <s v="Paper"/>
    <x v="3"/>
    <n v="4"/>
    <n v="520"/>
    <x v="3"/>
    <n v="1768"/>
    <n v="1320"/>
    <n v="448"/>
  </r>
  <r>
    <s v="ORD12967"/>
    <x v="3876"/>
    <s v="CUST1121"/>
    <s v="Customer 121"/>
    <x v="1"/>
    <s v="Tamil Nadu"/>
    <x v="3"/>
    <s v="Storage"/>
    <x v="6"/>
    <n v="2"/>
    <n v="5600"/>
    <x v="3"/>
    <n v="9520"/>
    <n v="7800"/>
    <n v="1720"/>
  </r>
  <r>
    <s v="ORD10649"/>
    <x v="3877"/>
    <s v="CUST1481"/>
    <s v="Customer 481"/>
    <x v="2"/>
    <s v="Goa"/>
    <x v="3"/>
    <s v="Storage"/>
    <x v="6"/>
    <n v="1"/>
    <n v="5600"/>
    <x v="2"/>
    <n v="5600"/>
    <n v="3900"/>
    <n v="1700"/>
  </r>
  <r>
    <s v="ORD13728"/>
    <x v="3878"/>
    <s v="CUST1264"/>
    <s v="Customer 264"/>
    <x v="1"/>
    <s v="Kerala"/>
    <x v="0"/>
    <s v="Stationery"/>
    <x v="10"/>
    <n v="3"/>
    <n v="280"/>
    <x v="1"/>
    <n v="630"/>
    <n v="480"/>
    <n v="150"/>
  </r>
  <r>
    <s v="ORD11402"/>
    <x v="3879"/>
    <s v="CUST1121"/>
    <s v="Customer 121"/>
    <x v="3"/>
    <s v="Delhi"/>
    <x v="0"/>
    <s v="Stationery"/>
    <x v="10"/>
    <n v="2"/>
    <n v="280"/>
    <x v="5"/>
    <n v="448"/>
    <n v="320"/>
    <n v="128"/>
  </r>
  <r>
    <s v="ORD10769"/>
    <x v="3880"/>
    <s v="CUST1070"/>
    <s v="Customer 070"/>
    <x v="3"/>
    <s v="Haryana"/>
    <x v="0"/>
    <s v="Paper"/>
    <x v="3"/>
    <n v="1"/>
    <n v="520"/>
    <x v="3"/>
    <n v="442"/>
    <n v="330"/>
    <n v="112"/>
  </r>
  <r>
    <s v="ORD10452"/>
    <x v="3881"/>
    <s v="CUST1463"/>
    <s v="Customer 463"/>
    <x v="3"/>
    <s v="Delhi"/>
    <x v="2"/>
    <s v="Accessories"/>
    <x v="13"/>
    <n v="3"/>
    <n v="1400"/>
    <x v="5"/>
    <n v="3360"/>
    <n v="2700"/>
    <n v="660"/>
  </r>
  <r>
    <s v="ORD11747"/>
    <x v="3882"/>
    <s v="CUST1495"/>
    <s v="Customer 495"/>
    <x v="1"/>
    <s v="Tamil Nadu"/>
    <x v="0"/>
    <s v="Stationery"/>
    <x v="18"/>
    <n v="3"/>
    <n v="300"/>
    <x v="3"/>
    <n v="765"/>
    <n v="510"/>
    <n v="255"/>
  </r>
  <r>
    <s v="ORD13380"/>
    <x v="3883"/>
    <s v="CUST1198"/>
    <s v="Customer 198"/>
    <x v="3"/>
    <s v="Punjab"/>
    <x v="2"/>
    <s v="Accessories"/>
    <x v="13"/>
    <n v="2"/>
    <n v="1400"/>
    <x v="5"/>
    <n v="2240"/>
    <n v="1800"/>
    <n v="440"/>
  </r>
  <r>
    <s v="ORD13785"/>
    <x v="3884"/>
    <s v="CUST1493"/>
    <s v="Customer 493"/>
    <x v="1"/>
    <s v="Kerala"/>
    <x v="0"/>
    <s v="Stationery"/>
    <x v="10"/>
    <n v="5"/>
    <n v="280"/>
    <x v="3"/>
    <n v="1190"/>
    <n v="800"/>
    <n v="390"/>
  </r>
  <r>
    <s v="ORD13628"/>
    <x v="3885"/>
    <s v="CUST1119"/>
    <s v="Customer 119"/>
    <x v="3"/>
    <s v="Punjab"/>
    <x v="1"/>
    <s v="Kitchen"/>
    <x v="4"/>
    <n v="3"/>
    <n v="6800"/>
    <x v="5"/>
    <n v="16320"/>
    <n v="14100"/>
    <n v="2220"/>
  </r>
  <r>
    <s v="ORD12165"/>
    <x v="3886"/>
    <s v="CUST1478"/>
    <s v="Customer 478"/>
    <x v="2"/>
    <s v="Gujarat"/>
    <x v="2"/>
    <s v="Accessories"/>
    <x v="8"/>
    <n v="4"/>
    <n v="1800"/>
    <x v="0"/>
    <n v="6480"/>
    <n v="4400"/>
    <n v="2080"/>
  </r>
  <r>
    <s v="ORD13531"/>
    <x v="3887"/>
    <s v="CUST1191"/>
    <s v="Customer 191"/>
    <x v="1"/>
    <s v="Karnataka"/>
    <x v="0"/>
    <s v="Paper"/>
    <x v="3"/>
    <n v="3"/>
    <n v="520"/>
    <x v="1"/>
    <n v="1170"/>
    <n v="990"/>
    <n v="180"/>
  </r>
  <r>
    <s v="ORD13394"/>
    <x v="3888"/>
    <s v="CUST1095"/>
    <s v="Customer 095"/>
    <x v="2"/>
    <s v="Gujarat"/>
    <x v="3"/>
    <s v="Chairs"/>
    <x v="12"/>
    <n v="2"/>
    <n v="7500"/>
    <x v="2"/>
    <n v="15000"/>
    <n v="10400"/>
    <n v="4600"/>
  </r>
  <r>
    <s v="ORD10777"/>
    <x v="3889"/>
    <s v="CUST1212"/>
    <s v="Customer 212"/>
    <x v="2"/>
    <s v="Rajasthan"/>
    <x v="3"/>
    <s v="Storage"/>
    <x v="14"/>
    <n v="1"/>
    <n v="4800"/>
    <x v="2"/>
    <n v="4800"/>
    <n v="3300"/>
    <n v="1500"/>
  </r>
  <r>
    <s v="ORD13416"/>
    <x v="3890"/>
    <s v="CUST1207"/>
    <s v="Customer 207"/>
    <x v="2"/>
    <s v="Gujarat"/>
    <x v="0"/>
    <s v="Stationery"/>
    <x v="10"/>
    <n v="2"/>
    <n v="280"/>
    <x v="0"/>
    <n v="504"/>
    <n v="320"/>
    <n v="184"/>
  </r>
  <r>
    <s v="ORD12124"/>
    <x v="3891"/>
    <s v="CUST1306"/>
    <s v="Customer 306"/>
    <x v="1"/>
    <s v="Tamil Nadu"/>
    <x v="2"/>
    <s v="Accessories"/>
    <x v="8"/>
    <n v="1"/>
    <n v="1800"/>
    <x v="3"/>
    <n v="1530"/>
    <n v="1100"/>
    <n v="430"/>
  </r>
  <r>
    <s v="ORD13928"/>
    <x v="3892"/>
    <s v="CUST1077"/>
    <s v="Customer 077"/>
    <x v="3"/>
    <s v="Haryana"/>
    <x v="0"/>
    <s v="Stationery"/>
    <x v="10"/>
    <n v="5"/>
    <n v="280"/>
    <x v="4"/>
    <n v="1330"/>
    <n v="800"/>
    <n v="530"/>
  </r>
  <r>
    <s v="ORD11220"/>
    <x v="3893"/>
    <s v="CUST1221"/>
    <s v="Customer 221"/>
    <x v="1"/>
    <s v="Tamil Nadu"/>
    <x v="2"/>
    <s v="Accessories"/>
    <x v="8"/>
    <n v="5"/>
    <n v="1800"/>
    <x v="4"/>
    <n v="8550"/>
    <n v="5500"/>
    <n v="3050"/>
  </r>
  <r>
    <s v="ORD10276"/>
    <x v="3894"/>
    <s v="CUST1242"/>
    <s v="Customer 242"/>
    <x v="1"/>
    <s v="Tamil Nadu"/>
    <x v="3"/>
    <s v="Storage"/>
    <x v="6"/>
    <n v="2"/>
    <n v="5600"/>
    <x v="4"/>
    <n v="10640"/>
    <n v="7800"/>
    <n v="2840"/>
  </r>
  <r>
    <s v="ORD12649"/>
    <x v="3895"/>
    <s v="CUST1469"/>
    <s v="Customer 469"/>
    <x v="1"/>
    <s v="Andhra Pradesh"/>
    <x v="2"/>
    <s v="Accessories"/>
    <x v="13"/>
    <n v="4"/>
    <n v="1400"/>
    <x v="0"/>
    <n v="5040"/>
    <n v="3600"/>
    <n v="1440"/>
  </r>
  <r>
    <s v="ORD10521"/>
    <x v="3896"/>
    <s v="CUST1179"/>
    <s v="Customer 179"/>
    <x v="1"/>
    <s v="Tamil Nadu"/>
    <x v="0"/>
    <s v="Accessories"/>
    <x v="0"/>
    <n v="2"/>
    <n v="650"/>
    <x v="0"/>
    <n v="1170"/>
    <n v="780"/>
    <n v="390"/>
  </r>
  <r>
    <s v="ORD12541"/>
    <x v="3897"/>
    <s v="CUST1145"/>
    <s v="Customer 145"/>
    <x v="1"/>
    <s v="Karnataka"/>
    <x v="1"/>
    <s v="Kitchen"/>
    <x v="4"/>
    <n v="2"/>
    <n v="6800"/>
    <x v="2"/>
    <n v="13600"/>
    <n v="9400"/>
    <n v="4200"/>
  </r>
  <r>
    <s v="ORD12560"/>
    <x v="3898"/>
    <s v="CUST1295"/>
    <s v="Customer 295"/>
    <x v="3"/>
    <s v="Haryana"/>
    <x v="1"/>
    <s v="Kitchen"/>
    <x v="4"/>
    <n v="1"/>
    <n v="6800"/>
    <x v="4"/>
    <n v="6460"/>
    <n v="4700"/>
    <n v="1760"/>
  </r>
  <r>
    <s v="ORD13336"/>
    <x v="3899"/>
    <s v="CUST1114"/>
    <s v="Customer 114"/>
    <x v="3"/>
    <s v="Punjab"/>
    <x v="2"/>
    <s v="Accessories"/>
    <x v="8"/>
    <n v="3"/>
    <n v="1800"/>
    <x v="5"/>
    <n v="4320"/>
    <n v="3300"/>
    <n v="1020"/>
  </r>
  <r>
    <s v="ORD13422"/>
    <x v="3900"/>
    <s v="CUST1394"/>
    <s v="Customer 394"/>
    <x v="2"/>
    <s v="Gujarat"/>
    <x v="2"/>
    <s v="Accessories"/>
    <x v="13"/>
    <n v="5"/>
    <n v="1400"/>
    <x v="0"/>
    <n v="6300"/>
    <n v="4500"/>
    <n v="1800"/>
  </r>
  <r>
    <s v="ORD11928"/>
    <x v="3901"/>
    <s v="CUST1063"/>
    <s v="Customer 063"/>
    <x v="3"/>
    <s v="Punjab"/>
    <x v="2"/>
    <s v="Monitors"/>
    <x v="11"/>
    <n v="5"/>
    <n v="10500"/>
    <x v="0"/>
    <n v="47250"/>
    <n v="38000"/>
    <n v="9250"/>
  </r>
  <r>
    <s v="ORD11084"/>
    <x v="3902"/>
    <s v="CUST1278"/>
    <s v="Customer 278"/>
    <x v="3"/>
    <s v="Delhi"/>
    <x v="2"/>
    <s v="Audio"/>
    <x v="17"/>
    <n v="3"/>
    <n v="2800"/>
    <x v="4"/>
    <n v="7980"/>
    <n v="5400"/>
    <n v="2580"/>
  </r>
  <r>
    <s v="ORD11933"/>
    <x v="3903"/>
    <s v="CUST1418"/>
    <s v="Customer 418"/>
    <x v="2"/>
    <s v="Maharashtra"/>
    <x v="3"/>
    <s v="Storage"/>
    <x v="6"/>
    <n v="2"/>
    <n v="5600"/>
    <x v="2"/>
    <n v="11200"/>
    <n v="7800"/>
    <n v="3400"/>
  </r>
  <r>
    <s v="ORD12370"/>
    <x v="3904"/>
    <s v="CUST1088"/>
    <s v="Customer 088"/>
    <x v="2"/>
    <s v="Maharashtra"/>
    <x v="1"/>
    <s v="Kitchen"/>
    <x v="4"/>
    <n v="3"/>
    <n v="6800"/>
    <x v="0"/>
    <n v="18360"/>
    <n v="14100"/>
    <n v="4260"/>
  </r>
  <r>
    <s v="ORD10698"/>
    <x v="3905"/>
    <s v="CUST1296"/>
    <s v="Customer 296"/>
    <x v="1"/>
    <s v="Kerala"/>
    <x v="3"/>
    <s v="Storage"/>
    <x v="6"/>
    <n v="5"/>
    <n v="5600"/>
    <x v="3"/>
    <n v="23800"/>
    <n v="19500"/>
    <n v="4300"/>
  </r>
  <r>
    <s v="ORD13411"/>
    <x v="3906"/>
    <s v="CUST1036"/>
    <s v="Customer 036"/>
    <x v="1"/>
    <s v="Telangana"/>
    <x v="2"/>
    <s v="Accessories"/>
    <x v="9"/>
    <n v="5"/>
    <n v="850"/>
    <x v="1"/>
    <n v="3187.5"/>
    <n v="2800"/>
    <n v="387.5"/>
  </r>
  <r>
    <s v="ORD10533"/>
    <x v="3907"/>
    <s v="CUST1078"/>
    <s v="Customer 078"/>
    <x v="3"/>
    <s v="Delhi"/>
    <x v="2"/>
    <s v="Accessories"/>
    <x v="13"/>
    <n v="2"/>
    <n v="1400"/>
    <x v="2"/>
    <n v="2800"/>
    <n v="1800"/>
    <n v="1000"/>
  </r>
  <r>
    <s v="ORD11142"/>
    <x v="3908"/>
    <s v="CUST1170"/>
    <s v="Customer 170"/>
    <x v="1"/>
    <s v="Telangana"/>
    <x v="1"/>
    <s v="Kitchen"/>
    <x v="4"/>
    <n v="4"/>
    <n v="6800"/>
    <x v="1"/>
    <n v="20400"/>
    <n v="18800"/>
    <n v="1600"/>
  </r>
  <r>
    <s v="ORD12549"/>
    <x v="3909"/>
    <s v="CUST1236"/>
    <s v="Customer 236"/>
    <x v="3"/>
    <s v="Uttar Pradesh"/>
    <x v="3"/>
    <s v="Chairs"/>
    <x v="12"/>
    <n v="4"/>
    <n v="7500"/>
    <x v="3"/>
    <n v="25500"/>
    <n v="20800"/>
    <n v="4700"/>
  </r>
  <r>
    <s v="ORD13373"/>
    <x v="3910"/>
    <s v="CUST1155"/>
    <s v="Customer 155"/>
    <x v="1"/>
    <s v="Telangana"/>
    <x v="2"/>
    <s v="Accessories"/>
    <x v="8"/>
    <n v="3"/>
    <n v="1800"/>
    <x v="3"/>
    <n v="4590"/>
    <n v="3300"/>
    <n v="1290"/>
  </r>
  <r>
    <s v="ORD12684"/>
    <x v="3911"/>
    <s v="CUST1406"/>
    <s v="Customer 406"/>
    <x v="3"/>
    <s v="Punjab"/>
    <x v="1"/>
    <s v="Kitchen"/>
    <x v="1"/>
    <n v="2"/>
    <n v="1900"/>
    <x v="3"/>
    <n v="3230"/>
    <n v="2500"/>
    <n v="730"/>
  </r>
  <r>
    <s v="ORD12705"/>
    <x v="3912"/>
    <s v="CUST1035"/>
    <s v="Customer 035"/>
    <x v="1"/>
    <s v="Kerala"/>
    <x v="2"/>
    <s v="Monitors"/>
    <x v="11"/>
    <n v="2"/>
    <n v="10500"/>
    <x v="3"/>
    <n v="17850"/>
    <n v="15200"/>
    <n v="2650"/>
  </r>
  <r>
    <s v="ORD13960"/>
    <x v="3913"/>
    <s v="CUST1108"/>
    <s v="Customer 108"/>
    <x v="1"/>
    <s v="Kerala"/>
    <x v="2"/>
    <s v="Accessories"/>
    <x v="8"/>
    <n v="1"/>
    <n v="1800"/>
    <x v="3"/>
    <n v="1530"/>
    <n v="1100"/>
    <n v="430"/>
  </r>
  <r>
    <s v="ORD10016"/>
    <x v="3914"/>
    <s v="CUST1394"/>
    <s v="Customer 394"/>
    <x v="2"/>
    <s v="Rajasthan"/>
    <x v="2"/>
    <s v="Accessories"/>
    <x v="8"/>
    <n v="2"/>
    <n v="1800"/>
    <x v="0"/>
    <n v="3240"/>
    <n v="2200"/>
    <n v="1040"/>
  </r>
  <r>
    <s v="ORD11227"/>
    <x v="3915"/>
    <s v="CUST1054"/>
    <s v="Customer 054"/>
    <x v="3"/>
    <s v="Delhi"/>
    <x v="1"/>
    <s v="Appliances"/>
    <x v="7"/>
    <n v="4"/>
    <n v="2400"/>
    <x v="2"/>
    <n v="9600"/>
    <n v="6600"/>
    <n v="3000"/>
  </r>
  <r>
    <s v="ORD11587"/>
    <x v="3916"/>
    <s v="CUST1412"/>
    <s v="Customer 412"/>
    <x v="1"/>
    <s v="Telangana"/>
    <x v="2"/>
    <s v="Accessories"/>
    <x v="8"/>
    <n v="4"/>
    <n v="1800"/>
    <x v="2"/>
    <n v="7200"/>
    <n v="4400"/>
    <n v="2800"/>
  </r>
  <r>
    <s v="ORD10319"/>
    <x v="3917"/>
    <s v="CUST1470"/>
    <s v="Customer 470"/>
    <x v="2"/>
    <s v="Gujarat"/>
    <x v="2"/>
    <s v="Accessories"/>
    <x v="9"/>
    <n v="4"/>
    <n v="850"/>
    <x v="0"/>
    <n v="3060"/>
    <n v="2240"/>
    <n v="820"/>
  </r>
  <r>
    <s v="ORD13629"/>
    <x v="3918"/>
    <s v="CUST1423"/>
    <s v="Customer 423"/>
    <x v="1"/>
    <s v="Andhra Pradesh"/>
    <x v="2"/>
    <s v="Monitors"/>
    <x v="11"/>
    <n v="4"/>
    <n v="10500"/>
    <x v="0"/>
    <n v="37800"/>
    <n v="30400"/>
    <n v="7400"/>
  </r>
  <r>
    <s v="ORD12600"/>
    <x v="3919"/>
    <s v="CUST1195"/>
    <s v="Customer 195"/>
    <x v="1"/>
    <s v="Telangana"/>
    <x v="1"/>
    <s v="Kitchen"/>
    <x v="4"/>
    <n v="1"/>
    <n v="6800"/>
    <x v="0"/>
    <n v="6120"/>
    <n v="4700"/>
    <n v="1420"/>
  </r>
  <r>
    <s v="ORD13763"/>
    <x v="3920"/>
    <s v="CUST1288"/>
    <s v="Customer 288"/>
    <x v="3"/>
    <s v="Punjab"/>
    <x v="2"/>
    <s v="Accessories"/>
    <x v="8"/>
    <n v="3"/>
    <n v="1800"/>
    <x v="4"/>
    <n v="5130"/>
    <n v="3300"/>
    <n v="1830"/>
  </r>
  <r>
    <s v="ORD11803"/>
    <x v="3921"/>
    <s v="CUST1228"/>
    <s v="Customer 228"/>
    <x v="1"/>
    <s v="Telangana"/>
    <x v="0"/>
    <s v="Stationery"/>
    <x v="15"/>
    <n v="3"/>
    <n v="450"/>
    <x v="3"/>
    <n v="1147.5"/>
    <n v="780"/>
    <n v="367.5"/>
  </r>
  <r>
    <s v="ORD12304"/>
    <x v="3922"/>
    <s v="CUST1440"/>
    <s v="Customer 440"/>
    <x v="1"/>
    <s v="Telangana"/>
    <x v="3"/>
    <s v="Storage"/>
    <x v="6"/>
    <n v="1"/>
    <n v="5600"/>
    <x v="1"/>
    <n v="4200"/>
    <n v="3900"/>
    <n v="300"/>
  </r>
  <r>
    <s v="ORD10439"/>
    <x v="3923"/>
    <s v="CUST1041"/>
    <s v="Customer 041"/>
    <x v="2"/>
    <s v="Goa"/>
    <x v="1"/>
    <s v="Appliances"/>
    <x v="7"/>
    <n v="3"/>
    <n v="2400"/>
    <x v="4"/>
    <n v="6840"/>
    <n v="4950"/>
    <n v="1890"/>
  </r>
  <r>
    <s v="ORD12100"/>
    <x v="3924"/>
    <s v="CUST1124"/>
    <s v="Customer 124"/>
    <x v="0"/>
    <s v="Odisha"/>
    <x v="2"/>
    <s v="Accessories"/>
    <x v="9"/>
    <n v="1"/>
    <n v="850"/>
    <x v="0"/>
    <n v="765"/>
    <n v="560"/>
    <n v="205"/>
  </r>
  <r>
    <s v="ORD11357"/>
    <x v="3925"/>
    <s v="CUST1173"/>
    <s v="Customer 173"/>
    <x v="2"/>
    <s v="Goa"/>
    <x v="1"/>
    <s v="Appliances"/>
    <x v="7"/>
    <n v="1"/>
    <n v="2400"/>
    <x v="4"/>
    <n v="2280"/>
    <n v="1650"/>
    <n v="630"/>
  </r>
  <r>
    <s v="ORD11246"/>
    <x v="3926"/>
    <s v="CUST1493"/>
    <s v="Customer 493"/>
    <x v="2"/>
    <s v="Maharashtra"/>
    <x v="0"/>
    <s v="Accessories"/>
    <x v="0"/>
    <n v="4"/>
    <n v="650"/>
    <x v="2"/>
    <n v="2600"/>
    <n v="1560"/>
    <n v="1040"/>
  </r>
  <r>
    <s v="ORD13021"/>
    <x v="3927"/>
    <s v="CUST1175"/>
    <s v="Customer 175"/>
    <x v="0"/>
    <s v="West Bengal"/>
    <x v="3"/>
    <s v="Tables"/>
    <x v="16"/>
    <n v="5"/>
    <n v="6200"/>
    <x v="3"/>
    <n v="26350"/>
    <n v="21500"/>
    <n v="4850"/>
  </r>
  <r>
    <s v="ORD11184"/>
    <x v="3928"/>
    <s v="CUST1225"/>
    <s v="Customer 225"/>
    <x v="1"/>
    <s v="Telangana"/>
    <x v="1"/>
    <s v="Appliances"/>
    <x v="7"/>
    <n v="4"/>
    <n v="2400"/>
    <x v="0"/>
    <n v="8640"/>
    <n v="6600"/>
    <n v="2040"/>
  </r>
  <r>
    <s v="ORD10089"/>
    <x v="3929"/>
    <s v="CUST1384"/>
    <s v="Customer 384"/>
    <x v="3"/>
    <s v="Uttar Pradesh"/>
    <x v="3"/>
    <s v="Storage"/>
    <x v="14"/>
    <n v="2"/>
    <n v="4800"/>
    <x v="0"/>
    <n v="8640"/>
    <n v="6600"/>
    <n v="2040"/>
  </r>
  <r>
    <s v="ORD11076"/>
    <x v="3930"/>
    <s v="CUST1082"/>
    <s v="Customer 082"/>
    <x v="0"/>
    <s v="Bihar"/>
    <x v="2"/>
    <s v="Audio"/>
    <x v="17"/>
    <n v="5"/>
    <n v="2800"/>
    <x v="2"/>
    <n v="14000"/>
    <n v="9000"/>
    <n v="5000"/>
  </r>
  <r>
    <s v="ORD10981"/>
    <x v="3931"/>
    <s v="CUST1295"/>
    <s v="Customer 295"/>
    <x v="2"/>
    <s v="Gujarat"/>
    <x v="3"/>
    <s v="Tables"/>
    <x v="16"/>
    <n v="3"/>
    <n v="6200"/>
    <x v="0"/>
    <n v="16740"/>
    <n v="12900"/>
    <n v="3840"/>
  </r>
  <r>
    <s v="ORD11140"/>
    <x v="3932"/>
    <s v="CUST1270"/>
    <s v="Customer 270"/>
    <x v="1"/>
    <s v="Andhra Pradesh"/>
    <x v="2"/>
    <s v="Audio"/>
    <x v="5"/>
    <n v="1"/>
    <n v="2200"/>
    <x v="3"/>
    <n v="1870"/>
    <n v="1450"/>
    <n v="420"/>
  </r>
  <r>
    <s v="ORD11250"/>
    <x v="3933"/>
    <s v="CUST1489"/>
    <s v="Customer 489"/>
    <x v="2"/>
    <s v="Maharashtra"/>
    <x v="1"/>
    <s v="Appliances"/>
    <x v="7"/>
    <n v="1"/>
    <n v="2400"/>
    <x v="2"/>
    <n v="2400"/>
    <n v="1650"/>
    <n v="750"/>
  </r>
  <r>
    <s v="ORD12865"/>
    <x v="3934"/>
    <s v="CUST1044"/>
    <s v="Customer 044"/>
    <x v="2"/>
    <s v="Goa"/>
    <x v="3"/>
    <s v="Storage"/>
    <x v="6"/>
    <n v="5"/>
    <n v="5600"/>
    <x v="2"/>
    <n v="28000"/>
    <n v="19500"/>
    <n v="8500"/>
  </r>
  <r>
    <s v="ORD12717"/>
    <x v="3935"/>
    <s v="CUST1217"/>
    <s v="Customer 217"/>
    <x v="1"/>
    <s v="Tamil Nadu"/>
    <x v="3"/>
    <s v="Tables"/>
    <x v="16"/>
    <n v="2"/>
    <n v="6200"/>
    <x v="0"/>
    <n v="11160"/>
    <n v="8600"/>
    <n v="2560"/>
  </r>
  <r>
    <s v="ORD12841"/>
    <x v="3936"/>
    <s v="CUST1219"/>
    <s v="Customer 219"/>
    <x v="0"/>
    <s v="West Bengal"/>
    <x v="0"/>
    <s v="Accessories"/>
    <x v="0"/>
    <n v="1"/>
    <n v="650"/>
    <x v="0"/>
    <n v="585"/>
    <n v="390"/>
    <n v="195"/>
  </r>
  <r>
    <s v="ORD10505"/>
    <x v="3937"/>
    <s v="CUST1138"/>
    <s v="Customer 138"/>
    <x v="1"/>
    <s v="Kerala"/>
    <x v="0"/>
    <s v="Stationery"/>
    <x v="18"/>
    <n v="4"/>
    <n v="300"/>
    <x v="3"/>
    <n v="1020"/>
    <n v="680"/>
    <n v="340"/>
  </r>
  <r>
    <s v="ORD11299"/>
    <x v="3938"/>
    <s v="CUST1266"/>
    <s v="Customer 266"/>
    <x v="2"/>
    <s v="Maharashtra"/>
    <x v="0"/>
    <s v="Stationery"/>
    <x v="18"/>
    <n v="5"/>
    <n v="300"/>
    <x v="0"/>
    <n v="1350"/>
    <n v="850"/>
    <n v="500"/>
  </r>
  <r>
    <s v="ORD13109"/>
    <x v="3939"/>
    <s v="CUST1451"/>
    <s v="Customer 451"/>
    <x v="2"/>
    <s v="Goa"/>
    <x v="3"/>
    <s v="Storage"/>
    <x v="6"/>
    <n v="3"/>
    <n v="5600"/>
    <x v="0"/>
    <n v="15120"/>
    <n v="11700"/>
    <n v="3420"/>
  </r>
  <r>
    <s v="ORD10616"/>
    <x v="3940"/>
    <s v="CUST1320"/>
    <s v="Customer 320"/>
    <x v="2"/>
    <s v="Rajasthan"/>
    <x v="0"/>
    <s v="Stationery"/>
    <x v="18"/>
    <n v="3"/>
    <n v="300"/>
    <x v="4"/>
    <n v="855"/>
    <n v="510"/>
    <n v="345"/>
  </r>
  <r>
    <s v="ORD12753"/>
    <x v="3941"/>
    <s v="CUST1292"/>
    <s v="Customer 292"/>
    <x v="1"/>
    <s v="Tamil Nadu"/>
    <x v="0"/>
    <s v="Stationery"/>
    <x v="18"/>
    <n v="5"/>
    <n v="300"/>
    <x v="2"/>
    <n v="1500"/>
    <n v="850"/>
    <n v="650"/>
  </r>
  <r>
    <s v="ORD10051"/>
    <x v="3942"/>
    <s v="CUST1380"/>
    <s v="Customer 380"/>
    <x v="0"/>
    <s v="West Bengal"/>
    <x v="3"/>
    <s v="Storage"/>
    <x v="14"/>
    <n v="3"/>
    <n v="4800"/>
    <x v="5"/>
    <n v="11520"/>
    <n v="9900"/>
    <n v="1620"/>
  </r>
  <r>
    <s v="ORD13608"/>
    <x v="3943"/>
    <s v="CUST1347"/>
    <s v="Customer 347"/>
    <x v="2"/>
    <s v="Gujarat"/>
    <x v="3"/>
    <s v="Storage"/>
    <x v="14"/>
    <n v="4"/>
    <n v="4800"/>
    <x v="5"/>
    <n v="15360"/>
    <n v="13200"/>
    <n v="2160"/>
  </r>
  <r>
    <s v="ORD12689"/>
    <x v="3944"/>
    <s v="CUST1320"/>
    <s v="Customer 320"/>
    <x v="3"/>
    <s v="Punjab"/>
    <x v="3"/>
    <s v="Storage"/>
    <x v="6"/>
    <n v="1"/>
    <n v="5600"/>
    <x v="3"/>
    <n v="4760"/>
    <n v="3900"/>
    <n v="860"/>
  </r>
  <r>
    <s v="ORD13720"/>
    <x v="3945"/>
    <s v="CUST1132"/>
    <s v="Customer 132"/>
    <x v="1"/>
    <s v="Telangana"/>
    <x v="1"/>
    <s v="Appliances"/>
    <x v="7"/>
    <n v="4"/>
    <n v="2400"/>
    <x v="0"/>
    <n v="8640"/>
    <n v="6600"/>
    <n v="2040"/>
  </r>
  <r>
    <s v="ORD10425"/>
    <x v="3946"/>
    <s v="CUST1209"/>
    <s v="Customer 209"/>
    <x v="0"/>
    <s v="Odisha"/>
    <x v="3"/>
    <s v="Chairs"/>
    <x v="12"/>
    <n v="3"/>
    <n v="7500"/>
    <x v="3"/>
    <n v="19125"/>
    <n v="15600"/>
    <n v="3525"/>
  </r>
  <r>
    <s v="ORD11159"/>
    <x v="3947"/>
    <s v="CUST1193"/>
    <s v="Customer 193"/>
    <x v="0"/>
    <s v="West Bengal"/>
    <x v="2"/>
    <s v="Accessories"/>
    <x v="9"/>
    <n v="2"/>
    <n v="850"/>
    <x v="2"/>
    <n v="1700"/>
    <n v="1120"/>
    <n v="580"/>
  </r>
  <r>
    <s v="ORD12226"/>
    <x v="3948"/>
    <s v="CUST1310"/>
    <s v="Customer 310"/>
    <x v="0"/>
    <s v="Bihar"/>
    <x v="0"/>
    <s v="Stationery"/>
    <x v="15"/>
    <n v="1"/>
    <n v="450"/>
    <x v="5"/>
    <n v="360"/>
    <n v="260"/>
    <n v="100"/>
  </r>
  <r>
    <s v="ORD10849"/>
    <x v="3949"/>
    <s v="CUST1410"/>
    <s v="Customer 410"/>
    <x v="3"/>
    <s v="Punjab"/>
    <x v="0"/>
    <s v="Stationery"/>
    <x v="18"/>
    <n v="5"/>
    <n v="300"/>
    <x v="1"/>
    <n v="1125"/>
    <n v="850"/>
    <n v="275"/>
  </r>
  <r>
    <s v="ORD10829"/>
    <x v="3950"/>
    <s v="CUST1432"/>
    <s v="Customer 432"/>
    <x v="3"/>
    <s v="Haryana"/>
    <x v="2"/>
    <s v="Accessories"/>
    <x v="9"/>
    <n v="3"/>
    <n v="850"/>
    <x v="3"/>
    <n v="2167.5"/>
    <n v="1680"/>
    <n v="487.5"/>
  </r>
  <r>
    <s v="ORD11599"/>
    <x v="3951"/>
    <s v="CUST1423"/>
    <s v="Customer 423"/>
    <x v="0"/>
    <s v="Jharkhand"/>
    <x v="0"/>
    <s v="Paper"/>
    <x v="3"/>
    <n v="1"/>
    <n v="520"/>
    <x v="0"/>
    <n v="468"/>
    <n v="330"/>
    <n v="138"/>
  </r>
  <r>
    <s v="ORD10871"/>
    <x v="3952"/>
    <s v="CUST1229"/>
    <s v="Customer 229"/>
    <x v="2"/>
    <s v="Goa"/>
    <x v="3"/>
    <s v="Chairs"/>
    <x v="12"/>
    <n v="1"/>
    <n v="7500"/>
    <x v="0"/>
    <n v="6750"/>
    <n v="5200"/>
    <n v="1550"/>
  </r>
  <r>
    <s v="ORD13556"/>
    <x v="3953"/>
    <s v="CUST1224"/>
    <s v="Customer 224"/>
    <x v="0"/>
    <s v="Jharkhand"/>
    <x v="3"/>
    <s v="Storage"/>
    <x v="6"/>
    <n v="2"/>
    <n v="5600"/>
    <x v="3"/>
    <n v="9520"/>
    <n v="7800"/>
    <n v="1720"/>
  </r>
  <r>
    <s v="ORD11421"/>
    <x v="3954"/>
    <s v="CUST1475"/>
    <s v="Customer 475"/>
    <x v="3"/>
    <s v="Delhi"/>
    <x v="2"/>
    <s v="Accessories"/>
    <x v="13"/>
    <n v="2"/>
    <n v="1400"/>
    <x v="5"/>
    <n v="2240"/>
    <n v="1800"/>
    <n v="440"/>
  </r>
  <r>
    <s v="ORD10113"/>
    <x v="3955"/>
    <s v="CUST1278"/>
    <s v="Customer 278"/>
    <x v="1"/>
    <s v="Andhra Pradesh"/>
    <x v="1"/>
    <s v="Kitchen"/>
    <x v="1"/>
    <n v="2"/>
    <n v="1900"/>
    <x v="3"/>
    <n v="3230"/>
    <n v="2500"/>
    <n v="730"/>
  </r>
  <r>
    <s v="ORD13460"/>
    <x v="3956"/>
    <s v="CUST1199"/>
    <s v="Customer 199"/>
    <x v="1"/>
    <s v="Tamil Nadu"/>
    <x v="2"/>
    <s v="Accessories"/>
    <x v="8"/>
    <n v="3"/>
    <n v="1800"/>
    <x v="2"/>
    <n v="5400"/>
    <n v="3300"/>
    <n v="2100"/>
  </r>
  <r>
    <s v="ORD13667"/>
    <x v="3957"/>
    <s v="CUST1295"/>
    <s v="Customer 295"/>
    <x v="1"/>
    <s v="Kerala"/>
    <x v="0"/>
    <s v="Stationery"/>
    <x v="18"/>
    <n v="5"/>
    <n v="300"/>
    <x v="0"/>
    <n v="1350"/>
    <n v="850"/>
    <n v="500"/>
  </r>
  <r>
    <s v="ORD11029"/>
    <x v="3958"/>
    <s v="CUST1283"/>
    <s v="Customer 283"/>
    <x v="2"/>
    <s v="Maharashtra"/>
    <x v="2"/>
    <s v="Audio"/>
    <x v="5"/>
    <n v="3"/>
    <n v="2200"/>
    <x v="2"/>
    <n v="6600"/>
    <n v="4350"/>
    <n v="2250"/>
  </r>
  <r>
    <s v="ORD10187"/>
    <x v="3959"/>
    <s v="CUST1084"/>
    <s v="Customer 084"/>
    <x v="3"/>
    <s v="Delhi"/>
    <x v="3"/>
    <s v="Tables"/>
    <x v="16"/>
    <n v="5"/>
    <n v="6200"/>
    <x v="0"/>
    <n v="27900"/>
    <n v="21500"/>
    <n v="6400"/>
  </r>
  <r>
    <s v="ORD13756"/>
    <x v="3960"/>
    <s v="CUST1161"/>
    <s v="Customer 161"/>
    <x v="2"/>
    <s v="Rajasthan"/>
    <x v="0"/>
    <s v="Paper"/>
    <x v="3"/>
    <n v="5"/>
    <n v="520"/>
    <x v="5"/>
    <n v="2080"/>
    <n v="1650"/>
    <n v="430"/>
  </r>
  <r>
    <s v="ORD12799"/>
    <x v="3961"/>
    <s v="CUST1354"/>
    <s v="Customer 354"/>
    <x v="3"/>
    <s v="Delhi"/>
    <x v="1"/>
    <s v="Appliances"/>
    <x v="7"/>
    <n v="3"/>
    <n v="2400"/>
    <x v="0"/>
    <n v="6480"/>
    <n v="4950"/>
    <n v="1530"/>
  </r>
  <r>
    <s v="ORD11995"/>
    <x v="3962"/>
    <s v="CUST1377"/>
    <s v="Customer 377"/>
    <x v="1"/>
    <s v="Kerala"/>
    <x v="3"/>
    <s v="Chairs"/>
    <x v="12"/>
    <n v="5"/>
    <n v="7500"/>
    <x v="5"/>
    <n v="30000"/>
    <n v="26000"/>
    <n v="4000"/>
  </r>
  <r>
    <s v="ORD10637"/>
    <x v="3963"/>
    <s v="CUST1118"/>
    <s v="Customer 118"/>
    <x v="2"/>
    <s v="Rajasthan"/>
    <x v="2"/>
    <s v="Accessories"/>
    <x v="9"/>
    <n v="1"/>
    <n v="850"/>
    <x v="3"/>
    <n v="722.5"/>
    <n v="560"/>
    <n v="162.5"/>
  </r>
  <r>
    <s v="ORD13698"/>
    <x v="3964"/>
    <s v="CUST1207"/>
    <s v="Customer 207"/>
    <x v="0"/>
    <s v="West Bengal"/>
    <x v="3"/>
    <s v="Storage"/>
    <x v="6"/>
    <n v="1"/>
    <n v="5600"/>
    <x v="4"/>
    <n v="5320"/>
    <n v="3900"/>
    <n v="1420"/>
  </r>
  <r>
    <s v="ORD13154"/>
    <x v="3965"/>
    <s v="CUST1397"/>
    <s v="Customer 397"/>
    <x v="1"/>
    <s v="Andhra Pradesh"/>
    <x v="0"/>
    <s v="Stationery"/>
    <x v="10"/>
    <n v="5"/>
    <n v="280"/>
    <x v="4"/>
    <n v="1330"/>
    <n v="800"/>
    <n v="530"/>
  </r>
  <r>
    <s v="ORD10208"/>
    <x v="3966"/>
    <s v="CUST1485"/>
    <s v="Customer 485"/>
    <x v="2"/>
    <s v="Rajasthan"/>
    <x v="2"/>
    <s v="Audio"/>
    <x v="17"/>
    <n v="2"/>
    <n v="2800"/>
    <x v="5"/>
    <n v="4480"/>
    <n v="3600"/>
    <n v="880"/>
  </r>
  <r>
    <s v="ORD10925"/>
    <x v="3967"/>
    <s v="CUST1125"/>
    <s v="Customer 125"/>
    <x v="1"/>
    <s v="Karnataka"/>
    <x v="3"/>
    <s v="Storage"/>
    <x v="6"/>
    <n v="5"/>
    <n v="5600"/>
    <x v="4"/>
    <n v="26600"/>
    <n v="19500"/>
    <n v="7100"/>
  </r>
  <r>
    <s v="ORD13963"/>
    <x v="3968"/>
    <s v="CUST1329"/>
    <s v="Customer 329"/>
    <x v="2"/>
    <s v="Maharashtra"/>
    <x v="0"/>
    <s v="Stationery"/>
    <x v="15"/>
    <n v="3"/>
    <n v="450"/>
    <x v="4"/>
    <n v="1282.5"/>
    <n v="780"/>
    <n v="502.5"/>
  </r>
  <r>
    <s v="ORD10153"/>
    <x v="3969"/>
    <s v="CUST1459"/>
    <s v="Customer 459"/>
    <x v="3"/>
    <s v="Haryana"/>
    <x v="0"/>
    <s v="Stationery"/>
    <x v="10"/>
    <n v="1"/>
    <n v="280"/>
    <x v="2"/>
    <n v="280"/>
    <n v="160"/>
    <n v="120"/>
  </r>
  <r>
    <s v="ORD11695"/>
    <x v="3970"/>
    <s v="CUST1081"/>
    <s v="Customer 081"/>
    <x v="3"/>
    <s v="Delhi"/>
    <x v="3"/>
    <s v="Tables"/>
    <x v="16"/>
    <n v="2"/>
    <n v="6200"/>
    <x v="3"/>
    <n v="10540"/>
    <n v="8600"/>
    <n v="1940"/>
  </r>
  <r>
    <s v="ORD11314"/>
    <x v="3971"/>
    <s v="CUST1427"/>
    <s v="Customer 427"/>
    <x v="2"/>
    <s v="Goa"/>
    <x v="0"/>
    <s v="Stationery"/>
    <x v="15"/>
    <n v="3"/>
    <n v="450"/>
    <x v="3"/>
    <n v="1147.5"/>
    <n v="780"/>
    <n v="367.5"/>
  </r>
  <r>
    <s v="ORD13524"/>
    <x v="3972"/>
    <s v="CUST1085"/>
    <s v="Customer 085"/>
    <x v="3"/>
    <s v="Uttar Pradesh"/>
    <x v="2"/>
    <s v="Audio"/>
    <x v="17"/>
    <n v="3"/>
    <n v="2800"/>
    <x v="1"/>
    <n v="6300"/>
    <n v="5400"/>
    <n v="900"/>
  </r>
  <r>
    <s v="ORD10094"/>
    <x v="3973"/>
    <s v="CUST1194"/>
    <s v="Customer 194"/>
    <x v="1"/>
    <s v="Karnataka"/>
    <x v="1"/>
    <s v="Kitchen"/>
    <x v="4"/>
    <n v="3"/>
    <n v="6800"/>
    <x v="0"/>
    <n v="18360"/>
    <n v="14100"/>
    <n v="4260"/>
  </r>
  <r>
    <s v="ORD12117"/>
    <x v="3974"/>
    <s v="CUST1481"/>
    <s v="Customer 481"/>
    <x v="2"/>
    <s v="Rajasthan"/>
    <x v="1"/>
    <s v="Appliances"/>
    <x v="7"/>
    <n v="4"/>
    <n v="2400"/>
    <x v="0"/>
    <n v="8640"/>
    <n v="6600"/>
    <n v="2040"/>
  </r>
  <r>
    <s v="ORD13008"/>
    <x v="3975"/>
    <s v="CUST1213"/>
    <s v="Customer 213"/>
    <x v="2"/>
    <s v="Gujarat"/>
    <x v="0"/>
    <s v="Paper"/>
    <x v="3"/>
    <n v="3"/>
    <n v="520"/>
    <x v="1"/>
    <n v="1170"/>
    <n v="990"/>
    <n v="180"/>
  </r>
  <r>
    <s v="ORD10548"/>
    <x v="3976"/>
    <s v="CUST1296"/>
    <s v="Customer 296"/>
    <x v="1"/>
    <s v="Tamil Nadu"/>
    <x v="3"/>
    <s v="Chairs"/>
    <x v="12"/>
    <n v="4"/>
    <n v="7500"/>
    <x v="3"/>
    <n v="25500"/>
    <n v="20800"/>
    <n v="4700"/>
  </r>
  <r>
    <s v="ORD11091"/>
    <x v="3977"/>
    <s v="CUST1252"/>
    <s v="Customer 252"/>
    <x v="0"/>
    <s v="West Bengal"/>
    <x v="0"/>
    <s v="Stationery"/>
    <x v="10"/>
    <n v="1"/>
    <n v="280"/>
    <x v="5"/>
    <n v="224"/>
    <n v="160"/>
    <n v="64"/>
  </r>
  <r>
    <s v="ORD11782"/>
    <x v="3978"/>
    <s v="CUST1170"/>
    <s v="Customer 170"/>
    <x v="3"/>
    <s v="Haryana"/>
    <x v="3"/>
    <s v="Storage"/>
    <x v="14"/>
    <n v="1"/>
    <n v="4800"/>
    <x v="3"/>
    <n v="4080"/>
    <n v="3300"/>
    <n v="780"/>
  </r>
  <r>
    <s v="ORD11677"/>
    <x v="3979"/>
    <s v="CUST1075"/>
    <s v="Customer 075"/>
    <x v="1"/>
    <s v="Karnataka"/>
    <x v="0"/>
    <s v="Accessories"/>
    <x v="0"/>
    <n v="4"/>
    <n v="650"/>
    <x v="3"/>
    <n v="2210"/>
    <n v="1560"/>
    <n v="650"/>
  </r>
  <r>
    <s v="ORD10557"/>
    <x v="3980"/>
    <s v="CUST1369"/>
    <s v="Customer 369"/>
    <x v="1"/>
    <s v="Tamil Nadu"/>
    <x v="0"/>
    <s v="Stationery"/>
    <x v="10"/>
    <n v="4"/>
    <n v="280"/>
    <x v="3"/>
    <n v="952"/>
    <n v="640"/>
    <n v="312"/>
  </r>
  <r>
    <s v="ORD12653"/>
    <x v="3981"/>
    <s v="CUST1495"/>
    <s v="Customer 495"/>
    <x v="1"/>
    <s v="Tamil Nadu"/>
    <x v="0"/>
    <s v="Stationery"/>
    <x v="15"/>
    <n v="1"/>
    <n v="450"/>
    <x v="1"/>
    <n v="337.5"/>
    <n v="260"/>
    <n v="77.5"/>
  </r>
  <r>
    <s v="ORD10569"/>
    <x v="3982"/>
    <s v="CUST1322"/>
    <s v="Customer 322"/>
    <x v="2"/>
    <s v="Rajasthan"/>
    <x v="0"/>
    <s v="Accessories"/>
    <x v="0"/>
    <n v="4"/>
    <n v="650"/>
    <x v="3"/>
    <n v="2210"/>
    <n v="1560"/>
    <n v="650"/>
  </r>
  <r>
    <s v="ORD11126"/>
    <x v="3983"/>
    <s v="CUST1422"/>
    <s v="Customer 422"/>
    <x v="1"/>
    <s v="Tamil Nadu"/>
    <x v="1"/>
    <s v="Kitchen"/>
    <x v="4"/>
    <n v="1"/>
    <n v="6800"/>
    <x v="5"/>
    <n v="5440"/>
    <n v="4700"/>
    <n v="740"/>
  </r>
  <r>
    <s v="ORD10831"/>
    <x v="3984"/>
    <s v="CUST1123"/>
    <s v="Customer 123"/>
    <x v="1"/>
    <s v="Andhra Pradesh"/>
    <x v="2"/>
    <s v="Accessories"/>
    <x v="8"/>
    <n v="4"/>
    <n v="1800"/>
    <x v="5"/>
    <n v="5760"/>
    <n v="4400"/>
    <n v="1360"/>
  </r>
  <r>
    <s v="ORD10677"/>
    <x v="3985"/>
    <s v="CUST1291"/>
    <s v="Customer 291"/>
    <x v="2"/>
    <s v="Gujarat"/>
    <x v="0"/>
    <s v="Accessories"/>
    <x v="0"/>
    <n v="1"/>
    <n v="650"/>
    <x v="3"/>
    <n v="552.5"/>
    <n v="390"/>
    <n v="162.5"/>
  </r>
  <r>
    <s v="ORD12713"/>
    <x v="3986"/>
    <s v="CUST1471"/>
    <s v="Customer 471"/>
    <x v="2"/>
    <s v="Rajasthan"/>
    <x v="3"/>
    <s v="Tables"/>
    <x v="16"/>
    <n v="5"/>
    <n v="6200"/>
    <x v="0"/>
    <n v="27900"/>
    <n v="21500"/>
    <n v="6400"/>
  </r>
  <r>
    <s v="ORD12067"/>
    <x v="3987"/>
    <s v="CUST1363"/>
    <s v="Customer 363"/>
    <x v="1"/>
    <s v="Kerala"/>
    <x v="3"/>
    <s v="Storage"/>
    <x v="6"/>
    <n v="2"/>
    <n v="5600"/>
    <x v="0"/>
    <n v="10080"/>
    <n v="7800"/>
    <n v="2280"/>
  </r>
  <r>
    <s v="ORD12411"/>
    <x v="3988"/>
    <s v="CUST1266"/>
    <s v="Customer 266"/>
    <x v="1"/>
    <s v="Andhra Pradesh"/>
    <x v="3"/>
    <s v="Tables"/>
    <x v="16"/>
    <n v="4"/>
    <n v="6200"/>
    <x v="2"/>
    <n v="24800"/>
    <n v="17200"/>
    <n v="7600"/>
  </r>
  <r>
    <s v="ORD13537"/>
    <x v="3989"/>
    <s v="CUST1016"/>
    <s v="Customer 016"/>
    <x v="1"/>
    <s v="Karnataka"/>
    <x v="3"/>
    <s v="Storage"/>
    <x v="6"/>
    <n v="5"/>
    <n v="5600"/>
    <x v="4"/>
    <n v="26600"/>
    <n v="19500"/>
    <n v="7100"/>
  </r>
  <r>
    <s v="ORD12447"/>
    <x v="3990"/>
    <s v="CUST1387"/>
    <s v="Customer 387"/>
    <x v="1"/>
    <s v="Telangana"/>
    <x v="1"/>
    <s v="Kitchen"/>
    <x v="1"/>
    <n v="3"/>
    <n v="1900"/>
    <x v="4"/>
    <n v="5415"/>
    <n v="3750"/>
    <n v="1665"/>
  </r>
  <r>
    <s v="ORD13026"/>
    <x v="3991"/>
    <s v="CUST1314"/>
    <s v="Customer 314"/>
    <x v="2"/>
    <s v="Maharashtra"/>
    <x v="0"/>
    <s v="Accessories"/>
    <x v="0"/>
    <n v="3"/>
    <n v="650"/>
    <x v="0"/>
    <n v="1755"/>
    <n v="1170"/>
    <n v="585"/>
  </r>
  <r>
    <s v="ORD11727"/>
    <x v="3992"/>
    <s v="CUST1475"/>
    <s v="Customer 475"/>
    <x v="0"/>
    <s v="West Bengal"/>
    <x v="2"/>
    <s v="Accessories"/>
    <x v="13"/>
    <n v="4"/>
    <n v="1400"/>
    <x v="3"/>
    <n v="4760"/>
    <n v="3600"/>
    <n v="1160"/>
  </r>
  <r>
    <s v="ORD11315"/>
    <x v="3993"/>
    <s v="CUST1452"/>
    <s v="Customer 452"/>
    <x v="1"/>
    <s v="Telangana"/>
    <x v="2"/>
    <s v="Accessories"/>
    <x v="9"/>
    <n v="3"/>
    <n v="850"/>
    <x v="0"/>
    <n v="2295"/>
    <n v="1680"/>
    <n v="615"/>
  </r>
  <r>
    <s v="ORD12537"/>
    <x v="3994"/>
    <s v="CUST1164"/>
    <s v="Customer 164"/>
    <x v="2"/>
    <s v="Gujarat"/>
    <x v="0"/>
    <s v="Stationery"/>
    <x v="15"/>
    <n v="1"/>
    <n v="450"/>
    <x v="0"/>
    <n v="405"/>
    <n v="260"/>
    <n v="145"/>
  </r>
  <r>
    <s v="ORD13207"/>
    <x v="3995"/>
    <s v="CUST1500"/>
    <s v="Customer 500"/>
    <x v="1"/>
    <s v="Kerala"/>
    <x v="3"/>
    <s v="Chairs"/>
    <x v="12"/>
    <n v="1"/>
    <n v="7500"/>
    <x v="4"/>
    <n v="7125"/>
    <n v="5200"/>
    <n v="1925"/>
  </r>
  <r>
    <s v="ORD13781"/>
    <x v="3996"/>
    <s v="CUST1029"/>
    <s v="Customer 029"/>
    <x v="0"/>
    <s v="West Bengal"/>
    <x v="2"/>
    <s v="Audio"/>
    <x v="17"/>
    <n v="4"/>
    <n v="2800"/>
    <x v="0"/>
    <n v="10080"/>
    <n v="7200"/>
    <n v="2880"/>
  </r>
  <r>
    <s v="ORD10994"/>
    <x v="3997"/>
    <s v="CUST1216"/>
    <s v="Customer 216"/>
    <x v="2"/>
    <s v="Gujarat"/>
    <x v="3"/>
    <s v="Tables"/>
    <x v="16"/>
    <n v="4"/>
    <n v="6200"/>
    <x v="3"/>
    <n v="21080"/>
    <n v="17200"/>
    <n v="3880"/>
  </r>
  <r>
    <s v="ORD11551"/>
    <x v="3998"/>
    <s v="CUST1141"/>
    <s v="Customer 141"/>
    <x v="3"/>
    <s v="Haryana"/>
    <x v="1"/>
    <s v="Appliances"/>
    <x v="7"/>
    <n v="1"/>
    <n v="2400"/>
    <x v="3"/>
    <n v="2040"/>
    <n v="1650"/>
    <n v="390"/>
  </r>
  <r>
    <s v="ORD13574"/>
    <x v="3999"/>
    <s v="CUST1166"/>
    <s v="Customer 166"/>
    <x v="3"/>
    <s v="Haryana"/>
    <x v="1"/>
    <s v="Kitchen"/>
    <x v="4"/>
    <n v="2"/>
    <n v="6800"/>
    <x v="4"/>
    <n v="12920"/>
    <n v="9400"/>
    <n v="35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A977F-59F2-4304-B2D6-BA0A015CEE9C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A3:B8" firstHeaderRow="1" firstDataRow="1" firstDataCol="1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ragToRow="0" dragToCol="0" dragToPage="0" showAll="0" defaultSubtotal="0"/>
  </pivotFields>
  <rowFields count="1">
    <field x="6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ales Amount" fld="12" baseField="6" baseItem="0" numFmtId="164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2B236-B9D9-4B4E-904A-24A41AF12192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7" firstHeaderRow="1" firstDataRow="1" firstDataCol="1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ragToRow="0" dragToCol="0" dragToPage="0" showAll="0" defaultSubtotal="0"/>
  </pivotFields>
  <rowFields count="1">
    <field x="6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Profit" fld="14" baseField="6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615DB-049B-4540-AA3D-8119454EAB56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3" firstHeaderRow="1" firstDataRow="1" firstDataCol="1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0">
        <item x="4"/>
        <item x="5"/>
        <item x="14"/>
        <item x="0"/>
        <item x="1"/>
        <item x="6"/>
        <item x="17"/>
        <item x="13"/>
        <item x="8"/>
        <item x="2"/>
        <item x="11"/>
        <item x="15"/>
        <item x="12"/>
        <item x="18"/>
        <item x="3"/>
        <item x="10"/>
        <item x="16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ragToRow="0" dragToCol="0" dragToPage="0" showAll="0" defaultSubtotal="0"/>
  </pivotFields>
  <rowFields count="1">
    <field x="8"/>
  </rowFields>
  <rowItems count="11">
    <i>
      <x v="10"/>
    </i>
    <i>
      <x v="12"/>
    </i>
    <i>
      <x/>
    </i>
    <i>
      <x v="16"/>
    </i>
    <i>
      <x v="5"/>
    </i>
    <i>
      <x v="2"/>
    </i>
    <i>
      <x v="9"/>
    </i>
    <i>
      <x v="6"/>
    </i>
    <i>
      <x v="1"/>
    </i>
    <i>
      <x v="17"/>
    </i>
    <i t="grand">
      <x/>
    </i>
  </rowItems>
  <colItems count="1">
    <i/>
  </colItems>
  <dataFields count="1">
    <dataField name="Sum of Sales" fld="12" baseField="8" baseItem="1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31C5E-3B9B-4C50-A404-A90FCF470DCD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7" firstHeaderRow="1" firstDataRow="1" firstDataCol="1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ragToRow="0" dragToCol="0" dragToPage="0" showAll="0" defaultSubtotal="0"/>
  </pivotFields>
  <rowFields count="1">
    <field x="4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Sales" fld="12" baseField="4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561A6-2FBF-4882-B63F-0E9D3662908E}" name="PivotTable10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Discount %">
  <location ref="A1:D8" firstHeaderRow="0" firstDataRow="1" firstDataCol="1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74" showAll="0">
      <items count="7">
        <item x="2"/>
        <item x="4"/>
        <item x="0"/>
        <item x="3"/>
        <item x="5"/>
        <item x="1"/>
        <item t="default"/>
      </items>
    </pivotField>
    <pivotField dataField="1" showAll="0"/>
    <pivotField showAll="0"/>
    <pivotField dataField="1"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dragToRow="0" dragToCol="0" dragToPage="0" showAll="0" defaultSubtota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11" baseItem="0" numFmtId="166"/>
    <dataField name="Sum of Profit" fld="14" baseField="11" baseItem="0" numFmtId="166"/>
    <dataField name="Profit_Margin" fld="17" baseField="11" baseItem="0" numFmtId="9"/>
  </dataFields>
  <formats count="2">
    <format dxfId="0">
      <pivotArea collapsedLevelsAreSubtotals="1" fieldPosition="0">
        <references count="2">
          <reference field="4294967294" count="1" selected="0">
            <x v="2"/>
          </reference>
          <reference field="11" count="1">
            <x v="0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C9480-CBA9-4E01-99D0-6B97AA95234C}" name="PivotTable1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M1" firstHeaderRow="0" firstDataRow="0" firstDataCol="0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ECBF6-2CF3-4BBF-8C52-A622463C302E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N16" firstHeaderRow="1" firstDataRow="2" firstDataCol="1"/>
  <pivotFields count="18">
    <pivotField showAll="0"/>
    <pivotField numFmtId="14" showAll="0">
      <items count="4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1">
    <field x="1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Sales" fld="12" baseField="15" baseItem="1" numFmtId="166"/>
  </dataFields>
  <formats count="2">
    <format dxfId="10">
      <pivotArea dataOnly="0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B7E45-AD06-46BC-892B-E5DE0205DC93}" name="Table3" displayName="Table3" ref="A1:B4" totalsRowShown="0">
  <autoFilter ref="A1:B4" xr:uid="{26CB7E45-AD06-46BC-892B-E5DE0205DC93}"/>
  <tableColumns count="2">
    <tableColumn id="1" xr3:uid="{F3558AE9-92FF-4F13-8AAC-04A42CE7D6C1}" name="Metric"/>
    <tableColumn id="2" xr3:uid="{AA73CBDA-D661-4C97-813F-5D95046FA0D4}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BE889-7197-4429-A81A-D02E5B17B32C}" name="SalesData" displayName="SalesData" ref="A1:O4001" totalsRowShown="0" headerRowDxfId="8" headerRowBorderDxfId="7" tableBorderDxfId="6">
  <autoFilter ref="A1:O4001" xr:uid="{FEABE889-7197-4429-A81A-D02E5B17B32C}"/>
  <tableColumns count="15">
    <tableColumn id="1" xr3:uid="{C5D9BC2A-02A4-48A2-A06D-31502322512C}" name="Order ID"/>
    <tableColumn id="2" xr3:uid="{ECD2E45D-1313-48E1-9B7E-3E91C0C1AF89}" name="Order Date" dataDxfId="5"/>
    <tableColumn id="3" xr3:uid="{42D961E9-86ED-4953-9196-6EC8911B4F2E}" name="Customer ID"/>
    <tableColumn id="4" xr3:uid="{28FF240B-25B4-4A89-8456-C173A484B0DB}" name="Customer Name"/>
    <tableColumn id="5" xr3:uid="{EF6EFDD2-FE55-42E3-BB9C-CD88ED630857}" name="Region"/>
    <tableColumn id="6" xr3:uid="{49B94D59-8E1A-4A78-B756-14F1F1F08B12}" name="State"/>
    <tableColumn id="7" xr3:uid="{70C9ED65-84BD-42E9-B308-33A9396F2AE4}" name="Category"/>
    <tableColumn id="8" xr3:uid="{22C608FD-FEBA-4D5E-8369-0514A81AD42F}" name="Sub-Category"/>
    <tableColumn id="9" xr3:uid="{580A6968-9638-4636-88F8-51142C666FD7}" name="Product"/>
    <tableColumn id="10" xr3:uid="{5DF1C28A-C9FD-40FA-9CB3-DF860BE625FE}" name="Quantity"/>
    <tableColumn id="11" xr3:uid="{D6E68E60-B3DF-4040-B532-A798BFE1E903}" name="Unit Price"/>
    <tableColumn id="12" xr3:uid="{5DE9D55B-4D28-417C-9252-34818EC60BD7}" name="Discount"/>
    <tableColumn id="13" xr3:uid="{EEE81F05-A472-4331-93DB-0944A9C918D5}" name="Sales"/>
    <tableColumn id="14" xr3:uid="{1EBB3E8D-163D-4B3F-80CF-609597DEB27A}" name="Cost"/>
    <tableColumn id="15" xr3:uid="{C12011D3-CB03-4923-8211-46D187000461}" name="Prof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6B5E3-EB9A-42EC-A803-607CDBF3E67D}" name="Table2" displayName="Table2" ref="Q2:R4" totalsRowShown="0">
  <autoFilter ref="Q2:R4" xr:uid="{8546B5E3-EB9A-42EC-A803-607CDBF3E67D}"/>
  <tableColumns count="2">
    <tableColumn id="1" xr3:uid="{C5985D82-940E-4B47-9ACD-EF77774E92FB}" name="Total"/>
    <tableColumn id="2" xr3:uid="{38A7CCB9-9118-4C5B-BCBB-C869393DE778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D1C3-49F5-421E-8B88-2B0797EF365A}">
  <dimension ref="A2:B8"/>
  <sheetViews>
    <sheetView workbookViewId="0">
      <selection activeCell="D12" sqref="D12"/>
    </sheetView>
  </sheetViews>
  <sheetFormatPr defaultRowHeight="15" x14ac:dyDescent="0.25"/>
  <cols>
    <col min="1" max="1" width="16.5703125" bestFit="1" customWidth="1"/>
    <col min="2" max="2" width="15" bestFit="1" customWidth="1"/>
  </cols>
  <sheetData>
    <row r="2" spans="1:2" x14ac:dyDescent="0.25">
      <c r="A2" s="9" t="s">
        <v>5099</v>
      </c>
      <c r="B2" s="9"/>
    </row>
    <row r="3" spans="1:2" x14ac:dyDescent="0.25">
      <c r="A3" s="5" t="s">
        <v>6</v>
      </c>
      <c r="B3" t="s">
        <v>5100</v>
      </c>
    </row>
    <row r="4" spans="1:2" x14ac:dyDescent="0.25">
      <c r="A4" s="6" t="s">
        <v>57</v>
      </c>
      <c r="B4" s="7">
        <v>14101035</v>
      </c>
    </row>
    <row r="5" spans="1:2" x14ac:dyDescent="0.25">
      <c r="A5" s="6" t="s">
        <v>51</v>
      </c>
      <c r="B5" s="7">
        <v>11929040</v>
      </c>
    </row>
    <row r="6" spans="1:2" x14ac:dyDescent="0.25">
      <c r="A6" s="6" t="s">
        <v>28</v>
      </c>
      <c r="B6" s="7">
        <v>7373445</v>
      </c>
    </row>
    <row r="7" spans="1:2" x14ac:dyDescent="0.25">
      <c r="A7" s="6" t="s">
        <v>20</v>
      </c>
      <c r="B7" s="7">
        <v>1349919</v>
      </c>
    </row>
    <row r="8" spans="1:2" x14ac:dyDescent="0.25">
      <c r="A8" s="6" t="s">
        <v>5071</v>
      </c>
      <c r="B8" s="7">
        <v>34753439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B3C7-22F9-45CF-B797-83E4DC67FEAA}">
  <dimension ref="A1:B7"/>
  <sheetViews>
    <sheetView workbookViewId="0">
      <selection activeCell="L9" sqref="L9"/>
    </sheetView>
  </sheetViews>
  <sheetFormatPr defaultRowHeight="15" x14ac:dyDescent="0.25"/>
  <cols>
    <col min="1" max="1" width="16.5703125" bestFit="1" customWidth="1"/>
    <col min="2" max="2" width="12.5703125" bestFit="1" customWidth="1"/>
  </cols>
  <sheetData>
    <row r="1" spans="1:2" x14ac:dyDescent="0.25">
      <c r="A1" s="9" t="s">
        <v>5102</v>
      </c>
      <c r="B1" s="9"/>
    </row>
    <row r="2" spans="1:2" x14ac:dyDescent="0.25">
      <c r="A2" s="5" t="s">
        <v>5098</v>
      </c>
      <c r="B2" t="s">
        <v>5101</v>
      </c>
    </row>
    <row r="3" spans="1:2" x14ac:dyDescent="0.25">
      <c r="A3" s="6" t="s">
        <v>57</v>
      </c>
      <c r="B3" s="8">
        <v>3142435</v>
      </c>
    </row>
    <row r="4" spans="1:2" x14ac:dyDescent="0.25">
      <c r="A4" s="6" t="s">
        <v>51</v>
      </c>
      <c r="B4" s="8">
        <v>2691280</v>
      </c>
    </row>
    <row r="5" spans="1:2" x14ac:dyDescent="0.25">
      <c r="A5" s="6" t="s">
        <v>28</v>
      </c>
      <c r="B5" s="8">
        <v>1731495</v>
      </c>
    </row>
    <row r="6" spans="1:2" x14ac:dyDescent="0.25">
      <c r="A6" s="6" t="s">
        <v>20</v>
      </c>
      <c r="B6" s="8">
        <v>448099</v>
      </c>
    </row>
    <row r="7" spans="1:2" x14ac:dyDescent="0.25">
      <c r="A7" s="6" t="s">
        <v>5071</v>
      </c>
      <c r="B7" s="8">
        <v>8013309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AF57-6A36-4E01-8491-BB5D5F940DFE}">
  <dimension ref="A1:B13"/>
  <sheetViews>
    <sheetView workbookViewId="0">
      <selection activeCell="B16" sqref="B16"/>
    </sheetView>
  </sheetViews>
  <sheetFormatPr defaultRowHeight="15" x14ac:dyDescent="0.25"/>
  <cols>
    <col min="1" max="1" width="17.7109375" bestFit="1" customWidth="1"/>
    <col min="2" max="2" width="12.28515625" bestFit="1" customWidth="1"/>
  </cols>
  <sheetData>
    <row r="1" spans="1:2" x14ac:dyDescent="0.25">
      <c r="A1" s="9" t="s">
        <v>5103</v>
      </c>
      <c r="B1" s="9"/>
    </row>
    <row r="2" spans="1:2" x14ac:dyDescent="0.25">
      <c r="A2" s="5" t="s">
        <v>5098</v>
      </c>
      <c r="B2" t="s">
        <v>5085</v>
      </c>
    </row>
    <row r="3" spans="1:2" x14ac:dyDescent="0.25">
      <c r="A3" s="6" t="s">
        <v>90</v>
      </c>
      <c r="B3" s="8">
        <v>6611325</v>
      </c>
    </row>
    <row r="4" spans="1:2" x14ac:dyDescent="0.25">
      <c r="A4" s="6" t="s">
        <v>105</v>
      </c>
      <c r="B4" s="8">
        <v>4667625</v>
      </c>
    </row>
    <row r="5" spans="1:2" x14ac:dyDescent="0.25">
      <c r="A5" s="6" t="s">
        <v>47</v>
      </c>
      <c r="B5" s="8">
        <v>3643780</v>
      </c>
    </row>
    <row r="6" spans="1:2" x14ac:dyDescent="0.25">
      <c r="A6" s="6" t="s">
        <v>189</v>
      </c>
      <c r="B6" s="8">
        <v>3523770</v>
      </c>
    </row>
    <row r="7" spans="1:2" x14ac:dyDescent="0.25">
      <c r="A7" s="6" t="s">
        <v>59</v>
      </c>
      <c r="B7" s="8">
        <v>3465000</v>
      </c>
    </row>
    <row r="8" spans="1:2" x14ac:dyDescent="0.25">
      <c r="A8" s="6" t="s">
        <v>129</v>
      </c>
      <c r="B8" s="8">
        <v>2444640</v>
      </c>
    </row>
    <row r="9" spans="1:2" x14ac:dyDescent="0.25">
      <c r="A9" s="6" t="s">
        <v>35</v>
      </c>
      <c r="B9" s="8">
        <v>1900920</v>
      </c>
    </row>
    <row r="10" spans="1:2" x14ac:dyDescent="0.25">
      <c r="A10" s="6" t="s">
        <v>208</v>
      </c>
      <c r="B10" s="8">
        <v>1765260</v>
      </c>
    </row>
    <row r="11" spans="1:2" x14ac:dyDescent="0.25">
      <c r="A11" s="6" t="s">
        <v>53</v>
      </c>
      <c r="B11" s="8">
        <v>1288870</v>
      </c>
    </row>
    <row r="12" spans="1:2" x14ac:dyDescent="0.25">
      <c r="A12" s="6" t="s">
        <v>64</v>
      </c>
      <c r="B12" s="8">
        <v>975360</v>
      </c>
    </row>
    <row r="13" spans="1:2" x14ac:dyDescent="0.25">
      <c r="A13" s="6" t="s">
        <v>5071</v>
      </c>
      <c r="B13" s="8">
        <v>30286550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BAD9-A29E-4239-8F28-86795B8F9556}">
  <dimension ref="A1:B7"/>
  <sheetViews>
    <sheetView workbookViewId="0">
      <selection activeCell="L16" sqref="L16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1" spans="1:2" x14ac:dyDescent="0.25">
      <c r="A1" s="9" t="s">
        <v>5104</v>
      </c>
      <c r="B1" s="9"/>
    </row>
    <row r="2" spans="1:2" x14ac:dyDescent="0.25">
      <c r="A2" s="5" t="s">
        <v>5098</v>
      </c>
      <c r="B2" t="s">
        <v>5085</v>
      </c>
    </row>
    <row r="3" spans="1:2" x14ac:dyDescent="0.25">
      <c r="A3" s="6" t="s">
        <v>26</v>
      </c>
      <c r="B3" s="8">
        <v>14737556.5</v>
      </c>
    </row>
    <row r="4" spans="1:2" x14ac:dyDescent="0.25">
      <c r="A4" s="6" t="s">
        <v>39</v>
      </c>
      <c r="B4" s="8">
        <v>9511001.5</v>
      </c>
    </row>
    <row r="5" spans="1:2" x14ac:dyDescent="0.25">
      <c r="A5" s="6" t="s">
        <v>96</v>
      </c>
      <c r="B5" s="8">
        <v>6288800.5</v>
      </c>
    </row>
    <row r="6" spans="1:2" x14ac:dyDescent="0.25">
      <c r="A6" s="6" t="s">
        <v>18</v>
      </c>
      <c r="B6" s="8">
        <v>4216080.5</v>
      </c>
    </row>
    <row r="7" spans="1:2" x14ac:dyDescent="0.25">
      <c r="A7" s="6" t="s">
        <v>5071</v>
      </c>
      <c r="B7" s="8">
        <v>34753439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BE61-3F19-428E-A147-8C1608FB760E}">
  <dimension ref="A1:B4"/>
  <sheetViews>
    <sheetView workbookViewId="0">
      <selection activeCell="F11" sqref="F11"/>
    </sheetView>
  </sheetViews>
  <sheetFormatPr defaultRowHeight="15" x14ac:dyDescent="0.25"/>
  <cols>
    <col min="1" max="1" width="12.5703125" bestFit="1" customWidth="1"/>
    <col min="2" max="2" width="15.85546875" bestFit="1" customWidth="1"/>
  </cols>
  <sheetData>
    <row r="1" spans="1:2" x14ac:dyDescent="0.25">
      <c r="A1" t="s">
        <v>5105</v>
      </c>
      <c r="B1" t="s">
        <v>5067</v>
      </c>
    </row>
    <row r="2" spans="1:2" x14ac:dyDescent="0.25">
      <c r="A2" t="s">
        <v>5106</v>
      </c>
      <c r="B2" s="11">
        <f>SUM(SalesData[Sales])</f>
        <v>34753439</v>
      </c>
    </row>
    <row r="3" spans="1:2" x14ac:dyDescent="0.25">
      <c r="A3" t="s">
        <v>5107</v>
      </c>
      <c r="B3" s="7">
        <f>SUM(SalesData[Profit])</f>
        <v>8013309</v>
      </c>
    </row>
    <row r="4" spans="1:2" x14ac:dyDescent="0.25">
      <c r="A4" t="s">
        <v>5108</v>
      </c>
      <c r="B4" s="12">
        <f>B3/B2</f>
        <v>0.23057600141384568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0946-DC86-45D3-BE18-AD8B5DFE1D99}">
  <dimension ref="A1:D8"/>
  <sheetViews>
    <sheetView tabSelected="1" workbookViewId="0">
      <selection activeCell="B13" sqref="B13"/>
    </sheetView>
  </sheetViews>
  <sheetFormatPr defaultRowHeight="15" x14ac:dyDescent="0.25"/>
  <cols>
    <col min="1" max="1" width="13" bestFit="1" customWidth="1"/>
    <col min="2" max="2" width="12.28515625" bestFit="1" customWidth="1"/>
    <col min="3" max="3" width="12.5703125" bestFit="1" customWidth="1"/>
    <col min="4" max="4" width="19.5703125" bestFit="1" customWidth="1"/>
  </cols>
  <sheetData>
    <row r="1" spans="1:4" x14ac:dyDescent="0.25">
      <c r="A1" s="5" t="s">
        <v>5109</v>
      </c>
      <c r="B1" t="s">
        <v>5085</v>
      </c>
      <c r="C1" t="s">
        <v>5101</v>
      </c>
      <c r="D1" t="s">
        <v>5110</v>
      </c>
    </row>
    <row r="2" spans="1:4" x14ac:dyDescent="0.25">
      <c r="A2" s="13">
        <v>0</v>
      </c>
      <c r="B2" s="8">
        <v>6021380</v>
      </c>
      <c r="C2" s="8">
        <v>1894670</v>
      </c>
      <c r="D2" s="14">
        <v>0.31465710518186862</v>
      </c>
    </row>
    <row r="3" spans="1:4" x14ac:dyDescent="0.25">
      <c r="A3" s="13">
        <v>0.05</v>
      </c>
      <c r="B3" s="8">
        <v>7252385.5</v>
      </c>
      <c r="C3" s="8">
        <v>2008505.5</v>
      </c>
      <c r="D3" s="14">
        <v>0.27694411721494949</v>
      </c>
    </row>
    <row r="4" spans="1:4" x14ac:dyDescent="0.25">
      <c r="A4" s="13">
        <v>0.1</v>
      </c>
      <c r="B4" s="8">
        <v>8213301</v>
      </c>
      <c r="C4" s="8">
        <v>1962601</v>
      </c>
      <c r="D4" s="14">
        <v>0.23895398451852673</v>
      </c>
    </row>
    <row r="5" spans="1:4" x14ac:dyDescent="0.25">
      <c r="A5" s="13">
        <v>0.15</v>
      </c>
      <c r="B5" s="8">
        <v>7479498.5</v>
      </c>
      <c r="C5" s="8">
        <v>1439308.5</v>
      </c>
      <c r="D5" s="14">
        <v>0.19243382427311137</v>
      </c>
    </row>
    <row r="6" spans="1:4" x14ac:dyDescent="0.25">
      <c r="A6" s="13">
        <v>0.2</v>
      </c>
      <c r="B6" s="8">
        <v>3908184</v>
      </c>
      <c r="C6" s="8">
        <v>547814</v>
      </c>
      <c r="D6" s="14">
        <v>0.14017098478474913</v>
      </c>
    </row>
    <row r="7" spans="1:4" x14ac:dyDescent="0.25">
      <c r="A7" s="13">
        <v>0.25</v>
      </c>
      <c r="B7" s="8">
        <v>1878690</v>
      </c>
      <c r="C7" s="8">
        <v>160410</v>
      </c>
      <c r="D7" s="14">
        <v>8.5383964358143175E-2</v>
      </c>
    </row>
    <row r="8" spans="1:4" x14ac:dyDescent="0.25">
      <c r="A8" s="13" t="s">
        <v>5071</v>
      </c>
      <c r="B8" s="8">
        <v>34753439</v>
      </c>
      <c r="C8" s="8">
        <v>8013309</v>
      </c>
      <c r="D8" s="14">
        <v>0.23057600141384568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01"/>
  <sheetViews>
    <sheetView topLeftCell="O1" workbookViewId="0">
      <selection activeCell="T4" sqref="T4"/>
    </sheetView>
  </sheetViews>
  <sheetFormatPr defaultRowHeight="15" x14ac:dyDescent="0.25"/>
  <cols>
    <col min="1" max="1" width="13" bestFit="1" customWidth="1"/>
    <col min="2" max="2" width="15.28515625" bestFit="1" customWidth="1"/>
    <col min="3" max="3" width="16.42578125" bestFit="1" customWidth="1"/>
    <col min="4" max="4" width="20" bestFit="1" customWidth="1"/>
    <col min="5" max="5" width="11.7109375" bestFit="1" customWidth="1"/>
    <col min="6" max="6" width="15.140625" bestFit="1" customWidth="1"/>
    <col min="7" max="7" width="16.5703125" bestFit="1" customWidth="1"/>
    <col min="8" max="8" width="17.42578125" bestFit="1" customWidth="1"/>
    <col min="9" max="9" width="17.7109375" bestFit="1" customWidth="1"/>
    <col min="10" max="10" width="13.28515625" bestFit="1" customWidth="1"/>
    <col min="11" max="11" width="14.28515625" bestFit="1" customWidth="1"/>
    <col min="12" max="12" width="13.28515625" bestFit="1" customWidth="1"/>
    <col min="13" max="13" width="10.140625" bestFit="1" customWidth="1"/>
    <col min="14" max="14" width="9.42578125" bestFit="1" customWidth="1"/>
    <col min="15" max="15" width="10.5703125" bestFit="1" customWidth="1"/>
    <col min="17" max="17" width="11" customWidth="1"/>
    <col min="18" max="18" width="1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9" t="s">
        <v>5070</v>
      </c>
      <c r="R1" s="9"/>
    </row>
    <row r="2" spans="1:18" x14ac:dyDescent="0.25">
      <c r="A2" t="s">
        <v>15</v>
      </c>
      <c r="B2" s="2">
        <v>45658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</v>
      </c>
      <c r="K2">
        <v>650</v>
      </c>
      <c r="L2">
        <v>0.1</v>
      </c>
      <c r="M2">
        <v>2340</v>
      </c>
      <c r="N2">
        <v>1560</v>
      </c>
      <c r="O2">
        <v>780</v>
      </c>
      <c r="Q2" t="s">
        <v>5068</v>
      </c>
      <c r="R2" s="4" t="s">
        <v>5067</v>
      </c>
    </row>
    <row r="3" spans="1:18" x14ac:dyDescent="0.25">
      <c r="A3" t="s">
        <v>23</v>
      </c>
      <c r="B3" s="2">
        <v>45659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>
        <v>1900</v>
      </c>
      <c r="L3">
        <v>0.25</v>
      </c>
      <c r="M3">
        <v>5700</v>
      </c>
      <c r="N3">
        <v>5000</v>
      </c>
      <c r="O3">
        <v>700</v>
      </c>
      <c r="Q3" t="s">
        <v>5069</v>
      </c>
      <c r="R3" s="4">
        <f>SUM(SalesData[Sales])</f>
        <v>34753439</v>
      </c>
    </row>
    <row r="4" spans="1:18" x14ac:dyDescent="0.25">
      <c r="A4" t="s">
        <v>31</v>
      </c>
      <c r="B4" s="2">
        <v>45660</v>
      </c>
      <c r="C4" t="s">
        <v>32</v>
      </c>
      <c r="D4" t="s">
        <v>33</v>
      </c>
      <c r="E4" t="s">
        <v>26</v>
      </c>
      <c r="F4" t="s">
        <v>34</v>
      </c>
      <c r="G4" t="s">
        <v>28</v>
      </c>
      <c r="H4" t="s">
        <v>29</v>
      </c>
      <c r="I4" t="s">
        <v>35</v>
      </c>
      <c r="J4">
        <v>1</v>
      </c>
      <c r="K4">
        <v>4200</v>
      </c>
      <c r="L4">
        <v>0</v>
      </c>
      <c r="M4">
        <v>4200</v>
      </c>
      <c r="N4">
        <v>2900</v>
      </c>
      <c r="O4">
        <v>1300</v>
      </c>
      <c r="Q4" t="s">
        <v>14</v>
      </c>
      <c r="R4" s="3">
        <f>SUM(SalesData[Profit])</f>
        <v>8013309</v>
      </c>
    </row>
    <row r="5" spans="1:18" x14ac:dyDescent="0.25">
      <c r="A5" t="s">
        <v>36</v>
      </c>
      <c r="B5" s="2">
        <v>45661</v>
      </c>
      <c r="C5" t="s">
        <v>37</v>
      </c>
      <c r="D5" t="s">
        <v>38</v>
      </c>
      <c r="E5" t="s">
        <v>39</v>
      </c>
      <c r="F5" t="s">
        <v>40</v>
      </c>
      <c r="G5" t="s">
        <v>20</v>
      </c>
      <c r="H5" t="s">
        <v>41</v>
      </c>
      <c r="I5" t="s">
        <v>42</v>
      </c>
      <c r="J5">
        <v>3</v>
      </c>
      <c r="K5">
        <v>520</v>
      </c>
      <c r="L5">
        <v>0.1</v>
      </c>
      <c r="M5">
        <v>1404</v>
      </c>
      <c r="N5">
        <v>990</v>
      </c>
      <c r="O5">
        <v>414</v>
      </c>
    </row>
    <row r="6" spans="1:18" x14ac:dyDescent="0.25">
      <c r="A6" t="s">
        <v>43</v>
      </c>
      <c r="B6" s="2">
        <v>45662</v>
      </c>
      <c r="C6" t="s">
        <v>44</v>
      </c>
      <c r="D6" t="s">
        <v>45</v>
      </c>
      <c r="E6" t="s">
        <v>26</v>
      </c>
      <c r="F6" t="s">
        <v>46</v>
      </c>
      <c r="G6" t="s">
        <v>28</v>
      </c>
      <c r="H6" t="s">
        <v>29</v>
      </c>
      <c r="I6" t="s">
        <v>47</v>
      </c>
      <c r="J6">
        <v>1</v>
      </c>
      <c r="K6">
        <v>6800</v>
      </c>
      <c r="L6">
        <v>0.15</v>
      </c>
      <c r="M6">
        <v>5780</v>
      </c>
      <c r="N6">
        <v>4700</v>
      </c>
      <c r="O6">
        <v>1080</v>
      </c>
    </row>
    <row r="7" spans="1:18" x14ac:dyDescent="0.25">
      <c r="A7" t="s">
        <v>48</v>
      </c>
      <c r="B7" s="2">
        <v>45663</v>
      </c>
      <c r="C7" t="s">
        <v>49</v>
      </c>
      <c r="D7" t="s">
        <v>50</v>
      </c>
      <c r="E7" t="s">
        <v>39</v>
      </c>
      <c r="F7" t="s">
        <v>40</v>
      </c>
      <c r="G7" t="s">
        <v>51</v>
      </c>
      <c r="H7" t="s">
        <v>52</v>
      </c>
      <c r="I7" t="s">
        <v>53</v>
      </c>
      <c r="J7">
        <v>5</v>
      </c>
      <c r="K7">
        <v>2200</v>
      </c>
      <c r="L7">
        <v>0.05</v>
      </c>
      <c r="M7">
        <v>10450</v>
      </c>
      <c r="N7">
        <v>7250</v>
      </c>
      <c r="O7">
        <v>3200</v>
      </c>
    </row>
    <row r="8" spans="1:18" x14ac:dyDescent="0.25">
      <c r="A8" t="s">
        <v>54</v>
      </c>
      <c r="B8" s="2">
        <v>45664</v>
      </c>
      <c r="C8" t="s">
        <v>55</v>
      </c>
      <c r="D8" t="s">
        <v>56</v>
      </c>
      <c r="E8" t="s">
        <v>26</v>
      </c>
      <c r="F8" t="s">
        <v>34</v>
      </c>
      <c r="G8" t="s">
        <v>57</v>
      </c>
      <c r="H8" t="s">
        <v>58</v>
      </c>
      <c r="I8" t="s">
        <v>59</v>
      </c>
      <c r="J8">
        <v>1</v>
      </c>
      <c r="K8">
        <v>5600</v>
      </c>
      <c r="L8">
        <v>0</v>
      </c>
      <c r="M8">
        <v>5600</v>
      </c>
      <c r="N8">
        <v>3900</v>
      </c>
      <c r="O8">
        <v>1700</v>
      </c>
    </row>
    <row r="9" spans="1:18" x14ac:dyDescent="0.25">
      <c r="A9" t="s">
        <v>60</v>
      </c>
      <c r="B9" s="2">
        <v>45665</v>
      </c>
      <c r="C9" t="s">
        <v>61</v>
      </c>
      <c r="D9" t="s">
        <v>62</v>
      </c>
      <c r="E9" t="s">
        <v>26</v>
      </c>
      <c r="F9" t="s">
        <v>27</v>
      </c>
      <c r="G9" t="s">
        <v>28</v>
      </c>
      <c r="H9" t="s">
        <v>63</v>
      </c>
      <c r="I9" t="s">
        <v>64</v>
      </c>
      <c r="J9">
        <v>2</v>
      </c>
      <c r="K9">
        <v>2400</v>
      </c>
      <c r="L9">
        <v>0.25</v>
      </c>
      <c r="M9">
        <v>3600</v>
      </c>
      <c r="N9">
        <v>3300</v>
      </c>
      <c r="O9">
        <v>300</v>
      </c>
    </row>
    <row r="10" spans="1:18" x14ac:dyDescent="0.25">
      <c r="A10" t="s">
        <v>65</v>
      </c>
      <c r="B10" s="2">
        <v>45666</v>
      </c>
      <c r="C10" t="s">
        <v>66</v>
      </c>
      <c r="D10" t="s">
        <v>67</v>
      </c>
      <c r="E10" t="s">
        <v>26</v>
      </c>
      <c r="F10" t="s">
        <v>27</v>
      </c>
      <c r="G10" t="s">
        <v>28</v>
      </c>
      <c r="H10" t="s">
        <v>29</v>
      </c>
      <c r="I10" t="s">
        <v>47</v>
      </c>
      <c r="J10">
        <v>4</v>
      </c>
      <c r="K10">
        <v>6800</v>
      </c>
      <c r="L10">
        <v>0.05</v>
      </c>
      <c r="M10">
        <v>25840</v>
      </c>
      <c r="N10">
        <v>18800</v>
      </c>
      <c r="O10">
        <v>7040</v>
      </c>
    </row>
    <row r="11" spans="1:18" x14ac:dyDescent="0.25">
      <c r="A11" t="s">
        <v>68</v>
      </c>
      <c r="B11" s="2">
        <v>45667</v>
      </c>
      <c r="C11" t="s">
        <v>69</v>
      </c>
      <c r="D11" t="s">
        <v>70</v>
      </c>
      <c r="E11" t="s">
        <v>39</v>
      </c>
      <c r="F11" t="s">
        <v>71</v>
      </c>
      <c r="G11" t="s">
        <v>51</v>
      </c>
      <c r="H11" t="s">
        <v>21</v>
      </c>
      <c r="I11" t="s">
        <v>72</v>
      </c>
      <c r="J11">
        <v>3</v>
      </c>
      <c r="K11">
        <v>1800</v>
      </c>
      <c r="L11">
        <v>0.25</v>
      </c>
      <c r="M11">
        <v>4050</v>
      </c>
      <c r="N11">
        <v>3300</v>
      </c>
      <c r="O11">
        <v>750</v>
      </c>
    </row>
    <row r="12" spans="1:18" x14ac:dyDescent="0.25">
      <c r="A12" t="s">
        <v>73</v>
      </c>
      <c r="B12" s="2">
        <v>45668</v>
      </c>
      <c r="C12" t="s">
        <v>74</v>
      </c>
      <c r="D12" t="s">
        <v>75</v>
      </c>
      <c r="E12" t="s">
        <v>39</v>
      </c>
      <c r="F12" t="s">
        <v>76</v>
      </c>
      <c r="G12" t="s">
        <v>28</v>
      </c>
      <c r="H12" t="s">
        <v>29</v>
      </c>
      <c r="I12" t="s">
        <v>35</v>
      </c>
      <c r="J12">
        <v>3</v>
      </c>
      <c r="K12">
        <v>4200</v>
      </c>
      <c r="L12">
        <v>0</v>
      </c>
      <c r="M12">
        <v>12600</v>
      </c>
      <c r="N12">
        <v>8700</v>
      </c>
      <c r="O12">
        <v>3900</v>
      </c>
    </row>
    <row r="13" spans="1:18" x14ac:dyDescent="0.25">
      <c r="A13" t="s">
        <v>77</v>
      </c>
      <c r="B13" s="2">
        <v>45669</v>
      </c>
      <c r="C13" t="s">
        <v>78</v>
      </c>
      <c r="D13" t="s">
        <v>79</v>
      </c>
      <c r="E13" t="s">
        <v>26</v>
      </c>
      <c r="F13" t="s">
        <v>46</v>
      </c>
      <c r="G13" t="s">
        <v>51</v>
      </c>
      <c r="H13" t="s">
        <v>21</v>
      </c>
      <c r="I13" t="s">
        <v>80</v>
      </c>
      <c r="J13">
        <v>5</v>
      </c>
      <c r="K13">
        <v>850</v>
      </c>
      <c r="L13">
        <v>0.1</v>
      </c>
      <c r="M13">
        <v>3825</v>
      </c>
      <c r="N13">
        <v>2800</v>
      </c>
      <c r="O13">
        <v>1025</v>
      </c>
    </row>
    <row r="14" spans="1:18" x14ac:dyDescent="0.25">
      <c r="A14" t="s">
        <v>81</v>
      </c>
      <c r="B14" s="2">
        <v>45670</v>
      </c>
      <c r="C14" t="s">
        <v>82</v>
      </c>
      <c r="D14" t="s">
        <v>83</v>
      </c>
      <c r="E14" t="s">
        <v>26</v>
      </c>
      <c r="F14" t="s">
        <v>46</v>
      </c>
      <c r="G14" t="s">
        <v>20</v>
      </c>
      <c r="H14" t="s">
        <v>84</v>
      </c>
      <c r="I14" t="s">
        <v>85</v>
      </c>
      <c r="J14">
        <v>3</v>
      </c>
      <c r="K14">
        <v>280</v>
      </c>
      <c r="L14">
        <v>0.2</v>
      </c>
      <c r="M14">
        <v>672</v>
      </c>
      <c r="N14">
        <v>480</v>
      </c>
      <c r="O14">
        <v>192</v>
      </c>
    </row>
    <row r="15" spans="1:18" x14ac:dyDescent="0.25">
      <c r="A15" t="s">
        <v>86</v>
      </c>
      <c r="B15" s="2">
        <v>45671</v>
      </c>
      <c r="C15" t="s">
        <v>87</v>
      </c>
      <c r="D15" t="s">
        <v>88</v>
      </c>
      <c r="E15" t="s">
        <v>39</v>
      </c>
      <c r="F15" t="s">
        <v>76</v>
      </c>
      <c r="G15" t="s">
        <v>51</v>
      </c>
      <c r="H15" t="s">
        <v>89</v>
      </c>
      <c r="I15" t="s">
        <v>90</v>
      </c>
      <c r="J15">
        <v>3</v>
      </c>
      <c r="K15">
        <v>10500</v>
      </c>
      <c r="L15">
        <v>0.1</v>
      </c>
      <c r="M15">
        <v>28350</v>
      </c>
      <c r="N15">
        <v>22800</v>
      </c>
      <c r="O15">
        <v>5550</v>
      </c>
    </row>
    <row r="16" spans="1:18" x14ac:dyDescent="0.25">
      <c r="A16" t="s">
        <v>91</v>
      </c>
      <c r="B16" s="2">
        <v>45672</v>
      </c>
      <c r="C16" t="s">
        <v>92</v>
      </c>
      <c r="D16" t="s">
        <v>93</v>
      </c>
      <c r="E16" t="s">
        <v>18</v>
      </c>
      <c r="F16" t="s">
        <v>94</v>
      </c>
      <c r="G16" t="s">
        <v>20</v>
      </c>
      <c r="H16" t="s">
        <v>21</v>
      </c>
      <c r="I16" t="s">
        <v>22</v>
      </c>
      <c r="J16">
        <v>3</v>
      </c>
      <c r="K16">
        <v>650</v>
      </c>
      <c r="L16">
        <v>0.1</v>
      </c>
      <c r="M16">
        <v>1755</v>
      </c>
      <c r="N16">
        <v>1170</v>
      </c>
      <c r="O16">
        <v>585</v>
      </c>
    </row>
    <row r="17" spans="1:15" x14ac:dyDescent="0.25">
      <c r="A17" t="s">
        <v>95</v>
      </c>
      <c r="B17" s="2">
        <v>45673</v>
      </c>
      <c r="C17" t="s">
        <v>61</v>
      </c>
      <c r="D17" t="s">
        <v>62</v>
      </c>
      <c r="E17" t="s">
        <v>96</v>
      </c>
      <c r="F17" t="s">
        <v>97</v>
      </c>
      <c r="G17" t="s">
        <v>51</v>
      </c>
      <c r="H17" t="s">
        <v>21</v>
      </c>
      <c r="I17" t="s">
        <v>72</v>
      </c>
      <c r="J17">
        <v>4</v>
      </c>
      <c r="K17">
        <v>1800</v>
      </c>
      <c r="L17">
        <v>0.25</v>
      </c>
      <c r="M17">
        <v>5400</v>
      </c>
      <c r="N17">
        <v>4400</v>
      </c>
      <c r="O17">
        <v>1000</v>
      </c>
    </row>
    <row r="18" spans="1:15" x14ac:dyDescent="0.25">
      <c r="A18" t="s">
        <v>98</v>
      </c>
      <c r="B18" s="2">
        <v>45674</v>
      </c>
      <c r="C18" t="s">
        <v>99</v>
      </c>
      <c r="D18" t="s">
        <v>100</v>
      </c>
      <c r="E18" t="s">
        <v>96</v>
      </c>
      <c r="F18" t="s">
        <v>97</v>
      </c>
      <c r="G18" t="s">
        <v>28</v>
      </c>
      <c r="H18" t="s">
        <v>29</v>
      </c>
      <c r="I18" t="s">
        <v>47</v>
      </c>
      <c r="J18">
        <v>3</v>
      </c>
      <c r="K18">
        <v>6800</v>
      </c>
      <c r="L18">
        <v>0</v>
      </c>
      <c r="M18">
        <v>20400</v>
      </c>
      <c r="N18">
        <v>14100</v>
      </c>
      <c r="O18">
        <v>6300</v>
      </c>
    </row>
    <row r="19" spans="1:15" x14ac:dyDescent="0.25">
      <c r="A19" t="s">
        <v>101</v>
      </c>
      <c r="B19" s="2">
        <v>45675</v>
      </c>
      <c r="C19" t="s">
        <v>102</v>
      </c>
      <c r="D19" t="s">
        <v>103</v>
      </c>
      <c r="E19" t="s">
        <v>26</v>
      </c>
      <c r="F19" t="s">
        <v>46</v>
      </c>
      <c r="G19" t="s">
        <v>57</v>
      </c>
      <c r="H19" t="s">
        <v>104</v>
      </c>
      <c r="I19" t="s">
        <v>105</v>
      </c>
      <c r="J19">
        <v>1</v>
      </c>
      <c r="K19">
        <v>7500</v>
      </c>
      <c r="L19">
        <v>0.1</v>
      </c>
      <c r="M19">
        <v>6750</v>
      </c>
      <c r="N19">
        <v>5200</v>
      </c>
      <c r="O19">
        <v>1550</v>
      </c>
    </row>
    <row r="20" spans="1:15" x14ac:dyDescent="0.25">
      <c r="A20" t="s">
        <v>106</v>
      </c>
      <c r="B20" s="2">
        <v>45676</v>
      </c>
      <c r="C20" t="s">
        <v>107</v>
      </c>
      <c r="D20" t="s">
        <v>108</v>
      </c>
      <c r="E20" t="s">
        <v>26</v>
      </c>
      <c r="F20" t="s">
        <v>27</v>
      </c>
      <c r="G20" t="s">
        <v>28</v>
      </c>
      <c r="H20" t="s">
        <v>29</v>
      </c>
      <c r="I20" t="s">
        <v>47</v>
      </c>
      <c r="J20">
        <v>2</v>
      </c>
      <c r="K20">
        <v>6800</v>
      </c>
      <c r="L20">
        <v>0.15</v>
      </c>
      <c r="M20">
        <v>11560</v>
      </c>
      <c r="N20">
        <v>9400</v>
      </c>
      <c r="O20">
        <v>2160</v>
      </c>
    </row>
    <row r="21" spans="1:15" x14ac:dyDescent="0.25">
      <c r="A21" t="s">
        <v>109</v>
      </c>
      <c r="B21" s="2">
        <v>45677</v>
      </c>
      <c r="C21" t="s">
        <v>110</v>
      </c>
      <c r="D21" t="s">
        <v>111</v>
      </c>
      <c r="E21" t="s">
        <v>26</v>
      </c>
      <c r="F21" t="s">
        <v>46</v>
      </c>
      <c r="G21" t="s">
        <v>20</v>
      </c>
      <c r="H21" t="s">
        <v>84</v>
      </c>
      <c r="I21" t="s">
        <v>85</v>
      </c>
      <c r="J21">
        <v>2</v>
      </c>
      <c r="K21">
        <v>280</v>
      </c>
      <c r="L21">
        <v>0.2</v>
      </c>
      <c r="M21">
        <v>448</v>
      </c>
      <c r="N21">
        <v>320</v>
      </c>
      <c r="O21">
        <v>128</v>
      </c>
    </row>
    <row r="22" spans="1:15" x14ac:dyDescent="0.25">
      <c r="A22" t="s">
        <v>112</v>
      </c>
      <c r="B22" s="2">
        <v>45678</v>
      </c>
      <c r="C22" t="s">
        <v>113</v>
      </c>
      <c r="D22" t="s">
        <v>114</v>
      </c>
      <c r="E22" t="s">
        <v>18</v>
      </c>
      <c r="F22" t="s">
        <v>115</v>
      </c>
      <c r="G22" t="s">
        <v>51</v>
      </c>
      <c r="H22" t="s">
        <v>21</v>
      </c>
      <c r="I22" t="s">
        <v>116</v>
      </c>
      <c r="J22">
        <v>3</v>
      </c>
      <c r="K22">
        <v>1400</v>
      </c>
      <c r="L22">
        <v>0.15</v>
      </c>
      <c r="M22">
        <v>3570</v>
      </c>
      <c r="N22">
        <v>2700</v>
      </c>
      <c r="O22">
        <v>870</v>
      </c>
    </row>
    <row r="23" spans="1:15" x14ac:dyDescent="0.25">
      <c r="A23" t="s">
        <v>117</v>
      </c>
      <c r="B23" s="2">
        <v>45679</v>
      </c>
      <c r="C23" t="s">
        <v>118</v>
      </c>
      <c r="D23" t="s">
        <v>119</v>
      </c>
      <c r="E23" t="s">
        <v>96</v>
      </c>
      <c r="F23" t="s">
        <v>120</v>
      </c>
      <c r="G23" t="s">
        <v>51</v>
      </c>
      <c r="H23" t="s">
        <v>21</v>
      </c>
      <c r="I23" t="s">
        <v>116</v>
      </c>
      <c r="J23">
        <v>3</v>
      </c>
      <c r="K23">
        <v>1400</v>
      </c>
      <c r="L23">
        <v>0</v>
      </c>
      <c r="M23">
        <v>4200</v>
      </c>
      <c r="N23">
        <v>2700</v>
      </c>
      <c r="O23">
        <v>1500</v>
      </c>
    </row>
    <row r="24" spans="1:15" x14ac:dyDescent="0.25">
      <c r="A24" t="s">
        <v>121</v>
      </c>
      <c r="B24" s="2">
        <v>45680</v>
      </c>
      <c r="C24" t="s">
        <v>122</v>
      </c>
      <c r="D24" t="s">
        <v>123</v>
      </c>
      <c r="E24" t="s">
        <v>39</v>
      </c>
      <c r="F24" t="s">
        <v>124</v>
      </c>
      <c r="G24" t="s">
        <v>28</v>
      </c>
      <c r="H24" t="s">
        <v>29</v>
      </c>
      <c r="I24" t="s">
        <v>30</v>
      </c>
      <c r="J24">
        <v>5</v>
      </c>
      <c r="K24">
        <v>1900</v>
      </c>
      <c r="L24">
        <v>0.1</v>
      </c>
      <c r="M24">
        <v>8550</v>
      </c>
      <c r="N24">
        <v>6250</v>
      </c>
      <c r="O24">
        <v>2300</v>
      </c>
    </row>
    <row r="25" spans="1:15" x14ac:dyDescent="0.25">
      <c r="A25" t="s">
        <v>125</v>
      </c>
      <c r="B25" s="2">
        <v>45681</v>
      </c>
      <c r="C25" t="s">
        <v>126</v>
      </c>
      <c r="D25" t="s">
        <v>127</v>
      </c>
      <c r="E25" t="s">
        <v>26</v>
      </c>
      <c r="F25" t="s">
        <v>128</v>
      </c>
      <c r="G25" t="s">
        <v>57</v>
      </c>
      <c r="H25" t="s">
        <v>58</v>
      </c>
      <c r="I25" t="s">
        <v>129</v>
      </c>
      <c r="J25">
        <v>1</v>
      </c>
      <c r="K25">
        <v>4800</v>
      </c>
      <c r="L25">
        <v>0.15</v>
      </c>
      <c r="M25">
        <v>4080</v>
      </c>
      <c r="N25">
        <v>3300</v>
      </c>
      <c r="O25">
        <v>780</v>
      </c>
    </row>
    <row r="26" spans="1:15" x14ac:dyDescent="0.25">
      <c r="A26" t="s">
        <v>130</v>
      </c>
      <c r="B26" s="2">
        <v>45682</v>
      </c>
      <c r="C26" t="s">
        <v>131</v>
      </c>
      <c r="D26" t="s">
        <v>132</v>
      </c>
      <c r="E26" t="s">
        <v>39</v>
      </c>
      <c r="F26" t="s">
        <v>76</v>
      </c>
      <c r="G26" t="s">
        <v>51</v>
      </c>
      <c r="H26" t="s">
        <v>52</v>
      </c>
      <c r="I26" t="s">
        <v>53</v>
      </c>
      <c r="J26">
        <v>5</v>
      </c>
      <c r="K26">
        <v>2200</v>
      </c>
      <c r="L26">
        <v>0.15</v>
      </c>
      <c r="M26">
        <v>9350</v>
      </c>
      <c r="N26">
        <v>7250</v>
      </c>
      <c r="O26">
        <v>2100</v>
      </c>
    </row>
    <row r="27" spans="1:15" x14ac:dyDescent="0.25">
      <c r="A27" t="s">
        <v>133</v>
      </c>
      <c r="B27" s="2">
        <v>45683</v>
      </c>
      <c r="C27" t="s">
        <v>134</v>
      </c>
      <c r="D27" t="s">
        <v>135</v>
      </c>
      <c r="E27" t="s">
        <v>96</v>
      </c>
      <c r="F27" t="s">
        <v>97</v>
      </c>
      <c r="G27" t="s">
        <v>51</v>
      </c>
      <c r="H27" t="s">
        <v>21</v>
      </c>
      <c r="I27" t="s">
        <v>80</v>
      </c>
      <c r="J27">
        <v>2</v>
      </c>
      <c r="K27">
        <v>850</v>
      </c>
      <c r="L27">
        <v>0.2</v>
      </c>
      <c r="M27">
        <v>1360</v>
      </c>
      <c r="N27">
        <v>1120</v>
      </c>
      <c r="O27">
        <v>240</v>
      </c>
    </row>
    <row r="28" spans="1:15" x14ac:dyDescent="0.25">
      <c r="A28" t="s">
        <v>136</v>
      </c>
      <c r="B28" s="2">
        <v>45684</v>
      </c>
      <c r="C28" t="s">
        <v>137</v>
      </c>
      <c r="D28" t="s">
        <v>138</v>
      </c>
      <c r="E28" t="s">
        <v>96</v>
      </c>
      <c r="F28" t="s">
        <v>97</v>
      </c>
      <c r="G28" t="s">
        <v>57</v>
      </c>
      <c r="H28" t="s">
        <v>58</v>
      </c>
      <c r="I28" t="s">
        <v>59</v>
      </c>
      <c r="J28">
        <v>1</v>
      </c>
      <c r="K28">
        <v>5600</v>
      </c>
      <c r="L28">
        <v>0.05</v>
      </c>
      <c r="M28">
        <v>5320</v>
      </c>
      <c r="N28">
        <v>3900</v>
      </c>
      <c r="O28">
        <v>1420</v>
      </c>
    </row>
    <row r="29" spans="1:15" x14ac:dyDescent="0.25">
      <c r="A29" t="s">
        <v>139</v>
      </c>
      <c r="B29" s="2">
        <v>45685</v>
      </c>
      <c r="C29" t="s">
        <v>140</v>
      </c>
      <c r="D29" t="s">
        <v>141</v>
      </c>
      <c r="E29" t="s">
        <v>26</v>
      </c>
      <c r="F29" t="s">
        <v>27</v>
      </c>
      <c r="G29" t="s">
        <v>20</v>
      </c>
      <c r="H29" t="s">
        <v>21</v>
      </c>
      <c r="I29" t="s">
        <v>22</v>
      </c>
      <c r="J29">
        <v>2</v>
      </c>
      <c r="K29">
        <v>650</v>
      </c>
      <c r="L29">
        <v>0.05</v>
      </c>
      <c r="M29">
        <v>1235</v>
      </c>
      <c r="N29">
        <v>780</v>
      </c>
      <c r="O29">
        <v>455</v>
      </c>
    </row>
    <row r="30" spans="1:15" x14ac:dyDescent="0.25">
      <c r="A30" t="s">
        <v>142</v>
      </c>
      <c r="B30" s="2">
        <v>45686</v>
      </c>
      <c r="C30" t="s">
        <v>143</v>
      </c>
      <c r="D30" t="s">
        <v>144</v>
      </c>
      <c r="E30" t="s">
        <v>39</v>
      </c>
      <c r="F30" t="s">
        <v>40</v>
      </c>
      <c r="G30" t="s">
        <v>57</v>
      </c>
      <c r="H30" t="s">
        <v>58</v>
      </c>
      <c r="I30" t="s">
        <v>59</v>
      </c>
      <c r="J30">
        <v>1</v>
      </c>
      <c r="K30">
        <v>5600</v>
      </c>
      <c r="L30">
        <v>0.15</v>
      </c>
      <c r="M30">
        <v>4760</v>
      </c>
      <c r="N30">
        <v>3900</v>
      </c>
      <c r="O30">
        <v>860</v>
      </c>
    </row>
    <row r="31" spans="1:15" x14ac:dyDescent="0.25">
      <c r="A31" t="s">
        <v>145</v>
      </c>
      <c r="B31" s="2">
        <v>45687</v>
      </c>
      <c r="C31" t="s">
        <v>146</v>
      </c>
      <c r="D31" t="s">
        <v>147</v>
      </c>
      <c r="E31" t="s">
        <v>39</v>
      </c>
      <c r="F31" t="s">
        <v>124</v>
      </c>
      <c r="G31" t="s">
        <v>20</v>
      </c>
      <c r="H31" t="s">
        <v>21</v>
      </c>
      <c r="I31" t="s">
        <v>22</v>
      </c>
      <c r="J31">
        <v>1</v>
      </c>
      <c r="K31">
        <v>650</v>
      </c>
      <c r="L31">
        <v>0</v>
      </c>
      <c r="M31">
        <v>650</v>
      </c>
      <c r="N31">
        <v>390</v>
      </c>
      <c r="O31">
        <v>260</v>
      </c>
    </row>
    <row r="32" spans="1:15" x14ac:dyDescent="0.25">
      <c r="A32" t="s">
        <v>148</v>
      </c>
      <c r="B32" s="2">
        <v>45688</v>
      </c>
      <c r="C32" t="s">
        <v>149</v>
      </c>
      <c r="D32" t="s">
        <v>150</v>
      </c>
      <c r="E32" t="s">
        <v>18</v>
      </c>
      <c r="F32" t="s">
        <v>19</v>
      </c>
      <c r="G32" t="s">
        <v>20</v>
      </c>
      <c r="H32" t="s">
        <v>41</v>
      </c>
      <c r="I32" t="s">
        <v>42</v>
      </c>
      <c r="J32">
        <v>2</v>
      </c>
      <c r="K32">
        <v>520</v>
      </c>
      <c r="L32">
        <v>0.15</v>
      </c>
      <c r="M32">
        <v>884</v>
      </c>
      <c r="N32">
        <v>660</v>
      </c>
      <c r="O32">
        <v>224</v>
      </c>
    </row>
    <row r="33" spans="1:15" x14ac:dyDescent="0.25">
      <c r="A33" t="s">
        <v>151</v>
      </c>
      <c r="B33" s="2">
        <v>45689</v>
      </c>
      <c r="C33" t="s">
        <v>152</v>
      </c>
      <c r="D33" t="s">
        <v>153</v>
      </c>
      <c r="E33" t="s">
        <v>39</v>
      </c>
      <c r="F33" t="s">
        <v>124</v>
      </c>
      <c r="G33" t="s">
        <v>28</v>
      </c>
      <c r="H33" t="s">
        <v>29</v>
      </c>
      <c r="I33" t="s">
        <v>30</v>
      </c>
      <c r="J33">
        <v>3</v>
      </c>
      <c r="K33">
        <v>1900</v>
      </c>
      <c r="L33">
        <v>0</v>
      </c>
      <c r="M33">
        <v>5700</v>
      </c>
      <c r="N33">
        <v>3750</v>
      </c>
      <c r="O33">
        <v>1950</v>
      </c>
    </row>
    <row r="34" spans="1:15" x14ac:dyDescent="0.25">
      <c r="A34" t="s">
        <v>154</v>
      </c>
      <c r="B34" s="2">
        <v>45690</v>
      </c>
      <c r="C34" t="s">
        <v>155</v>
      </c>
      <c r="D34" t="s">
        <v>156</v>
      </c>
      <c r="E34" t="s">
        <v>39</v>
      </c>
      <c r="F34" t="s">
        <v>124</v>
      </c>
      <c r="G34" t="s">
        <v>28</v>
      </c>
      <c r="H34" t="s">
        <v>29</v>
      </c>
      <c r="I34" t="s">
        <v>47</v>
      </c>
      <c r="J34">
        <v>4</v>
      </c>
      <c r="K34">
        <v>6800</v>
      </c>
      <c r="L34">
        <v>0.25</v>
      </c>
      <c r="M34">
        <v>20400</v>
      </c>
      <c r="N34">
        <v>18800</v>
      </c>
      <c r="O34">
        <v>1600</v>
      </c>
    </row>
    <row r="35" spans="1:15" x14ac:dyDescent="0.25">
      <c r="A35" t="s">
        <v>157</v>
      </c>
      <c r="B35" s="2">
        <v>45691</v>
      </c>
      <c r="C35" t="s">
        <v>158</v>
      </c>
      <c r="D35" t="s">
        <v>159</v>
      </c>
      <c r="E35" t="s">
        <v>26</v>
      </c>
      <c r="F35" t="s">
        <v>46</v>
      </c>
      <c r="G35" t="s">
        <v>51</v>
      </c>
      <c r="H35" t="s">
        <v>21</v>
      </c>
      <c r="I35" t="s">
        <v>80</v>
      </c>
      <c r="J35">
        <v>3</v>
      </c>
      <c r="K35">
        <v>850</v>
      </c>
      <c r="L35">
        <v>0</v>
      </c>
      <c r="M35">
        <v>2550</v>
      </c>
      <c r="N35">
        <v>1680</v>
      </c>
      <c r="O35">
        <v>870</v>
      </c>
    </row>
    <row r="36" spans="1:15" x14ac:dyDescent="0.25">
      <c r="A36" t="s">
        <v>160</v>
      </c>
      <c r="B36" s="2">
        <v>45692</v>
      </c>
      <c r="C36" t="s">
        <v>161</v>
      </c>
      <c r="D36" t="s">
        <v>162</v>
      </c>
      <c r="E36" t="s">
        <v>18</v>
      </c>
      <c r="F36" t="s">
        <v>115</v>
      </c>
      <c r="G36" t="s">
        <v>28</v>
      </c>
      <c r="H36" t="s">
        <v>29</v>
      </c>
      <c r="I36" t="s">
        <v>47</v>
      </c>
      <c r="J36">
        <v>5</v>
      </c>
      <c r="K36">
        <v>6800</v>
      </c>
      <c r="L36">
        <v>0.05</v>
      </c>
      <c r="M36">
        <v>32300</v>
      </c>
      <c r="N36">
        <v>23500</v>
      </c>
      <c r="O36">
        <v>8800</v>
      </c>
    </row>
    <row r="37" spans="1:15" x14ac:dyDescent="0.25">
      <c r="A37" t="s">
        <v>163</v>
      </c>
      <c r="B37" s="2">
        <v>45693</v>
      </c>
      <c r="C37" t="s">
        <v>164</v>
      </c>
      <c r="D37" t="s">
        <v>165</v>
      </c>
      <c r="E37" t="s">
        <v>26</v>
      </c>
      <c r="F37" t="s">
        <v>128</v>
      </c>
      <c r="G37" t="s">
        <v>57</v>
      </c>
      <c r="H37" t="s">
        <v>58</v>
      </c>
      <c r="I37" t="s">
        <v>129</v>
      </c>
      <c r="J37">
        <v>2</v>
      </c>
      <c r="K37">
        <v>4800</v>
      </c>
      <c r="L37">
        <v>0.2</v>
      </c>
      <c r="M37">
        <v>7680</v>
      </c>
      <c r="N37">
        <v>6600</v>
      </c>
      <c r="O37">
        <v>1080</v>
      </c>
    </row>
    <row r="38" spans="1:15" x14ac:dyDescent="0.25">
      <c r="A38" t="s">
        <v>166</v>
      </c>
      <c r="B38" s="2">
        <v>45694</v>
      </c>
      <c r="C38" t="s">
        <v>167</v>
      </c>
      <c r="D38" t="s">
        <v>168</v>
      </c>
      <c r="E38" t="s">
        <v>26</v>
      </c>
      <c r="F38" t="s">
        <v>46</v>
      </c>
      <c r="G38" t="s">
        <v>20</v>
      </c>
      <c r="H38" t="s">
        <v>84</v>
      </c>
      <c r="I38" t="s">
        <v>169</v>
      </c>
      <c r="J38">
        <v>5</v>
      </c>
      <c r="K38">
        <v>450</v>
      </c>
      <c r="L38">
        <v>0.05</v>
      </c>
      <c r="M38">
        <v>2137.5</v>
      </c>
      <c r="N38">
        <v>1300</v>
      </c>
      <c r="O38">
        <v>837.5</v>
      </c>
    </row>
    <row r="39" spans="1:15" x14ac:dyDescent="0.25">
      <c r="A39" t="s">
        <v>170</v>
      </c>
      <c r="B39" s="2">
        <v>45695</v>
      </c>
      <c r="C39" t="s">
        <v>171</v>
      </c>
      <c r="D39" t="s">
        <v>172</v>
      </c>
      <c r="E39" t="s">
        <v>18</v>
      </c>
      <c r="F39" t="s">
        <v>115</v>
      </c>
      <c r="G39" t="s">
        <v>20</v>
      </c>
      <c r="H39" t="s">
        <v>21</v>
      </c>
      <c r="I39" t="s">
        <v>22</v>
      </c>
      <c r="J39">
        <v>5</v>
      </c>
      <c r="K39">
        <v>650</v>
      </c>
      <c r="L39">
        <v>0</v>
      </c>
      <c r="M39">
        <v>3250</v>
      </c>
      <c r="N39">
        <v>1950</v>
      </c>
      <c r="O39">
        <v>1300</v>
      </c>
    </row>
    <row r="40" spans="1:15" x14ac:dyDescent="0.25">
      <c r="A40" t="s">
        <v>173</v>
      </c>
      <c r="B40" s="2">
        <v>45696</v>
      </c>
      <c r="C40" t="s">
        <v>174</v>
      </c>
      <c r="D40" t="s">
        <v>175</v>
      </c>
      <c r="E40" t="s">
        <v>39</v>
      </c>
      <c r="F40" t="s">
        <v>40</v>
      </c>
      <c r="G40" t="s">
        <v>51</v>
      </c>
      <c r="H40" t="s">
        <v>21</v>
      </c>
      <c r="I40" t="s">
        <v>116</v>
      </c>
      <c r="J40">
        <v>5</v>
      </c>
      <c r="K40">
        <v>1400</v>
      </c>
      <c r="L40">
        <v>0.05</v>
      </c>
      <c r="M40">
        <v>6650</v>
      </c>
      <c r="N40">
        <v>4500</v>
      </c>
      <c r="O40">
        <v>2150</v>
      </c>
    </row>
    <row r="41" spans="1:15" x14ac:dyDescent="0.25">
      <c r="A41" t="s">
        <v>176</v>
      </c>
      <c r="B41" s="2">
        <v>45697</v>
      </c>
      <c r="C41" t="s">
        <v>177</v>
      </c>
      <c r="D41" t="s">
        <v>178</v>
      </c>
      <c r="E41" t="s">
        <v>26</v>
      </c>
      <c r="F41" t="s">
        <v>34</v>
      </c>
      <c r="G41" t="s">
        <v>20</v>
      </c>
      <c r="H41" t="s">
        <v>84</v>
      </c>
      <c r="I41" t="s">
        <v>85</v>
      </c>
      <c r="J41">
        <v>3</v>
      </c>
      <c r="K41">
        <v>280</v>
      </c>
      <c r="L41">
        <v>0.25</v>
      </c>
      <c r="M41">
        <v>630</v>
      </c>
      <c r="N41">
        <v>480</v>
      </c>
      <c r="O41">
        <v>150</v>
      </c>
    </row>
    <row r="42" spans="1:15" x14ac:dyDescent="0.25">
      <c r="A42" t="s">
        <v>179</v>
      </c>
      <c r="B42" s="2">
        <v>45698</v>
      </c>
      <c r="C42" t="s">
        <v>180</v>
      </c>
      <c r="D42" t="s">
        <v>181</v>
      </c>
      <c r="E42" t="s">
        <v>26</v>
      </c>
      <c r="F42" t="s">
        <v>34</v>
      </c>
      <c r="G42" t="s">
        <v>51</v>
      </c>
      <c r="H42" t="s">
        <v>21</v>
      </c>
      <c r="I42" t="s">
        <v>80</v>
      </c>
      <c r="J42">
        <v>2</v>
      </c>
      <c r="K42">
        <v>850</v>
      </c>
      <c r="L42">
        <v>0.1</v>
      </c>
      <c r="M42">
        <v>1530</v>
      </c>
      <c r="N42">
        <v>1120</v>
      </c>
      <c r="O42">
        <v>410</v>
      </c>
    </row>
    <row r="43" spans="1:15" x14ac:dyDescent="0.25">
      <c r="A43" t="s">
        <v>182</v>
      </c>
      <c r="B43" s="2">
        <v>45699</v>
      </c>
      <c r="C43" t="s">
        <v>183</v>
      </c>
      <c r="D43" t="s">
        <v>184</v>
      </c>
      <c r="E43" t="s">
        <v>39</v>
      </c>
      <c r="F43" t="s">
        <v>76</v>
      </c>
      <c r="G43" t="s">
        <v>28</v>
      </c>
      <c r="H43" t="s">
        <v>63</v>
      </c>
      <c r="I43" t="s">
        <v>64</v>
      </c>
      <c r="J43">
        <v>3</v>
      </c>
      <c r="K43">
        <v>2400</v>
      </c>
      <c r="L43">
        <v>0.15</v>
      </c>
      <c r="M43">
        <v>6120</v>
      </c>
      <c r="N43">
        <v>4950</v>
      </c>
      <c r="O43">
        <v>1170</v>
      </c>
    </row>
    <row r="44" spans="1:15" x14ac:dyDescent="0.25">
      <c r="A44" t="s">
        <v>185</v>
      </c>
      <c r="B44" s="2">
        <v>45700</v>
      </c>
      <c r="C44" t="s">
        <v>186</v>
      </c>
      <c r="D44" t="s">
        <v>187</v>
      </c>
      <c r="E44" t="s">
        <v>39</v>
      </c>
      <c r="F44" t="s">
        <v>124</v>
      </c>
      <c r="G44" t="s">
        <v>57</v>
      </c>
      <c r="H44" t="s">
        <v>188</v>
      </c>
      <c r="I44" t="s">
        <v>189</v>
      </c>
      <c r="J44">
        <v>5</v>
      </c>
      <c r="K44">
        <v>6200</v>
      </c>
      <c r="L44">
        <v>0.2</v>
      </c>
      <c r="M44">
        <v>24800</v>
      </c>
      <c r="N44">
        <v>21500</v>
      </c>
      <c r="O44">
        <v>3300</v>
      </c>
    </row>
    <row r="45" spans="1:15" x14ac:dyDescent="0.25">
      <c r="A45" t="s">
        <v>190</v>
      </c>
      <c r="B45" s="2">
        <v>45701</v>
      </c>
      <c r="C45" t="s">
        <v>191</v>
      </c>
      <c r="D45" t="s">
        <v>192</v>
      </c>
      <c r="E45" t="s">
        <v>18</v>
      </c>
      <c r="F45" t="s">
        <v>19</v>
      </c>
      <c r="G45" t="s">
        <v>51</v>
      </c>
      <c r="H45" t="s">
        <v>21</v>
      </c>
      <c r="I45" t="s">
        <v>80</v>
      </c>
      <c r="J45">
        <v>3</v>
      </c>
      <c r="K45">
        <v>850</v>
      </c>
      <c r="L45">
        <v>0.1</v>
      </c>
      <c r="M45">
        <v>2295</v>
      </c>
      <c r="N45">
        <v>1680</v>
      </c>
      <c r="O45">
        <v>615</v>
      </c>
    </row>
    <row r="46" spans="1:15" x14ac:dyDescent="0.25">
      <c r="A46" t="s">
        <v>193</v>
      </c>
      <c r="B46" s="2">
        <v>45702</v>
      </c>
      <c r="C46" t="s">
        <v>194</v>
      </c>
      <c r="D46" t="s">
        <v>195</v>
      </c>
      <c r="E46" t="s">
        <v>96</v>
      </c>
      <c r="F46" t="s">
        <v>196</v>
      </c>
      <c r="G46" t="s">
        <v>51</v>
      </c>
      <c r="H46" t="s">
        <v>89</v>
      </c>
      <c r="I46" t="s">
        <v>90</v>
      </c>
      <c r="J46">
        <v>2</v>
      </c>
      <c r="K46">
        <v>10500</v>
      </c>
      <c r="L46">
        <v>0</v>
      </c>
      <c r="M46">
        <v>21000</v>
      </c>
      <c r="N46">
        <v>15200</v>
      </c>
      <c r="O46">
        <v>5800</v>
      </c>
    </row>
    <row r="47" spans="1:15" x14ac:dyDescent="0.25">
      <c r="A47" t="s">
        <v>197</v>
      </c>
      <c r="B47" s="2">
        <v>45703</v>
      </c>
      <c r="C47" t="s">
        <v>198</v>
      </c>
      <c r="D47" t="s">
        <v>199</v>
      </c>
      <c r="E47" t="s">
        <v>96</v>
      </c>
      <c r="F47" t="s">
        <v>200</v>
      </c>
      <c r="G47" t="s">
        <v>57</v>
      </c>
      <c r="H47" t="s">
        <v>188</v>
      </c>
      <c r="I47" t="s">
        <v>189</v>
      </c>
      <c r="J47">
        <v>3</v>
      </c>
      <c r="K47">
        <v>6200</v>
      </c>
      <c r="L47">
        <v>0.2</v>
      </c>
      <c r="M47">
        <v>14880</v>
      </c>
      <c r="N47">
        <v>12900</v>
      </c>
      <c r="O47">
        <v>1980</v>
      </c>
    </row>
    <row r="48" spans="1:15" x14ac:dyDescent="0.25">
      <c r="A48" t="s">
        <v>201</v>
      </c>
      <c r="B48" s="2">
        <v>45704</v>
      </c>
      <c r="C48" t="s">
        <v>202</v>
      </c>
      <c r="D48" t="s">
        <v>203</v>
      </c>
      <c r="E48" t="s">
        <v>26</v>
      </c>
      <c r="F48" t="s">
        <v>204</v>
      </c>
      <c r="G48" t="s">
        <v>28</v>
      </c>
      <c r="H48" t="s">
        <v>29</v>
      </c>
      <c r="I48" t="s">
        <v>47</v>
      </c>
      <c r="J48">
        <v>2</v>
      </c>
      <c r="K48">
        <v>6800</v>
      </c>
      <c r="L48">
        <v>0.1</v>
      </c>
      <c r="M48">
        <v>12240</v>
      </c>
      <c r="N48">
        <v>9400</v>
      </c>
      <c r="O48">
        <v>2840</v>
      </c>
    </row>
    <row r="49" spans="1:15" x14ac:dyDescent="0.25">
      <c r="A49" t="s">
        <v>205</v>
      </c>
      <c r="B49" s="2">
        <v>45705</v>
      </c>
      <c r="C49" t="s">
        <v>206</v>
      </c>
      <c r="D49" t="s">
        <v>207</v>
      </c>
      <c r="E49" t="s">
        <v>39</v>
      </c>
      <c r="F49" t="s">
        <v>76</v>
      </c>
      <c r="G49" t="s">
        <v>51</v>
      </c>
      <c r="H49" t="s">
        <v>52</v>
      </c>
      <c r="I49" t="s">
        <v>208</v>
      </c>
      <c r="J49">
        <v>1</v>
      </c>
      <c r="K49">
        <v>2800</v>
      </c>
      <c r="L49">
        <v>0.05</v>
      </c>
      <c r="M49">
        <v>2660</v>
      </c>
      <c r="N49">
        <v>1800</v>
      </c>
      <c r="O49">
        <v>860</v>
      </c>
    </row>
    <row r="50" spans="1:15" x14ac:dyDescent="0.25">
      <c r="A50" t="s">
        <v>209</v>
      </c>
      <c r="B50" s="2">
        <v>45706</v>
      </c>
      <c r="C50" t="s">
        <v>122</v>
      </c>
      <c r="D50" t="s">
        <v>123</v>
      </c>
      <c r="E50" t="s">
        <v>96</v>
      </c>
      <c r="F50" t="s">
        <v>97</v>
      </c>
      <c r="G50" t="s">
        <v>20</v>
      </c>
      <c r="H50" t="s">
        <v>84</v>
      </c>
      <c r="I50" t="s">
        <v>210</v>
      </c>
      <c r="J50">
        <v>2</v>
      </c>
      <c r="K50">
        <v>300</v>
      </c>
      <c r="L50">
        <v>0</v>
      </c>
      <c r="M50">
        <v>600</v>
      </c>
      <c r="N50">
        <v>340</v>
      </c>
      <c r="O50">
        <v>260</v>
      </c>
    </row>
    <row r="51" spans="1:15" x14ac:dyDescent="0.25">
      <c r="A51" t="s">
        <v>211</v>
      </c>
      <c r="B51" s="2">
        <v>45707</v>
      </c>
      <c r="C51" t="s">
        <v>212</v>
      </c>
      <c r="D51" t="s">
        <v>213</v>
      </c>
      <c r="E51" t="s">
        <v>96</v>
      </c>
      <c r="F51" t="s">
        <v>120</v>
      </c>
      <c r="G51" t="s">
        <v>51</v>
      </c>
      <c r="H51" t="s">
        <v>89</v>
      </c>
      <c r="I51" t="s">
        <v>90</v>
      </c>
      <c r="J51">
        <v>3</v>
      </c>
      <c r="K51">
        <v>10500</v>
      </c>
      <c r="L51">
        <v>0.05</v>
      </c>
      <c r="M51">
        <v>29925</v>
      </c>
      <c r="N51">
        <v>22800</v>
      </c>
      <c r="O51">
        <v>7125</v>
      </c>
    </row>
    <row r="52" spans="1:15" x14ac:dyDescent="0.25">
      <c r="A52" t="s">
        <v>214</v>
      </c>
      <c r="B52" s="2">
        <v>45708</v>
      </c>
      <c r="C52" t="s">
        <v>74</v>
      </c>
      <c r="D52" t="s">
        <v>75</v>
      </c>
      <c r="E52" t="s">
        <v>26</v>
      </c>
      <c r="F52" t="s">
        <v>204</v>
      </c>
      <c r="G52" t="s">
        <v>20</v>
      </c>
      <c r="H52" t="s">
        <v>41</v>
      </c>
      <c r="I52" t="s">
        <v>42</v>
      </c>
      <c r="J52">
        <v>4</v>
      </c>
      <c r="K52">
        <v>520</v>
      </c>
      <c r="L52">
        <v>0.2</v>
      </c>
      <c r="M52">
        <v>1664</v>
      </c>
      <c r="N52">
        <v>1320</v>
      </c>
      <c r="O52">
        <v>344</v>
      </c>
    </row>
    <row r="53" spans="1:15" x14ac:dyDescent="0.25">
      <c r="A53" t="s">
        <v>215</v>
      </c>
      <c r="B53" s="2">
        <v>45709</v>
      </c>
      <c r="C53" t="s">
        <v>216</v>
      </c>
      <c r="D53" t="s">
        <v>217</v>
      </c>
      <c r="E53" t="s">
        <v>39</v>
      </c>
      <c r="F53" t="s">
        <v>124</v>
      </c>
      <c r="G53" t="s">
        <v>28</v>
      </c>
      <c r="H53" t="s">
        <v>29</v>
      </c>
      <c r="I53" t="s">
        <v>35</v>
      </c>
      <c r="J53">
        <v>5</v>
      </c>
      <c r="K53">
        <v>4200</v>
      </c>
      <c r="L53">
        <v>0.1</v>
      </c>
      <c r="M53">
        <v>18900</v>
      </c>
      <c r="N53">
        <v>14500</v>
      </c>
      <c r="O53">
        <v>4400</v>
      </c>
    </row>
    <row r="54" spans="1:15" x14ac:dyDescent="0.25">
      <c r="A54" t="s">
        <v>218</v>
      </c>
      <c r="B54" s="2">
        <v>45710</v>
      </c>
      <c r="C54" t="s">
        <v>219</v>
      </c>
      <c r="D54" t="s">
        <v>220</v>
      </c>
      <c r="E54" t="s">
        <v>96</v>
      </c>
      <c r="F54" t="s">
        <v>120</v>
      </c>
      <c r="G54" t="s">
        <v>28</v>
      </c>
      <c r="H54" t="s">
        <v>29</v>
      </c>
      <c r="I54" t="s">
        <v>30</v>
      </c>
      <c r="J54">
        <v>5</v>
      </c>
      <c r="K54">
        <v>1900</v>
      </c>
      <c r="L54">
        <v>0.2</v>
      </c>
      <c r="M54">
        <v>7600</v>
      </c>
      <c r="N54">
        <v>6250</v>
      </c>
      <c r="O54">
        <v>1350</v>
      </c>
    </row>
    <row r="55" spans="1:15" x14ac:dyDescent="0.25">
      <c r="A55" t="s">
        <v>221</v>
      </c>
      <c r="B55" s="2">
        <v>45711</v>
      </c>
      <c r="C55" t="s">
        <v>222</v>
      </c>
      <c r="D55" t="s">
        <v>223</v>
      </c>
      <c r="E55" t="s">
        <v>39</v>
      </c>
      <c r="F55" t="s">
        <v>76</v>
      </c>
      <c r="G55" t="s">
        <v>51</v>
      </c>
      <c r="H55" t="s">
        <v>89</v>
      </c>
      <c r="I55" t="s">
        <v>90</v>
      </c>
      <c r="J55">
        <v>2</v>
      </c>
      <c r="K55">
        <v>10500</v>
      </c>
      <c r="L55">
        <v>0.2</v>
      </c>
      <c r="M55">
        <v>16800</v>
      </c>
      <c r="N55">
        <v>15200</v>
      </c>
      <c r="O55">
        <v>1600</v>
      </c>
    </row>
    <row r="56" spans="1:15" x14ac:dyDescent="0.25">
      <c r="A56" t="s">
        <v>224</v>
      </c>
      <c r="B56" s="2">
        <v>45712</v>
      </c>
      <c r="C56" t="s">
        <v>225</v>
      </c>
      <c r="D56" t="s">
        <v>226</v>
      </c>
      <c r="E56" t="s">
        <v>18</v>
      </c>
      <c r="F56" t="s">
        <v>227</v>
      </c>
      <c r="G56" t="s">
        <v>51</v>
      </c>
      <c r="H56" t="s">
        <v>52</v>
      </c>
      <c r="I56" t="s">
        <v>208</v>
      </c>
      <c r="J56">
        <v>5</v>
      </c>
      <c r="K56">
        <v>2800</v>
      </c>
      <c r="L56">
        <v>0.15</v>
      </c>
      <c r="M56">
        <v>11900</v>
      </c>
      <c r="N56">
        <v>9000</v>
      </c>
      <c r="O56">
        <v>2900</v>
      </c>
    </row>
    <row r="57" spans="1:15" x14ac:dyDescent="0.25">
      <c r="A57" t="s">
        <v>228</v>
      </c>
      <c r="B57" s="2">
        <v>45713</v>
      </c>
      <c r="C57" t="s">
        <v>229</v>
      </c>
      <c r="D57" t="s">
        <v>230</v>
      </c>
      <c r="E57" t="s">
        <v>96</v>
      </c>
      <c r="F57" t="s">
        <v>120</v>
      </c>
      <c r="G57" t="s">
        <v>51</v>
      </c>
      <c r="H57" t="s">
        <v>21</v>
      </c>
      <c r="I57" t="s">
        <v>72</v>
      </c>
      <c r="J57">
        <v>3</v>
      </c>
      <c r="K57">
        <v>1800</v>
      </c>
      <c r="L57">
        <v>0.15</v>
      </c>
      <c r="M57">
        <v>4590</v>
      </c>
      <c r="N57">
        <v>3300</v>
      </c>
      <c r="O57">
        <v>1290</v>
      </c>
    </row>
    <row r="58" spans="1:15" x14ac:dyDescent="0.25">
      <c r="A58" t="s">
        <v>231</v>
      </c>
      <c r="B58" s="2">
        <v>45714</v>
      </c>
      <c r="C58" t="s">
        <v>232</v>
      </c>
      <c r="D58" t="s">
        <v>233</v>
      </c>
      <c r="E58" t="s">
        <v>39</v>
      </c>
      <c r="F58" t="s">
        <v>124</v>
      </c>
      <c r="G58" t="s">
        <v>51</v>
      </c>
      <c r="H58" t="s">
        <v>52</v>
      </c>
      <c r="I58" t="s">
        <v>53</v>
      </c>
      <c r="J58">
        <v>1</v>
      </c>
      <c r="K58">
        <v>2200</v>
      </c>
      <c r="L58">
        <v>0.05</v>
      </c>
      <c r="M58">
        <v>2090</v>
      </c>
      <c r="N58">
        <v>1450</v>
      </c>
      <c r="O58">
        <v>640</v>
      </c>
    </row>
    <row r="59" spans="1:15" x14ac:dyDescent="0.25">
      <c r="A59" t="s">
        <v>234</v>
      </c>
      <c r="B59" s="2">
        <v>45715</v>
      </c>
      <c r="C59" t="s">
        <v>235</v>
      </c>
      <c r="D59" t="s">
        <v>236</v>
      </c>
      <c r="E59" t="s">
        <v>18</v>
      </c>
      <c r="F59" t="s">
        <v>227</v>
      </c>
      <c r="G59" t="s">
        <v>51</v>
      </c>
      <c r="H59" t="s">
        <v>21</v>
      </c>
      <c r="I59" t="s">
        <v>80</v>
      </c>
      <c r="J59">
        <v>1</v>
      </c>
      <c r="K59">
        <v>850</v>
      </c>
      <c r="L59">
        <v>0.05</v>
      </c>
      <c r="M59">
        <v>807.5</v>
      </c>
      <c r="N59">
        <v>560</v>
      </c>
      <c r="O59">
        <v>247.5</v>
      </c>
    </row>
    <row r="60" spans="1:15" x14ac:dyDescent="0.25">
      <c r="A60" t="s">
        <v>237</v>
      </c>
      <c r="B60" s="2">
        <v>45716</v>
      </c>
      <c r="C60" t="s">
        <v>238</v>
      </c>
      <c r="D60" t="s">
        <v>239</v>
      </c>
      <c r="E60" t="s">
        <v>26</v>
      </c>
      <c r="F60" t="s">
        <v>46</v>
      </c>
      <c r="G60" t="s">
        <v>20</v>
      </c>
      <c r="H60" t="s">
        <v>84</v>
      </c>
      <c r="I60" t="s">
        <v>169</v>
      </c>
      <c r="J60">
        <v>4</v>
      </c>
      <c r="K60">
        <v>450</v>
      </c>
      <c r="L60">
        <v>0.25</v>
      </c>
      <c r="M60">
        <v>1350</v>
      </c>
      <c r="N60">
        <v>1040</v>
      </c>
      <c r="O60">
        <v>310</v>
      </c>
    </row>
    <row r="61" spans="1:15" x14ac:dyDescent="0.25">
      <c r="A61" t="s">
        <v>240</v>
      </c>
      <c r="B61" s="2">
        <v>45717</v>
      </c>
      <c r="C61" t="s">
        <v>241</v>
      </c>
      <c r="D61" t="s">
        <v>242</v>
      </c>
      <c r="E61" t="s">
        <v>39</v>
      </c>
      <c r="F61" t="s">
        <v>71</v>
      </c>
      <c r="G61" t="s">
        <v>51</v>
      </c>
      <c r="H61" t="s">
        <v>52</v>
      </c>
      <c r="I61" t="s">
        <v>208</v>
      </c>
      <c r="J61">
        <v>1</v>
      </c>
      <c r="K61">
        <v>2800</v>
      </c>
      <c r="L61">
        <v>0.15</v>
      </c>
      <c r="M61">
        <v>2380</v>
      </c>
      <c r="N61">
        <v>1800</v>
      </c>
      <c r="O61">
        <v>580</v>
      </c>
    </row>
    <row r="62" spans="1:15" x14ac:dyDescent="0.25">
      <c r="A62" t="s">
        <v>243</v>
      </c>
      <c r="B62" s="2">
        <v>45718</v>
      </c>
      <c r="C62" t="s">
        <v>244</v>
      </c>
      <c r="D62" t="s">
        <v>245</v>
      </c>
      <c r="E62" t="s">
        <v>18</v>
      </c>
      <c r="F62" t="s">
        <v>19</v>
      </c>
      <c r="G62" t="s">
        <v>51</v>
      </c>
      <c r="H62" t="s">
        <v>21</v>
      </c>
      <c r="I62" t="s">
        <v>116</v>
      </c>
      <c r="J62">
        <v>3</v>
      </c>
      <c r="K62">
        <v>1400</v>
      </c>
      <c r="L62">
        <v>0</v>
      </c>
      <c r="M62">
        <v>4200</v>
      </c>
      <c r="N62">
        <v>2700</v>
      </c>
      <c r="O62">
        <v>1500</v>
      </c>
    </row>
    <row r="63" spans="1:15" x14ac:dyDescent="0.25">
      <c r="A63" t="s">
        <v>246</v>
      </c>
      <c r="B63" s="2">
        <v>45719</v>
      </c>
      <c r="C63" t="s">
        <v>99</v>
      </c>
      <c r="D63" t="s">
        <v>100</v>
      </c>
      <c r="E63" t="s">
        <v>39</v>
      </c>
      <c r="F63" t="s">
        <v>124</v>
      </c>
      <c r="G63" t="s">
        <v>51</v>
      </c>
      <c r="H63" t="s">
        <v>89</v>
      </c>
      <c r="I63" t="s">
        <v>90</v>
      </c>
      <c r="J63">
        <v>2</v>
      </c>
      <c r="K63">
        <v>10500</v>
      </c>
      <c r="L63">
        <v>0.15</v>
      </c>
      <c r="M63">
        <v>17850</v>
      </c>
      <c r="N63">
        <v>15200</v>
      </c>
      <c r="O63">
        <v>2650</v>
      </c>
    </row>
    <row r="64" spans="1:15" x14ac:dyDescent="0.25">
      <c r="A64" t="s">
        <v>247</v>
      </c>
      <c r="B64" s="2">
        <v>45720</v>
      </c>
      <c r="C64" t="s">
        <v>248</v>
      </c>
      <c r="D64" t="s">
        <v>249</v>
      </c>
      <c r="E64" t="s">
        <v>39</v>
      </c>
      <c r="F64" t="s">
        <v>76</v>
      </c>
      <c r="G64" t="s">
        <v>28</v>
      </c>
      <c r="H64" t="s">
        <v>29</v>
      </c>
      <c r="I64" t="s">
        <v>47</v>
      </c>
      <c r="J64">
        <v>5</v>
      </c>
      <c r="K64">
        <v>6800</v>
      </c>
      <c r="L64">
        <v>0.15</v>
      </c>
      <c r="M64">
        <v>28900</v>
      </c>
      <c r="N64">
        <v>23500</v>
      </c>
      <c r="O64">
        <v>5400</v>
      </c>
    </row>
    <row r="65" spans="1:15" x14ac:dyDescent="0.25">
      <c r="A65" t="s">
        <v>250</v>
      </c>
      <c r="B65" s="2">
        <v>45721</v>
      </c>
      <c r="C65" t="s">
        <v>146</v>
      </c>
      <c r="D65" t="s">
        <v>147</v>
      </c>
      <c r="E65" t="s">
        <v>26</v>
      </c>
      <c r="F65" t="s">
        <v>204</v>
      </c>
      <c r="G65" t="s">
        <v>20</v>
      </c>
      <c r="H65" t="s">
        <v>41</v>
      </c>
      <c r="I65" t="s">
        <v>42</v>
      </c>
      <c r="J65">
        <v>5</v>
      </c>
      <c r="K65">
        <v>520</v>
      </c>
      <c r="L65">
        <v>0</v>
      </c>
      <c r="M65">
        <v>2600</v>
      </c>
      <c r="N65">
        <v>1650</v>
      </c>
      <c r="O65">
        <v>950</v>
      </c>
    </row>
    <row r="66" spans="1:15" x14ac:dyDescent="0.25">
      <c r="A66" t="s">
        <v>251</v>
      </c>
      <c r="B66" s="2">
        <v>45722</v>
      </c>
      <c r="C66" t="s">
        <v>252</v>
      </c>
      <c r="D66" t="s">
        <v>253</v>
      </c>
      <c r="E66" t="s">
        <v>26</v>
      </c>
      <c r="F66" t="s">
        <v>46</v>
      </c>
      <c r="G66" t="s">
        <v>20</v>
      </c>
      <c r="H66" t="s">
        <v>84</v>
      </c>
      <c r="I66" t="s">
        <v>210</v>
      </c>
      <c r="J66">
        <v>1</v>
      </c>
      <c r="K66">
        <v>300</v>
      </c>
      <c r="L66">
        <v>0.2</v>
      </c>
      <c r="M66">
        <v>240</v>
      </c>
      <c r="N66">
        <v>170</v>
      </c>
      <c r="O66">
        <v>70</v>
      </c>
    </row>
    <row r="67" spans="1:15" x14ac:dyDescent="0.25">
      <c r="A67" t="s">
        <v>254</v>
      </c>
      <c r="B67" s="2">
        <v>45723</v>
      </c>
      <c r="C67" t="s">
        <v>74</v>
      </c>
      <c r="D67" t="s">
        <v>75</v>
      </c>
      <c r="E67" t="s">
        <v>26</v>
      </c>
      <c r="F67" t="s">
        <v>204</v>
      </c>
      <c r="G67" t="s">
        <v>51</v>
      </c>
      <c r="H67" t="s">
        <v>52</v>
      </c>
      <c r="I67" t="s">
        <v>208</v>
      </c>
      <c r="J67">
        <v>5</v>
      </c>
      <c r="K67">
        <v>2800</v>
      </c>
      <c r="L67">
        <v>0.15</v>
      </c>
      <c r="M67">
        <v>11900</v>
      </c>
      <c r="N67">
        <v>9000</v>
      </c>
      <c r="O67">
        <v>2900</v>
      </c>
    </row>
    <row r="68" spans="1:15" x14ac:dyDescent="0.25">
      <c r="A68" t="s">
        <v>255</v>
      </c>
      <c r="B68" s="2">
        <v>45724</v>
      </c>
      <c r="C68" t="s">
        <v>256</v>
      </c>
      <c r="D68" t="s">
        <v>257</v>
      </c>
      <c r="E68" t="s">
        <v>26</v>
      </c>
      <c r="F68" t="s">
        <v>34</v>
      </c>
      <c r="G68" t="s">
        <v>51</v>
      </c>
      <c r="H68" t="s">
        <v>89</v>
      </c>
      <c r="I68" t="s">
        <v>90</v>
      </c>
      <c r="J68">
        <v>4</v>
      </c>
      <c r="K68">
        <v>10500</v>
      </c>
      <c r="L68">
        <v>0.05</v>
      </c>
      <c r="M68">
        <v>39900</v>
      </c>
      <c r="N68">
        <v>30400</v>
      </c>
      <c r="O68">
        <v>9500</v>
      </c>
    </row>
    <row r="69" spans="1:15" x14ac:dyDescent="0.25">
      <c r="A69" t="s">
        <v>258</v>
      </c>
      <c r="B69" s="2">
        <v>45725</v>
      </c>
      <c r="C69" t="s">
        <v>259</v>
      </c>
      <c r="D69" t="s">
        <v>260</v>
      </c>
      <c r="E69" t="s">
        <v>26</v>
      </c>
      <c r="F69" t="s">
        <v>204</v>
      </c>
      <c r="G69" t="s">
        <v>20</v>
      </c>
      <c r="H69" t="s">
        <v>41</v>
      </c>
      <c r="I69" t="s">
        <v>42</v>
      </c>
      <c r="J69">
        <v>4</v>
      </c>
      <c r="K69">
        <v>520</v>
      </c>
      <c r="L69">
        <v>0.05</v>
      </c>
      <c r="M69">
        <v>1976</v>
      </c>
      <c r="N69">
        <v>1320</v>
      </c>
      <c r="O69">
        <v>656</v>
      </c>
    </row>
    <row r="70" spans="1:15" x14ac:dyDescent="0.25">
      <c r="A70" t="s">
        <v>261</v>
      </c>
      <c r="B70" s="2">
        <v>45726</v>
      </c>
      <c r="C70" t="s">
        <v>262</v>
      </c>
      <c r="D70" t="s">
        <v>263</v>
      </c>
      <c r="E70" t="s">
        <v>96</v>
      </c>
      <c r="F70" t="s">
        <v>97</v>
      </c>
      <c r="G70" t="s">
        <v>51</v>
      </c>
      <c r="H70" t="s">
        <v>21</v>
      </c>
      <c r="I70" t="s">
        <v>116</v>
      </c>
      <c r="J70">
        <v>1</v>
      </c>
      <c r="K70">
        <v>1400</v>
      </c>
      <c r="L70">
        <v>0.15</v>
      </c>
      <c r="M70">
        <v>1190</v>
      </c>
      <c r="N70">
        <v>900</v>
      </c>
      <c r="O70">
        <v>290</v>
      </c>
    </row>
    <row r="71" spans="1:15" x14ac:dyDescent="0.25">
      <c r="A71" t="s">
        <v>264</v>
      </c>
      <c r="B71" s="2">
        <v>45727</v>
      </c>
      <c r="C71" t="s">
        <v>265</v>
      </c>
      <c r="D71" t="s">
        <v>266</v>
      </c>
      <c r="E71" t="s">
        <v>26</v>
      </c>
      <c r="F71" t="s">
        <v>34</v>
      </c>
      <c r="G71" t="s">
        <v>51</v>
      </c>
      <c r="H71" t="s">
        <v>52</v>
      </c>
      <c r="I71" t="s">
        <v>208</v>
      </c>
      <c r="J71">
        <v>3</v>
      </c>
      <c r="K71">
        <v>2800</v>
      </c>
      <c r="L71">
        <v>0.05</v>
      </c>
      <c r="M71">
        <v>7980</v>
      </c>
      <c r="N71">
        <v>5400</v>
      </c>
      <c r="O71">
        <v>2580</v>
      </c>
    </row>
    <row r="72" spans="1:15" x14ac:dyDescent="0.25">
      <c r="A72" t="s">
        <v>267</v>
      </c>
      <c r="B72" s="2">
        <v>45728</v>
      </c>
      <c r="C72" t="s">
        <v>268</v>
      </c>
      <c r="D72" t="s">
        <v>269</v>
      </c>
      <c r="E72" t="s">
        <v>18</v>
      </c>
      <c r="F72" t="s">
        <v>115</v>
      </c>
      <c r="G72" t="s">
        <v>51</v>
      </c>
      <c r="H72" t="s">
        <v>21</v>
      </c>
      <c r="I72" t="s">
        <v>80</v>
      </c>
      <c r="J72">
        <v>3</v>
      </c>
      <c r="K72">
        <v>850</v>
      </c>
      <c r="L72">
        <v>0.05</v>
      </c>
      <c r="M72">
        <v>2422.5</v>
      </c>
      <c r="N72">
        <v>1680</v>
      </c>
      <c r="O72">
        <v>742.5</v>
      </c>
    </row>
    <row r="73" spans="1:15" x14ac:dyDescent="0.25">
      <c r="A73" t="s">
        <v>270</v>
      </c>
      <c r="B73" s="2">
        <v>45729</v>
      </c>
      <c r="C73" t="s">
        <v>271</v>
      </c>
      <c r="D73" t="s">
        <v>272</v>
      </c>
      <c r="E73" t="s">
        <v>26</v>
      </c>
      <c r="F73" t="s">
        <v>27</v>
      </c>
      <c r="G73" t="s">
        <v>57</v>
      </c>
      <c r="H73" t="s">
        <v>188</v>
      </c>
      <c r="I73" t="s">
        <v>189</v>
      </c>
      <c r="J73">
        <v>2</v>
      </c>
      <c r="K73">
        <v>6200</v>
      </c>
      <c r="L73">
        <v>0.2</v>
      </c>
      <c r="M73">
        <v>9920</v>
      </c>
      <c r="N73">
        <v>8600</v>
      </c>
      <c r="O73">
        <v>1320</v>
      </c>
    </row>
    <row r="74" spans="1:15" x14ac:dyDescent="0.25">
      <c r="A74" t="s">
        <v>273</v>
      </c>
      <c r="B74" s="2">
        <v>45730</v>
      </c>
      <c r="C74" t="s">
        <v>146</v>
      </c>
      <c r="D74" t="s">
        <v>147</v>
      </c>
      <c r="E74" t="s">
        <v>39</v>
      </c>
      <c r="F74" t="s">
        <v>124</v>
      </c>
      <c r="G74" t="s">
        <v>51</v>
      </c>
      <c r="H74" t="s">
        <v>21</v>
      </c>
      <c r="I74" t="s">
        <v>116</v>
      </c>
      <c r="J74">
        <v>5</v>
      </c>
      <c r="K74">
        <v>1400</v>
      </c>
      <c r="L74">
        <v>0</v>
      </c>
      <c r="M74">
        <v>7000</v>
      </c>
      <c r="N74">
        <v>4500</v>
      </c>
      <c r="O74">
        <v>2500</v>
      </c>
    </row>
    <row r="75" spans="1:15" x14ac:dyDescent="0.25">
      <c r="A75" t="s">
        <v>274</v>
      </c>
      <c r="B75" s="2">
        <v>45731</v>
      </c>
      <c r="C75" t="s">
        <v>275</v>
      </c>
      <c r="D75" t="s">
        <v>276</v>
      </c>
      <c r="E75" t="s">
        <v>26</v>
      </c>
      <c r="F75" t="s">
        <v>27</v>
      </c>
      <c r="G75" t="s">
        <v>20</v>
      </c>
      <c r="H75" t="s">
        <v>41</v>
      </c>
      <c r="I75" t="s">
        <v>42</v>
      </c>
      <c r="J75">
        <v>4</v>
      </c>
      <c r="K75">
        <v>520</v>
      </c>
      <c r="L75">
        <v>0.1</v>
      </c>
      <c r="M75">
        <v>1872</v>
      </c>
      <c r="N75">
        <v>1320</v>
      </c>
      <c r="O75">
        <v>552</v>
      </c>
    </row>
    <row r="76" spans="1:15" x14ac:dyDescent="0.25">
      <c r="A76" t="s">
        <v>277</v>
      </c>
      <c r="B76" s="2">
        <v>45732</v>
      </c>
      <c r="C76" t="s">
        <v>278</v>
      </c>
      <c r="D76" t="s">
        <v>279</v>
      </c>
      <c r="E76" t="s">
        <v>26</v>
      </c>
      <c r="F76" t="s">
        <v>46</v>
      </c>
      <c r="G76" t="s">
        <v>51</v>
      </c>
      <c r="H76" t="s">
        <v>21</v>
      </c>
      <c r="I76" t="s">
        <v>116</v>
      </c>
      <c r="J76">
        <v>5</v>
      </c>
      <c r="K76">
        <v>1400</v>
      </c>
      <c r="L76">
        <v>0.05</v>
      </c>
      <c r="M76">
        <v>6650</v>
      </c>
      <c r="N76">
        <v>4500</v>
      </c>
      <c r="O76">
        <v>2150</v>
      </c>
    </row>
    <row r="77" spans="1:15" x14ac:dyDescent="0.25">
      <c r="A77" t="s">
        <v>280</v>
      </c>
      <c r="B77" s="2">
        <v>45733</v>
      </c>
      <c r="C77" t="s">
        <v>281</v>
      </c>
      <c r="D77" t="s">
        <v>282</v>
      </c>
      <c r="E77" t="s">
        <v>39</v>
      </c>
      <c r="F77" t="s">
        <v>71</v>
      </c>
      <c r="G77" t="s">
        <v>20</v>
      </c>
      <c r="H77" t="s">
        <v>84</v>
      </c>
      <c r="I77" t="s">
        <v>85</v>
      </c>
      <c r="J77">
        <v>3</v>
      </c>
      <c r="K77">
        <v>280</v>
      </c>
      <c r="L77">
        <v>0.25</v>
      </c>
      <c r="M77">
        <v>630</v>
      </c>
      <c r="N77">
        <v>480</v>
      </c>
      <c r="O77">
        <v>150</v>
      </c>
    </row>
    <row r="78" spans="1:15" x14ac:dyDescent="0.25">
      <c r="A78" t="s">
        <v>283</v>
      </c>
      <c r="B78" s="2">
        <v>45734</v>
      </c>
      <c r="C78" t="s">
        <v>284</v>
      </c>
      <c r="D78" t="s">
        <v>285</v>
      </c>
      <c r="E78" t="s">
        <v>26</v>
      </c>
      <c r="F78" t="s">
        <v>46</v>
      </c>
      <c r="G78" t="s">
        <v>28</v>
      </c>
      <c r="H78" t="s">
        <v>29</v>
      </c>
      <c r="I78" t="s">
        <v>35</v>
      </c>
      <c r="J78">
        <v>3</v>
      </c>
      <c r="K78">
        <v>4200</v>
      </c>
      <c r="L78">
        <v>0.05</v>
      </c>
      <c r="M78">
        <v>11970</v>
      </c>
      <c r="N78">
        <v>8700</v>
      </c>
      <c r="O78">
        <v>3270</v>
      </c>
    </row>
    <row r="79" spans="1:15" x14ac:dyDescent="0.25">
      <c r="A79" t="s">
        <v>286</v>
      </c>
      <c r="B79" s="2">
        <v>45735</v>
      </c>
      <c r="C79" t="s">
        <v>287</v>
      </c>
      <c r="D79" t="s">
        <v>288</v>
      </c>
      <c r="E79" t="s">
        <v>96</v>
      </c>
      <c r="F79" t="s">
        <v>120</v>
      </c>
      <c r="G79" t="s">
        <v>20</v>
      </c>
      <c r="H79" t="s">
        <v>84</v>
      </c>
      <c r="I79" t="s">
        <v>210</v>
      </c>
      <c r="J79">
        <v>5</v>
      </c>
      <c r="K79">
        <v>300</v>
      </c>
      <c r="L79">
        <v>0.05</v>
      </c>
      <c r="M79">
        <v>1425</v>
      </c>
      <c r="N79">
        <v>850</v>
      </c>
      <c r="O79">
        <v>575</v>
      </c>
    </row>
    <row r="80" spans="1:15" x14ac:dyDescent="0.25">
      <c r="A80" t="s">
        <v>289</v>
      </c>
      <c r="B80" s="2">
        <v>45736</v>
      </c>
      <c r="C80" t="s">
        <v>256</v>
      </c>
      <c r="D80" t="s">
        <v>257</v>
      </c>
      <c r="E80" t="s">
        <v>39</v>
      </c>
      <c r="F80" t="s">
        <v>124</v>
      </c>
      <c r="G80" t="s">
        <v>28</v>
      </c>
      <c r="H80" t="s">
        <v>29</v>
      </c>
      <c r="I80" t="s">
        <v>47</v>
      </c>
      <c r="J80">
        <v>5</v>
      </c>
      <c r="K80">
        <v>6800</v>
      </c>
      <c r="L80">
        <v>0</v>
      </c>
      <c r="M80">
        <v>34000</v>
      </c>
      <c r="N80">
        <v>23500</v>
      </c>
      <c r="O80">
        <v>10500</v>
      </c>
    </row>
    <row r="81" spans="1:15" x14ac:dyDescent="0.25">
      <c r="A81" t="s">
        <v>290</v>
      </c>
      <c r="B81" s="2">
        <v>45737</v>
      </c>
      <c r="C81" t="s">
        <v>291</v>
      </c>
      <c r="D81" t="s">
        <v>292</v>
      </c>
      <c r="E81" t="s">
        <v>96</v>
      </c>
      <c r="F81" t="s">
        <v>97</v>
      </c>
      <c r="G81" t="s">
        <v>20</v>
      </c>
      <c r="H81" t="s">
        <v>84</v>
      </c>
      <c r="I81" t="s">
        <v>169</v>
      </c>
      <c r="J81">
        <v>3</v>
      </c>
      <c r="K81">
        <v>450</v>
      </c>
      <c r="L81">
        <v>0.1</v>
      </c>
      <c r="M81">
        <v>1215</v>
      </c>
      <c r="N81">
        <v>780</v>
      </c>
      <c r="O81">
        <v>435</v>
      </c>
    </row>
    <row r="82" spans="1:15" x14ac:dyDescent="0.25">
      <c r="A82" t="s">
        <v>293</v>
      </c>
      <c r="B82" s="2">
        <v>45738</v>
      </c>
      <c r="C82" t="s">
        <v>294</v>
      </c>
      <c r="D82" t="s">
        <v>295</v>
      </c>
      <c r="E82" t="s">
        <v>18</v>
      </c>
      <c r="F82" t="s">
        <v>94</v>
      </c>
      <c r="G82" t="s">
        <v>51</v>
      </c>
      <c r="H82" t="s">
        <v>89</v>
      </c>
      <c r="I82" t="s">
        <v>90</v>
      </c>
      <c r="J82">
        <v>5</v>
      </c>
      <c r="K82">
        <v>10500</v>
      </c>
      <c r="L82">
        <v>0.15</v>
      </c>
      <c r="M82">
        <v>44625</v>
      </c>
      <c r="N82">
        <v>38000</v>
      </c>
      <c r="O82">
        <v>6625</v>
      </c>
    </row>
    <row r="83" spans="1:15" x14ac:dyDescent="0.25">
      <c r="A83" t="s">
        <v>296</v>
      </c>
      <c r="B83" s="2">
        <v>45739</v>
      </c>
      <c r="C83" t="s">
        <v>113</v>
      </c>
      <c r="D83" t="s">
        <v>114</v>
      </c>
      <c r="E83" t="s">
        <v>26</v>
      </c>
      <c r="F83" t="s">
        <v>128</v>
      </c>
      <c r="G83" t="s">
        <v>57</v>
      </c>
      <c r="H83" t="s">
        <v>58</v>
      </c>
      <c r="I83" t="s">
        <v>129</v>
      </c>
      <c r="J83">
        <v>3</v>
      </c>
      <c r="K83">
        <v>4800</v>
      </c>
      <c r="L83">
        <v>0.15</v>
      </c>
      <c r="M83">
        <v>12240</v>
      </c>
      <c r="N83">
        <v>9900</v>
      </c>
      <c r="O83">
        <v>2340</v>
      </c>
    </row>
    <row r="84" spans="1:15" x14ac:dyDescent="0.25">
      <c r="A84" t="s">
        <v>297</v>
      </c>
      <c r="B84" s="2">
        <v>45740</v>
      </c>
      <c r="C84" t="s">
        <v>298</v>
      </c>
      <c r="D84" t="s">
        <v>299</v>
      </c>
      <c r="E84" t="s">
        <v>39</v>
      </c>
      <c r="F84" t="s">
        <v>124</v>
      </c>
      <c r="G84" t="s">
        <v>28</v>
      </c>
      <c r="H84" t="s">
        <v>29</v>
      </c>
      <c r="I84" t="s">
        <v>35</v>
      </c>
      <c r="J84">
        <v>4</v>
      </c>
      <c r="K84">
        <v>4200</v>
      </c>
      <c r="L84">
        <v>0</v>
      </c>
      <c r="M84">
        <v>16800</v>
      </c>
      <c r="N84">
        <v>11600</v>
      </c>
      <c r="O84">
        <v>5200</v>
      </c>
    </row>
    <row r="85" spans="1:15" x14ac:dyDescent="0.25">
      <c r="A85" t="s">
        <v>300</v>
      </c>
      <c r="B85" s="2">
        <v>45741</v>
      </c>
      <c r="C85" t="s">
        <v>301</v>
      </c>
      <c r="D85" t="s">
        <v>302</v>
      </c>
      <c r="E85" t="s">
        <v>26</v>
      </c>
      <c r="F85" t="s">
        <v>204</v>
      </c>
      <c r="G85" t="s">
        <v>20</v>
      </c>
      <c r="H85" t="s">
        <v>41</v>
      </c>
      <c r="I85" t="s">
        <v>42</v>
      </c>
      <c r="J85">
        <v>4</v>
      </c>
      <c r="K85">
        <v>520</v>
      </c>
      <c r="L85">
        <v>0</v>
      </c>
      <c r="M85">
        <v>2080</v>
      </c>
      <c r="N85">
        <v>1320</v>
      </c>
      <c r="O85">
        <v>760</v>
      </c>
    </row>
    <row r="86" spans="1:15" x14ac:dyDescent="0.25">
      <c r="A86" t="s">
        <v>303</v>
      </c>
      <c r="B86" s="2">
        <v>45742</v>
      </c>
      <c r="C86" t="s">
        <v>140</v>
      </c>
      <c r="D86" t="s">
        <v>141</v>
      </c>
      <c r="E86" t="s">
        <v>26</v>
      </c>
      <c r="F86" t="s">
        <v>204</v>
      </c>
      <c r="G86" t="s">
        <v>57</v>
      </c>
      <c r="H86" t="s">
        <v>104</v>
      </c>
      <c r="I86" t="s">
        <v>105</v>
      </c>
      <c r="J86">
        <v>5</v>
      </c>
      <c r="K86">
        <v>7500</v>
      </c>
      <c r="L86">
        <v>0.05</v>
      </c>
      <c r="M86">
        <v>35625</v>
      </c>
      <c r="N86">
        <v>26000</v>
      </c>
      <c r="O86">
        <v>9625</v>
      </c>
    </row>
    <row r="87" spans="1:15" x14ac:dyDescent="0.25">
      <c r="A87" t="s">
        <v>304</v>
      </c>
      <c r="B87" s="2">
        <v>45743</v>
      </c>
      <c r="C87" t="s">
        <v>305</v>
      </c>
      <c r="D87" t="s">
        <v>306</v>
      </c>
      <c r="E87" t="s">
        <v>96</v>
      </c>
      <c r="F87" t="s">
        <v>97</v>
      </c>
      <c r="G87" t="s">
        <v>20</v>
      </c>
      <c r="H87" t="s">
        <v>41</v>
      </c>
      <c r="I87" t="s">
        <v>42</v>
      </c>
      <c r="J87">
        <v>3</v>
      </c>
      <c r="K87">
        <v>520</v>
      </c>
      <c r="L87">
        <v>0.15</v>
      </c>
      <c r="M87">
        <v>1326</v>
      </c>
      <c r="N87">
        <v>990</v>
      </c>
      <c r="O87">
        <v>336</v>
      </c>
    </row>
    <row r="88" spans="1:15" x14ac:dyDescent="0.25">
      <c r="A88" t="s">
        <v>307</v>
      </c>
      <c r="B88" s="2">
        <v>45744</v>
      </c>
      <c r="C88" t="s">
        <v>308</v>
      </c>
      <c r="D88" t="s">
        <v>309</v>
      </c>
      <c r="E88" t="s">
        <v>26</v>
      </c>
      <c r="F88" t="s">
        <v>34</v>
      </c>
      <c r="G88" t="s">
        <v>51</v>
      </c>
      <c r="H88" t="s">
        <v>89</v>
      </c>
      <c r="I88" t="s">
        <v>90</v>
      </c>
      <c r="J88">
        <v>5</v>
      </c>
      <c r="K88">
        <v>10500</v>
      </c>
      <c r="L88">
        <v>0.1</v>
      </c>
      <c r="M88">
        <v>47250</v>
      </c>
      <c r="N88">
        <v>38000</v>
      </c>
      <c r="O88">
        <v>9250</v>
      </c>
    </row>
    <row r="89" spans="1:15" x14ac:dyDescent="0.25">
      <c r="A89" t="s">
        <v>310</v>
      </c>
      <c r="B89" s="2">
        <v>45745</v>
      </c>
      <c r="C89" t="s">
        <v>311</v>
      </c>
      <c r="D89" t="s">
        <v>312</v>
      </c>
      <c r="E89" t="s">
        <v>26</v>
      </c>
      <c r="F89" t="s">
        <v>128</v>
      </c>
      <c r="G89" t="s">
        <v>20</v>
      </c>
      <c r="H89" t="s">
        <v>41</v>
      </c>
      <c r="I89" t="s">
        <v>42</v>
      </c>
      <c r="J89">
        <v>3</v>
      </c>
      <c r="K89">
        <v>520</v>
      </c>
      <c r="L89">
        <v>0.05</v>
      </c>
      <c r="M89">
        <v>1482</v>
      </c>
      <c r="N89">
        <v>990</v>
      </c>
      <c r="O89">
        <v>492</v>
      </c>
    </row>
    <row r="90" spans="1:15" x14ac:dyDescent="0.25">
      <c r="A90" t="s">
        <v>313</v>
      </c>
      <c r="B90" s="2">
        <v>45746</v>
      </c>
      <c r="C90" t="s">
        <v>314</v>
      </c>
      <c r="D90" t="s">
        <v>315</v>
      </c>
      <c r="E90" t="s">
        <v>96</v>
      </c>
      <c r="F90" t="s">
        <v>120</v>
      </c>
      <c r="G90" t="s">
        <v>28</v>
      </c>
      <c r="H90" t="s">
        <v>29</v>
      </c>
      <c r="I90" t="s">
        <v>30</v>
      </c>
      <c r="J90">
        <v>2</v>
      </c>
      <c r="K90">
        <v>1900</v>
      </c>
      <c r="L90">
        <v>0.2</v>
      </c>
      <c r="M90">
        <v>3040</v>
      </c>
      <c r="N90">
        <v>2500</v>
      </c>
      <c r="O90">
        <v>540</v>
      </c>
    </row>
    <row r="91" spans="1:15" x14ac:dyDescent="0.25">
      <c r="A91" t="s">
        <v>316</v>
      </c>
      <c r="B91" s="2">
        <v>45747</v>
      </c>
      <c r="C91" t="s">
        <v>317</v>
      </c>
      <c r="D91" t="s">
        <v>318</v>
      </c>
      <c r="E91" t="s">
        <v>26</v>
      </c>
      <c r="F91" t="s">
        <v>27</v>
      </c>
      <c r="G91" t="s">
        <v>57</v>
      </c>
      <c r="H91" t="s">
        <v>58</v>
      </c>
      <c r="I91" t="s">
        <v>129</v>
      </c>
      <c r="J91">
        <v>2</v>
      </c>
      <c r="K91">
        <v>4800</v>
      </c>
      <c r="L91">
        <v>0.25</v>
      </c>
      <c r="M91">
        <v>7200</v>
      </c>
      <c r="N91">
        <v>6600</v>
      </c>
      <c r="O91">
        <v>600</v>
      </c>
    </row>
    <row r="92" spans="1:15" x14ac:dyDescent="0.25">
      <c r="A92" t="s">
        <v>319</v>
      </c>
      <c r="B92" s="2">
        <v>45748</v>
      </c>
      <c r="C92" t="s">
        <v>320</v>
      </c>
      <c r="D92" t="s">
        <v>321</v>
      </c>
      <c r="E92" t="s">
        <v>18</v>
      </c>
      <c r="F92" t="s">
        <v>115</v>
      </c>
      <c r="G92" t="s">
        <v>20</v>
      </c>
      <c r="H92" t="s">
        <v>41</v>
      </c>
      <c r="I92" t="s">
        <v>42</v>
      </c>
      <c r="J92">
        <v>1</v>
      </c>
      <c r="K92">
        <v>520</v>
      </c>
      <c r="L92">
        <v>0.15</v>
      </c>
      <c r="M92">
        <v>442</v>
      </c>
      <c r="N92">
        <v>330</v>
      </c>
      <c r="O92">
        <v>112</v>
      </c>
    </row>
    <row r="93" spans="1:15" x14ac:dyDescent="0.25">
      <c r="A93" t="s">
        <v>322</v>
      </c>
      <c r="B93" s="2">
        <v>45749</v>
      </c>
      <c r="C93" t="s">
        <v>323</v>
      </c>
      <c r="D93" t="s">
        <v>324</v>
      </c>
      <c r="E93" t="s">
        <v>26</v>
      </c>
      <c r="F93" t="s">
        <v>128</v>
      </c>
      <c r="G93" t="s">
        <v>57</v>
      </c>
      <c r="H93" t="s">
        <v>58</v>
      </c>
      <c r="I93" t="s">
        <v>59</v>
      </c>
      <c r="J93">
        <v>3</v>
      </c>
      <c r="K93">
        <v>5600</v>
      </c>
      <c r="L93">
        <v>0</v>
      </c>
      <c r="M93">
        <v>16800</v>
      </c>
      <c r="N93">
        <v>11700</v>
      </c>
      <c r="O93">
        <v>5100</v>
      </c>
    </row>
    <row r="94" spans="1:15" x14ac:dyDescent="0.25">
      <c r="A94" t="s">
        <v>325</v>
      </c>
      <c r="B94" s="2">
        <v>45750</v>
      </c>
      <c r="C94" t="s">
        <v>305</v>
      </c>
      <c r="D94" t="s">
        <v>306</v>
      </c>
      <c r="E94" t="s">
        <v>96</v>
      </c>
      <c r="F94" t="s">
        <v>97</v>
      </c>
      <c r="G94" t="s">
        <v>20</v>
      </c>
      <c r="H94" t="s">
        <v>84</v>
      </c>
      <c r="I94" t="s">
        <v>85</v>
      </c>
      <c r="J94">
        <v>4</v>
      </c>
      <c r="K94">
        <v>280</v>
      </c>
      <c r="L94">
        <v>0.1</v>
      </c>
      <c r="M94">
        <v>1008</v>
      </c>
      <c r="N94">
        <v>640</v>
      </c>
      <c r="O94">
        <v>368</v>
      </c>
    </row>
    <row r="95" spans="1:15" x14ac:dyDescent="0.25">
      <c r="A95" t="s">
        <v>326</v>
      </c>
      <c r="B95" s="2">
        <v>45751</v>
      </c>
      <c r="C95" t="s">
        <v>327</v>
      </c>
      <c r="D95" t="s">
        <v>328</v>
      </c>
      <c r="E95" t="s">
        <v>26</v>
      </c>
      <c r="F95" t="s">
        <v>27</v>
      </c>
      <c r="G95" t="s">
        <v>28</v>
      </c>
      <c r="H95" t="s">
        <v>29</v>
      </c>
      <c r="I95" t="s">
        <v>35</v>
      </c>
      <c r="J95">
        <v>3</v>
      </c>
      <c r="K95">
        <v>4200</v>
      </c>
      <c r="L95">
        <v>0.1</v>
      </c>
      <c r="M95">
        <v>11340</v>
      </c>
      <c r="N95">
        <v>8700</v>
      </c>
      <c r="O95">
        <v>2640</v>
      </c>
    </row>
    <row r="96" spans="1:15" x14ac:dyDescent="0.25">
      <c r="A96" t="s">
        <v>329</v>
      </c>
      <c r="B96" s="2">
        <v>45752</v>
      </c>
      <c r="C96" t="s">
        <v>330</v>
      </c>
      <c r="D96" t="s">
        <v>331</v>
      </c>
      <c r="E96" t="s">
        <v>96</v>
      </c>
      <c r="F96" t="s">
        <v>196</v>
      </c>
      <c r="G96" t="s">
        <v>20</v>
      </c>
      <c r="H96" t="s">
        <v>21</v>
      </c>
      <c r="I96" t="s">
        <v>22</v>
      </c>
      <c r="J96">
        <v>4</v>
      </c>
      <c r="K96">
        <v>650</v>
      </c>
      <c r="L96">
        <v>0.1</v>
      </c>
      <c r="M96">
        <v>2340</v>
      </c>
      <c r="N96">
        <v>1560</v>
      </c>
      <c r="O96">
        <v>780</v>
      </c>
    </row>
    <row r="97" spans="1:15" x14ac:dyDescent="0.25">
      <c r="A97" t="s">
        <v>332</v>
      </c>
      <c r="B97" s="2">
        <v>45753</v>
      </c>
      <c r="C97" t="s">
        <v>333</v>
      </c>
      <c r="D97" t="s">
        <v>334</v>
      </c>
      <c r="E97" t="s">
        <v>18</v>
      </c>
      <c r="F97" t="s">
        <v>227</v>
      </c>
      <c r="G97" t="s">
        <v>28</v>
      </c>
      <c r="H97" t="s">
        <v>29</v>
      </c>
      <c r="I97" t="s">
        <v>30</v>
      </c>
      <c r="J97">
        <v>3</v>
      </c>
      <c r="K97">
        <v>1900</v>
      </c>
      <c r="L97">
        <v>0.2</v>
      </c>
      <c r="M97">
        <v>4560</v>
      </c>
      <c r="N97">
        <v>3750</v>
      </c>
      <c r="O97">
        <v>810</v>
      </c>
    </row>
    <row r="98" spans="1:15" x14ac:dyDescent="0.25">
      <c r="A98" t="s">
        <v>335</v>
      </c>
      <c r="B98" s="2">
        <v>45754</v>
      </c>
      <c r="C98" t="s">
        <v>336</v>
      </c>
      <c r="D98" t="s">
        <v>337</v>
      </c>
      <c r="E98" t="s">
        <v>26</v>
      </c>
      <c r="F98" t="s">
        <v>46</v>
      </c>
      <c r="G98" t="s">
        <v>28</v>
      </c>
      <c r="H98" t="s">
        <v>29</v>
      </c>
      <c r="I98" t="s">
        <v>35</v>
      </c>
      <c r="J98">
        <v>5</v>
      </c>
      <c r="K98">
        <v>4200</v>
      </c>
      <c r="L98">
        <v>0.2</v>
      </c>
      <c r="M98">
        <v>16800</v>
      </c>
      <c r="N98">
        <v>14500</v>
      </c>
      <c r="O98">
        <v>2300</v>
      </c>
    </row>
    <row r="99" spans="1:15" x14ac:dyDescent="0.25">
      <c r="A99" t="s">
        <v>338</v>
      </c>
      <c r="B99" s="2">
        <v>45755</v>
      </c>
      <c r="C99" t="s">
        <v>259</v>
      </c>
      <c r="D99" t="s">
        <v>260</v>
      </c>
      <c r="E99" t="s">
        <v>26</v>
      </c>
      <c r="F99" t="s">
        <v>27</v>
      </c>
      <c r="G99" t="s">
        <v>57</v>
      </c>
      <c r="H99" t="s">
        <v>104</v>
      </c>
      <c r="I99" t="s">
        <v>105</v>
      </c>
      <c r="J99">
        <v>1</v>
      </c>
      <c r="K99">
        <v>7500</v>
      </c>
      <c r="L99">
        <v>0.15</v>
      </c>
      <c r="M99">
        <v>6375</v>
      </c>
      <c r="N99">
        <v>5200</v>
      </c>
      <c r="O99">
        <v>1175</v>
      </c>
    </row>
    <row r="100" spans="1:15" x14ac:dyDescent="0.25">
      <c r="A100" t="s">
        <v>339</v>
      </c>
      <c r="B100" s="2">
        <v>45756</v>
      </c>
      <c r="C100" t="s">
        <v>340</v>
      </c>
      <c r="D100" t="s">
        <v>341</v>
      </c>
      <c r="E100" t="s">
        <v>18</v>
      </c>
      <c r="F100" t="s">
        <v>19</v>
      </c>
      <c r="G100" t="s">
        <v>20</v>
      </c>
      <c r="H100" t="s">
        <v>84</v>
      </c>
      <c r="I100" t="s">
        <v>85</v>
      </c>
      <c r="J100">
        <v>5</v>
      </c>
      <c r="K100">
        <v>280</v>
      </c>
      <c r="L100">
        <v>0.2</v>
      </c>
      <c r="M100">
        <v>1120</v>
      </c>
      <c r="N100">
        <v>800</v>
      </c>
      <c r="O100">
        <v>320</v>
      </c>
    </row>
    <row r="101" spans="1:15" x14ac:dyDescent="0.25">
      <c r="A101" t="s">
        <v>342</v>
      </c>
      <c r="B101" s="2">
        <v>45757</v>
      </c>
      <c r="C101" t="s">
        <v>343</v>
      </c>
      <c r="D101" t="s">
        <v>344</v>
      </c>
      <c r="E101" t="s">
        <v>96</v>
      </c>
      <c r="F101" t="s">
        <v>97</v>
      </c>
      <c r="G101" t="s">
        <v>51</v>
      </c>
      <c r="H101" t="s">
        <v>21</v>
      </c>
      <c r="I101" t="s">
        <v>72</v>
      </c>
      <c r="J101">
        <v>4</v>
      </c>
      <c r="K101">
        <v>1800</v>
      </c>
      <c r="L101">
        <v>0.1</v>
      </c>
      <c r="M101">
        <v>6480</v>
      </c>
      <c r="N101">
        <v>4400</v>
      </c>
      <c r="O101">
        <v>2080</v>
      </c>
    </row>
    <row r="102" spans="1:15" x14ac:dyDescent="0.25">
      <c r="A102" t="s">
        <v>345</v>
      </c>
      <c r="B102" s="2">
        <v>45758</v>
      </c>
      <c r="C102" t="s">
        <v>346</v>
      </c>
      <c r="D102" t="s">
        <v>347</v>
      </c>
      <c r="E102" t="s">
        <v>26</v>
      </c>
      <c r="F102" t="s">
        <v>34</v>
      </c>
      <c r="G102" t="s">
        <v>20</v>
      </c>
      <c r="H102" t="s">
        <v>84</v>
      </c>
      <c r="I102" t="s">
        <v>85</v>
      </c>
      <c r="J102">
        <v>3</v>
      </c>
      <c r="K102">
        <v>280</v>
      </c>
      <c r="L102">
        <v>0.05</v>
      </c>
      <c r="M102">
        <v>798</v>
      </c>
      <c r="N102">
        <v>480</v>
      </c>
      <c r="O102">
        <v>318</v>
      </c>
    </row>
    <row r="103" spans="1:15" x14ac:dyDescent="0.25">
      <c r="A103" t="s">
        <v>348</v>
      </c>
      <c r="B103" s="2">
        <v>45759</v>
      </c>
      <c r="C103" t="s">
        <v>82</v>
      </c>
      <c r="D103" t="s">
        <v>83</v>
      </c>
      <c r="E103" t="s">
        <v>96</v>
      </c>
      <c r="F103" t="s">
        <v>120</v>
      </c>
      <c r="G103" t="s">
        <v>20</v>
      </c>
      <c r="H103" t="s">
        <v>84</v>
      </c>
      <c r="I103" t="s">
        <v>85</v>
      </c>
      <c r="J103">
        <v>3</v>
      </c>
      <c r="K103">
        <v>280</v>
      </c>
      <c r="L103">
        <v>0</v>
      </c>
      <c r="M103">
        <v>840</v>
      </c>
      <c r="N103">
        <v>480</v>
      </c>
      <c r="O103">
        <v>360</v>
      </c>
    </row>
    <row r="104" spans="1:15" x14ac:dyDescent="0.25">
      <c r="A104" t="s">
        <v>349</v>
      </c>
      <c r="B104" s="2">
        <v>45760</v>
      </c>
      <c r="C104" t="s">
        <v>350</v>
      </c>
      <c r="D104" t="s">
        <v>351</v>
      </c>
      <c r="E104" t="s">
        <v>39</v>
      </c>
      <c r="F104" t="s">
        <v>124</v>
      </c>
      <c r="G104" t="s">
        <v>57</v>
      </c>
      <c r="H104" t="s">
        <v>104</v>
      </c>
      <c r="I104" t="s">
        <v>105</v>
      </c>
      <c r="J104">
        <v>4</v>
      </c>
      <c r="K104">
        <v>7500</v>
      </c>
      <c r="L104">
        <v>0.2</v>
      </c>
      <c r="M104">
        <v>24000</v>
      </c>
      <c r="N104">
        <v>20800</v>
      </c>
      <c r="O104">
        <v>3200</v>
      </c>
    </row>
    <row r="105" spans="1:15" x14ac:dyDescent="0.25">
      <c r="A105" t="s">
        <v>352</v>
      </c>
      <c r="B105" s="2">
        <v>45761</v>
      </c>
      <c r="C105" t="s">
        <v>353</v>
      </c>
      <c r="D105" t="s">
        <v>354</v>
      </c>
      <c r="E105" t="s">
        <v>96</v>
      </c>
      <c r="F105" t="s">
        <v>120</v>
      </c>
      <c r="G105" t="s">
        <v>57</v>
      </c>
      <c r="H105" t="s">
        <v>58</v>
      </c>
      <c r="I105" t="s">
        <v>59</v>
      </c>
      <c r="J105">
        <v>5</v>
      </c>
      <c r="K105">
        <v>5600</v>
      </c>
      <c r="L105">
        <v>0.1</v>
      </c>
      <c r="M105">
        <v>25200</v>
      </c>
      <c r="N105">
        <v>19500</v>
      </c>
      <c r="O105">
        <v>5700</v>
      </c>
    </row>
    <row r="106" spans="1:15" x14ac:dyDescent="0.25">
      <c r="A106" t="s">
        <v>355</v>
      </c>
      <c r="B106" s="2">
        <v>45762</v>
      </c>
      <c r="C106" t="s">
        <v>69</v>
      </c>
      <c r="D106" t="s">
        <v>70</v>
      </c>
      <c r="E106" t="s">
        <v>39</v>
      </c>
      <c r="F106" t="s">
        <v>124</v>
      </c>
      <c r="G106" t="s">
        <v>51</v>
      </c>
      <c r="H106" t="s">
        <v>21</v>
      </c>
      <c r="I106" t="s">
        <v>116</v>
      </c>
      <c r="J106">
        <v>2</v>
      </c>
      <c r="K106">
        <v>1400</v>
      </c>
      <c r="L106">
        <v>0</v>
      </c>
      <c r="M106">
        <v>2800</v>
      </c>
      <c r="N106">
        <v>1800</v>
      </c>
      <c r="O106">
        <v>1000</v>
      </c>
    </row>
    <row r="107" spans="1:15" x14ac:dyDescent="0.25">
      <c r="A107" t="s">
        <v>356</v>
      </c>
      <c r="B107" s="2">
        <v>45763</v>
      </c>
      <c r="C107" t="s">
        <v>357</v>
      </c>
      <c r="D107" t="s">
        <v>358</v>
      </c>
      <c r="E107" t="s">
        <v>96</v>
      </c>
      <c r="F107" t="s">
        <v>196</v>
      </c>
      <c r="G107" t="s">
        <v>20</v>
      </c>
      <c r="H107" t="s">
        <v>84</v>
      </c>
      <c r="I107" t="s">
        <v>169</v>
      </c>
      <c r="J107">
        <v>5</v>
      </c>
      <c r="K107">
        <v>450</v>
      </c>
      <c r="L107">
        <v>0.05</v>
      </c>
      <c r="M107">
        <v>2137.5</v>
      </c>
      <c r="N107">
        <v>1300</v>
      </c>
      <c r="O107">
        <v>837.5</v>
      </c>
    </row>
    <row r="108" spans="1:15" x14ac:dyDescent="0.25">
      <c r="A108" t="s">
        <v>359</v>
      </c>
      <c r="B108" s="2">
        <v>45764</v>
      </c>
      <c r="C108" t="s">
        <v>360</v>
      </c>
      <c r="D108" t="s">
        <v>361</v>
      </c>
      <c r="E108" t="s">
        <v>18</v>
      </c>
      <c r="F108" t="s">
        <v>227</v>
      </c>
      <c r="G108" t="s">
        <v>57</v>
      </c>
      <c r="H108" t="s">
        <v>58</v>
      </c>
      <c r="I108" t="s">
        <v>129</v>
      </c>
      <c r="J108">
        <v>3</v>
      </c>
      <c r="K108">
        <v>4800</v>
      </c>
      <c r="L108">
        <v>0.2</v>
      </c>
      <c r="M108">
        <v>11520</v>
      </c>
      <c r="N108">
        <v>9900</v>
      </c>
      <c r="O108">
        <v>1620</v>
      </c>
    </row>
    <row r="109" spans="1:15" x14ac:dyDescent="0.25">
      <c r="A109" t="s">
        <v>362</v>
      </c>
      <c r="B109" s="2">
        <v>45765</v>
      </c>
      <c r="C109" t="s">
        <v>363</v>
      </c>
      <c r="D109" t="s">
        <v>364</v>
      </c>
      <c r="E109" t="s">
        <v>39</v>
      </c>
      <c r="F109" t="s">
        <v>40</v>
      </c>
      <c r="G109" t="s">
        <v>57</v>
      </c>
      <c r="H109" t="s">
        <v>104</v>
      </c>
      <c r="I109" t="s">
        <v>105</v>
      </c>
      <c r="J109">
        <v>2</v>
      </c>
      <c r="K109">
        <v>7500</v>
      </c>
      <c r="L109">
        <v>0.1</v>
      </c>
      <c r="M109">
        <v>13500</v>
      </c>
      <c r="N109">
        <v>10400</v>
      </c>
      <c r="O109">
        <v>3100</v>
      </c>
    </row>
    <row r="110" spans="1:15" x14ac:dyDescent="0.25">
      <c r="A110" t="s">
        <v>365</v>
      </c>
      <c r="B110" s="2">
        <v>45766</v>
      </c>
      <c r="C110" t="s">
        <v>366</v>
      </c>
      <c r="D110" t="s">
        <v>367</v>
      </c>
      <c r="E110" t="s">
        <v>26</v>
      </c>
      <c r="F110" t="s">
        <v>128</v>
      </c>
      <c r="G110" t="s">
        <v>57</v>
      </c>
      <c r="H110" t="s">
        <v>188</v>
      </c>
      <c r="I110" t="s">
        <v>189</v>
      </c>
      <c r="J110">
        <v>3</v>
      </c>
      <c r="K110">
        <v>6200</v>
      </c>
      <c r="L110">
        <v>0.05</v>
      </c>
      <c r="M110">
        <v>17670</v>
      </c>
      <c r="N110">
        <v>12900</v>
      </c>
      <c r="O110">
        <v>4770</v>
      </c>
    </row>
    <row r="111" spans="1:15" x14ac:dyDescent="0.25">
      <c r="A111" t="s">
        <v>368</v>
      </c>
      <c r="B111" s="2">
        <v>45767</v>
      </c>
      <c r="C111" t="s">
        <v>369</v>
      </c>
      <c r="D111" t="s">
        <v>370</v>
      </c>
      <c r="E111" t="s">
        <v>96</v>
      </c>
      <c r="F111" t="s">
        <v>200</v>
      </c>
      <c r="G111" t="s">
        <v>20</v>
      </c>
      <c r="H111" t="s">
        <v>41</v>
      </c>
      <c r="I111" t="s">
        <v>42</v>
      </c>
      <c r="J111">
        <v>4</v>
      </c>
      <c r="K111">
        <v>520</v>
      </c>
      <c r="L111">
        <v>0.1</v>
      </c>
      <c r="M111">
        <v>1872</v>
      </c>
      <c r="N111">
        <v>1320</v>
      </c>
      <c r="O111">
        <v>552</v>
      </c>
    </row>
    <row r="112" spans="1:15" x14ac:dyDescent="0.25">
      <c r="A112" t="s">
        <v>371</v>
      </c>
      <c r="B112" s="2">
        <v>45768</v>
      </c>
      <c r="C112" t="s">
        <v>372</v>
      </c>
      <c r="D112" t="s">
        <v>373</v>
      </c>
      <c r="E112" t="s">
        <v>26</v>
      </c>
      <c r="F112" t="s">
        <v>128</v>
      </c>
      <c r="G112" t="s">
        <v>20</v>
      </c>
      <c r="H112" t="s">
        <v>21</v>
      </c>
      <c r="I112" t="s">
        <v>22</v>
      </c>
      <c r="J112">
        <v>4</v>
      </c>
      <c r="K112">
        <v>650</v>
      </c>
      <c r="L112">
        <v>0.05</v>
      </c>
      <c r="M112">
        <v>2470</v>
      </c>
      <c r="N112">
        <v>1560</v>
      </c>
      <c r="O112">
        <v>910</v>
      </c>
    </row>
    <row r="113" spans="1:15" x14ac:dyDescent="0.25">
      <c r="A113" t="s">
        <v>374</v>
      </c>
      <c r="B113" s="2">
        <v>45769</v>
      </c>
      <c r="C113" t="s">
        <v>375</v>
      </c>
      <c r="D113" t="s">
        <v>376</v>
      </c>
      <c r="E113" t="s">
        <v>26</v>
      </c>
      <c r="F113" t="s">
        <v>34</v>
      </c>
      <c r="G113" t="s">
        <v>51</v>
      </c>
      <c r="H113" t="s">
        <v>21</v>
      </c>
      <c r="I113" t="s">
        <v>72</v>
      </c>
      <c r="J113">
        <v>1</v>
      </c>
      <c r="K113">
        <v>1800</v>
      </c>
      <c r="L113">
        <v>0.15</v>
      </c>
      <c r="M113">
        <v>1530</v>
      </c>
      <c r="N113">
        <v>1100</v>
      </c>
      <c r="O113">
        <v>430</v>
      </c>
    </row>
    <row r="114" spans="1:15" x14ac:dyDescent="0.25">
      <c r="A114" t="s">
        <v>377</v>
      </c>
      <c r="B114" s="2">
        <v>45770</v>
      </c>
      <c r="C114" t="s">
        <v>378</v>
      </c>
      <c r="D114" t="s">
        <v>379</v>
      </c>
      <c r="E114" t="s">
        <v>26</v>
      </c>
      <c r="F114" t="s">
        <v>34</v>
      </c>
      <c r="G114" t="s">
        <v>57</v>
      </c>
      <c r="H114" t="s">
        <v>58</v>
      </c>
      <c r="I114" t="s">
        <v>59</v>
      </c>
      <c r="J114">
        <v>5</v>
      </c>
      <c r="K114">
        <v>5600</v>
      </c>
      <c r="L114">
        <v>0.15</v>
      </c>
      <c r="M114">
        <v>23800</v>
      </c>
      <c r="N114">
        <v>19500</v>
      </c>
      <c r="O114">
        <v>4300</v>
      </c>
    </row>
    <row r="115" spans="1:15" x14ac:dyDescent="0.25">
      <c r="A115" t="s">
        <v>380</v>
      </c>
      <c r="B115" s="2">
        <v>45771</v>
      </c>
      <c r="C115" t="s">
        <v>381</v>
      </c>
      <c r="D115" t="s">
        <v>382</v>
      </c>
      <c r="E115" t="s">
        <v>39</v>
      </c>
      <c r="F115" t="s">
        <v>76</v>
      </c>
      <c r="G115" t="s">
        <v>20</v>
      </c>
      <c r="H115" t="s">
        <v>84</v>
      </c>
      <c r="I115" t="s">
        <v>210</v>
      </c>
      <c r="J115">
        <v>2</v>
      </c>
      <c r="K115">
        <v>300</v>
      </c>
      <c r="L115">
        <v>0</v>
      </c>
      <c r="M115">
        <v>600</v>
      </c>
      <c r="N115">
        <v>340</v>
      </c>
      <c r="O115">
        <v>260</v>
      </c>
    </row>
    <row r="116" spans="1:15" x14ac:dyDescent="0.25">
      <c r="A116" t="s">
        <v>383</v>
      </c>
      <c r="B116" s="2">
        <v>45772</v>
      </c>
      <c r="C116" t="s">
        <v>384</v>
      </c>
      <c r="D116" t="s">
        <v>385</v>
      </c>
      <c r="E116" t="s">
        <v>26</v>
      </c>
      <c r="F116" t="s">
        <v>27</v>
      </c>
      <c r="G116" t="s">
        <v>20</v>
      </c>
      <c r="H116" t="s">
        <v>41</v>
      </c>
      <c r="I116" t="s">
        <v>42</v>
      </c>
      <c r="J116">
        <v>4</v>
      </c>
      <c r="K116">
        <v>520</v>
      </c>
      <c r="L116">
        <v>0.15</v>
      </c>
      <c r="M116">
        <v>1768</v>
      </c>
      <c r="N116">
        <v>1320</v>
      </c>
      <c r="O116">
        <v>448</v>
      </c>
    </row>
    <row r="117" spans="1:15" x14ac:dyDescent="0.25">
      <c r="A117" t="s">
        <v>386</v>
      </c>
      <c r="B117" s="2">
        <v>45773</v>
      </c>
      <c r="C117" t="s">
        <v>387</v>
      </c>
      <c r="D117" t="s">
        <v>388</v>
      </c>
      <c r="E117" t="s">
        <v>26</v>
      </c>
      <c r="F117" t="s">
        <v>46</v>
      </c>
      <c r="G117" t="s">
        <v>51</v>
      </c>
      <c r="H117" t="s">
        <v>52</v>
      </c>
      <c r="I117" t="s">
        <v>53</v>
      </c>
      <c r="J117">
        <v>2</v>
      </c>
      <c r="K117">
        <v>2200</v>
      </c>
      <c r="L117">
        <v>0.05</v>
      </c>
      <c r="M117">
        <v>4180</v>
      </c>
      <c r="N117">
        <v>2900</v>
      </c>
      <c r="O117">
        <v>1280</v>
      </c>
    </row>
    <row r="118" spans="1:15" x14ac:dyDescent="0.25">
      <c r="A118" t="s">
        <v>389</v>
      </c>
      <c r="B118" s="2">
        <v>45774</v>
      </c>
      <c r="C118" t="s">
        <v>390</v>
      </c>
      <c r="D118" t="s">
        <v>391</v>
      </c>
      <c r="E118" t="s">
        <v>26</v>
      </c>
      <c r="F118" t="s">
        <v>46</v>
      </c>
      <c r="G118" t="s">
        <v>51</v>
      </c>
      <c r="H118" t="s">
        <v>52</v>
      </c>
      <c r="I118" t="s">
        <v>208</v>
      </c>
      <c r="J118">
        <v>5</v>
      </c>
      <c r="K118">
        <v>2800</v>
      </c>
      <c r="L118">
        <v>0.25</v>
      </c>
      <c r="M118">
        <v>10500</v>
      </c>
      <c r="N118">
        <v>9000</v>
      </c>
      <c r="O118">
        <v>1500</v>
      </c>
    </row>
    <row r="119" spans="1:15" x14ac:dyDescent="0.25">
      <c r="A119" t="s">
        <v>392</v>
      </c>
      <c r="B119" s="2">
        <v>45775</v>
      </c>
      <c r="C119" t="s">
        <v>393</v>
      </c>
      <c r="D119" t="s">
        <v>394</v>
      </c>
      <c r="E119" t="s">
        <v>26</v>
      </c>
      <c r="F119" t="s">
        <v>128</v>
      </c>
      <c r="G119" t="s">
        <v>20</v>
      </c>
      <c r="H119" t="s">
        <v>41</v>
      </c>
      <c r="I119" t="s">
        <v>42</v>
      </c>
      <c r="J119">
        <v>4</v>
      </c>
      <c r="K119">
        <v>520</v>
      </c>
      <c r="L119">
        <v>0.2</v>
      </c>
      <c r="M119">
        <v>1664</v>
      </c>
      <c r="N119">
        <v>1320</v>
      </c>
      <c r="O119">
        <v>344</v>
      </c>
    </row>
    <row r="120" spans="1:15" x14ac:dyDescent="0.25">
      <c r="A120" t="s">
        <v>395</v>
      </c>
      <c r="B120" s="2">
        <v>45776</v>
      </c>
      <c r="C120" t="s">
        <v>396</v>
      </c>
      <c r="D120" t="s">
        <v>397</v>
      </c>
      <c r="E120" t="s">
        <v>26</v>
      </c>
      <c r="F120" t="s">
        <v>27</v>
      </c>
      <c r="G120" t="s">
        <v>51</v>
      </c>
      <c r="H120" t="s">
        <v>21</v>
      </c>
      <c r="I120" t="s">
        <v>72</v>
      </c>
      <c r="J120">
        <v>1</v>
      </c>
      <c r="K120">
        <v>1800</v>
      </c>
      <c r="L120">
        <v>0.2</v>
      </c>
      <c r="M120">
        <v>1440</v>
      </c>
      <c r="N120">
        <v>1100</v>
      </c>
      <c r="O120">
        <v>340</v>
      </c>
    </row>
    <row r="121" spans="1:15" x14ac:dyDescent="0.25">
      <c r="A121" t="s">
        <v>398</v>
      </c>
      <c r="B121" s="2">
        <v>45777</v>
      </c>
      <c r="C121" t="s">
        <v>399</v>
      </c>
      <c r="D121" t="s">
        <v>400</v>
      </c>
      <c r="E121" t="s">
        <v>26</v>
      </c>
      <c r="F121" t="s">
        <v>204</v>
      </c>
      <c r="G121" t="s">
        <v>57</v>
      </c>
      <c r="H121" t="s">
        <v>104</v>
      </c>
      <c r="I121" t="s">
        <v>105</v>
      </c>
      <c r="J121">
        <v>2</v>
      </c>
      <c r="K121">
        <v>7500</v>
      </c>
      <c r="L121">
        <v>0.1</v>
      </c>
      <c r="M121">
        <v>13500</v>
      </c>
      <c r="N121">
        <v>10400</v>
      </c>
      <c r="O121">
        <v>3100</v>
      </c>
    </row>
    <row r="122" spans="1:15" x14ac:dyDescent="0.25">
      <c r="A122" t="s">
        <v>401</v>
      </c>
      <c r="B122" s="2">
        <v>45778</v>
      </c>
      <c r="C122" t="s">
        <v>402</v>
      </c>
      <c r="D122" t="s">
        <v>403</v>
      </c>
      <c r="E122" t="s">
        <v>96</v>
      </c>
      <c r="F122" t="s">
        <v>120</v>
      </c>
      <c r="G122" t="s">
        <v>20</v>
      </c>
      <c r="H122" t="s">
        <v>41</v>
      </c>
      <c r="I122" t="s">
        <v>42</v>
      </c>
      <c r="J122">
        <v>1</v>
      </c>
      <c r="K122">
        <v>520</v>
      </c>
      <c r="L122">
        <v>0.1</v>
      </c>
      <c r="M122">
        <v>468</v>
      </c>
      <c r="N122">
        <v>330</v>
      </c>
      <c r="O122">
        <v>138</v>
      </c>
    </row>
    <row r="123" spans="1:15" x14ac:dyDescent="0.25">
      <c r="A123" t="s">
        <v>404</v>
      </c>
      <c r="B123" s="2">
        <v>45779</v>
      </c>
      <c r="C123" t="s">
        <v>405</v>
      </c>
      <c r="D123" t="s">
        <v>406</v>
      </c>
      <c r="E123" t="s">
        <v>96</v>
      </c>
      <c r="F123" t="s">
        <v>120</v>
      </c>
      <c r="G123" t="s">
        <v>20</v>
      </c>
      <c r="H123" t="s">
        <v>84</v>
      </c>
      <c r="I123" t="s">
        <v>210</v>
      </c>
      <c r="J123">
        <v>5</v>
      </c>
      <c r="K123">
        <v>300</v>
      </c>
      <c r="L123">
        <v>0.05</v>
      </c>
      <c r="M123">
        <v>1425</v>
      </c>
      <c r="N123">
        <v>850</v>
      </c>
      <c r="O123">
        <v>575</v>
      </c>
    </row>
    <row r="124" spans="1:15" x14ac:dyDescent="0.25">
      <c r="A124" t="s">
        <v>407</v>
      </c>
      <c r="B124" s="2">
        <v>45780</v>
      </c>
      <c r="C124" t="s">
        <v>408</v>
      </c>
      <c r="D124" t="s">
        <v>409</v>
      </c>
      <c r="E124" t="s">
        <v>96</v>
      </c>
      <c r="F124" t="s">
        <v>196</v>
      </c>
      <c r="G124" t="s">
        <v>20</v>
      </c>
      <c r="H124" t="s">
        <v>21</v>
      </c>
      <c r="I124" t="s">
        <v>22</v>
      </c>
      <c r="J124">
        <v>5</v>
      </c>
      <c r="K124">
        <v>650</v>
      </c>
      <c r="L124">
        <v>0.15</v>
      </c>
      <c r="M124">
        <v>2762.5</v>
      </c>
      <c r="N124">
        <v>1950</v>
      </c>
      <c r="O124">
        <v>812.5</v>
      </c>
    </row>
    <row r="125" spans="1:15" x14ac:dyDescent="0.25">
      <c r="A125" t="s">
        <v>410</v>
      </c>
      <c r="B125" s="2">
        <v>45781</v>
      </c>
      <c r="C125" t="s">
        <v>411</v>
      </c>
      <c r="D125" t="s">
        <v>412</v>
      </c>
      <c r="E125" t="s">
        <v>96</v>
      </c>
      <c r="F125" t="s">
        <v>97</v>
      </c>
      <c r="G125" t="s">
        <v>51</v>
      </c>
      <c r="H125" t="s">
        <v>52</v>
      </c>
      <c r="I125" t="s">
        <v>53</v>
      </c>
      <c r="J125">
        <v>2</v>
      </c>
      <c r="K125">
        <v>2200</v>
      </c>
      <c r="L125">
        <v>0.15</v>
      </c>
      <c r="M125">
        <v>3740</v>
      </c>
      <c r="N125">
        <v>2900</v>
      </c>
      <c r="O125">
        <v>840</v>
      </c>
    </row>
    <row r="126" spans="1:15" x14ac:dyDescent="0.25">
      <c r="A126" t="s">
        <v>413</v>
      </c>
      <c r="B126" s="2">
        <v>45782</v>
      </c>
      <c r="C126" t="s">
        <v>414</v>
      </c>
      <c r="D126" t="s">
        <v>415</v>
      </c>
      <c r="E126" t="s">
        <v>26</v>
      </c>
      <c r="F126" t="s">
        <v>34</v>
      </c>
      <c r="G126" t="s">
        <v>20</v>
      </c>
      <c r="H126" t="s">
        <v>84</v>
      </c>
      <c r="I126" t="s">
        <v>169</v>
      </c>
      <c r="J126">
        <v>4</v>
      </c>
      <c r="K126">
        <v>450</v>
      </c>
      <c r="L126">
        <v>0.1</v>
      </c>
      <c r="M126">
        <v>1620</v>
      </c>
      <c r="N126">
        <v>1040</v>
      </c>
      <c r="O126">
        <v>580</v>
      </c>
    </row>
    <row r="127" spans="1:15" x14ac:dyDescent="0.25">
      <c r="A127" t="s">
        <v>416</v>
      </c>
      <c r="B127" s="2">
        <v>45783</v>
      </c>
      <c r="C127" t="s">
        <v>417</v>
      </c>
      <c r="D127" t="s">
        <v>418</v>
      </c>
      <c r="E127" t="s">
        <v>18</v>
      </c>
      <c r="F127" t="s">
        <v>94</v>
      </c>
      <c r="G127" t="s">
        <v>20</v>
      </c>
      <c r="H127" t="s">
        <v>84</v>
      </c>
      <c r="I127" t="s">
        <v>210</v>
      </c>
      <c r="J127">
        <v>4</v>
      </c>
      <c r="K127">
        <v>300</v>
      </c>
      <c r="L127">
        <v>0.15</v>
      </c>
      <c r="M127">
        <v>1020</v>
      </c>
      <c r="N127">
        <v>680</v>
      </c>
      <c r="O127">
        <v>340</v>
      </c>
    </row>
    <row r="128" spans="1:15" x14ac:dyDescent="0.25">
      <c r="A128" t="s">
        <v>419</v>
      </c>
      <c r="B128" s="2">
        <v>45784</v>
      </c>
      <c r="C128" t="s">
        <v>420</v>
      </c>
      <c r="D128" t="s">
        <v>421</v>
      </c>
      <c r="E128" t="s">
        <v>26</v>
      </c>
      <c r="F128" t="s">
        <v>204</v>
      </c>
      <c r="G128" t="s">
        <v>51</v>
      </c>
      <c r="H128" t="s">
        <v>21</v>
      </c>
      <c r="I128" t="s">
        <v>72</v>
      </c>
      <c r="J128">
        <v>1</v>
      </c>
      <c r="K128">
        <v>1800</v>
      </c>
      <c r="L128">
        <v>0</v>
      </c>
      <c r="M128">
        <v>1800</v>
      </c>
      <c r="N128">
        <v>1100</v>
      </c>
      <c r="O128">
        <v>700</v>
      </c>
    </row>
    <row r="129" spans="1:15" x14ac:dyDescent="0.25">
      <c r="A129" t="s">
        <v>422</v>
      </c>
      <c r="B129" s="2">
        <v>45785</v>
      </c>
      <c r="C129" t="s">
        <v>423</v>
      </c>
      <c r="D129" t="s">
        <v>424</v>
      </c>
      <c r="E129" t="s">
        <v>26</v>
      </c>
      <c r="F129" t="s">
        <v>204</v>
      </c>
      <c r="G129" t="s">
        <v>51</v>
      </c>
      <c r="H129" t="s">
        <v>52</v>
      </c>
      <c r="I129" t="s">
        <v>208</v>
      </c>
      <c r="J129">
        <v>5</v>
      </c>
      <c r="K129">
        <v>2800</v>
      </c>
      <c r="L129">
        <v>0.15</v>
      </c>
      <c r="M129">
        <v>11900</v>
      </c>
      <c r="N129">
        <v>9000</v>
      </c>
      <c r="O129">
        <v>2900</v>
      </c>
    </row>
    <row r="130" spans="1:15" x14ac:dyDescent="0.25">
      <c r="A130" t="s">
        <v>425</v>
      </c>
      <c r="B130" s="2">
        <v>45786</v>
      </c>
      <c r="C130" t="s">
        <v>222</v>
      </c>
      <c r="D130" t="s">
        <v>223</v>
      </c>
      <c r="E130" t="s">
        <v>39</v>
      </c>
      <c r="F130" t="s">
        <v>40</v>
      </c>
      <c r="G130" t="s">
        <v>20</v>
      </c>
      <c r="H130" t="s">
        <v>41</v>
      </c>
      <c r="I130" t="s">
        <v>42</v>
      </c>
      <c r="J130">
        <v>1</v>
      </c>
      <c r="K130">
        <v>520</v>
      </c>
      <c r="L130">
        <v>0.05</v>
      </c>
      <c r="M130">
        <v>494</v>
      </c>
      <c r="N130">
        <v>330</v>
      </c>
      <c r="O130">
        <v>164</v>
      </c>
    </row>
    <row r="131" spans="1:15" x14ac:dyDescent="0.25">
      <c r="A131" t="s">
        <v>426</v>
      </c>
      <c r="B131" s="2">
        <v>45787</v>
      </c>
      <c r="C131" t="s">
        <v>427</v>
      </c>
      <c r="D131" t="s">
        <v>428</v>
      </c>
      <c r="E131" t="s">
        <v>39</v>
      </c>
      <c r="F131" t="s">
        <v>124</v>
      </c>
      <c r="G131" t="s">
        <v>20</v>
      </c>
      <c r="H131" t="s">
        <v>84</v>
      </c>
      <c r="I131" t="s">
        <v>169</v>
      </c>
      <c r="J131">
        <v>3</v>
      </c>
      <c r="K131">
        <v>450</v>
      </c>
      <c r="L131">
        <v>0.05</v>
      </c>
      <c r="M131">
        <v>1282.5</v>
      </c>
      <c r="N131">
        <v>780</v>
      </c>
      <c r="O131">
        <v>502.5</v>
      </c>
    </row>
    <row r="132" spans="1:15" x14ac:dyDescent="0.25">
      <c r="A132" t="s">
        <v>429</v>
      </c>
      <c r="B132" s="2">
        <v>45788</v>
      </c>
      <c r="C132" t="s">
        <v>430</v>
      </c>
      <c r="D132" t="s">
        <v>431</v>
      </c>
      <c r="E132" t="s">
        <v>39</v>
      </c>
      <c r="F132" t="s">
        <v>40</v>
      </c>
      <c r="G132" t="s">
        <v>57</v>
      </c>
      <c r="H132" t="s">
        <v>58</v>
      </c>
      <c r="I132" t="s">
        <v>129</v>
      </c>
      <c r="J132">
        <v>4</v>
      </c>
      <c r="K132">
        <v>4800</v>
      </c>
      <c r="L132">
        <v>0.05</v>
      </c>
      <c r="M132">
        <v>18240</v>
      </c>
      <c r="N132">
        <v>13200</v>
      </c>
      <c r="O132">
        <v>5040</v>
      </c>
    </row>
    <row r="133" spans="1:15" x14ac:dyDescent="0.25">
      <c r="A133" t="s">
        <v>432</v>
      </c>
      <c r="B133" s="2">
        <v>45789</v>
      </c>
      <c r="C133" t="s">
        <v>433</v>
      </c>
      <c r="D133" t="s">
        <v>434</v>
      </c>
      <c r="E133" t="s">
        <v>39</v>
      </c>
      <c r="F133" t="s">
        <v>40</v>
      </c>
      <c r="G133" t="s">
        <v>57</v>
      </c>
      <c r="H133" t="s">
        <v>58</v>
      </c>
      <c r="I133" t="s">
        <v>129</v>
      </c>
      <c r="J133">
        <v>4</v>
      </c>
      <c r="K133">
        <v>4800</v>
      </c>
      <c r="L133">
        <v>0.1</v>
      </c>
      <c r="M133">
        <v>17280</v>
      </c>
      <c r="N133">
        <v>13200</v>
      </c>
      <c r="O133">
        <v>4080</v>
      </c>
    </row>
    <row r="134" spans="1:15" x14ac:dyDescent="0.25">
      <c r="A134" t="s">
        <v>435</v>
      </c>
      <c r="B134" s="2">
        <v>45790</v>
      </c>
      <c r="C134" t="s">
        <v>436</v>
      </c>
      <c r="D134" t="s">
        <v>437</v>
      </c>
      <c r="E134" t="s">
        <v>26</v>
      </c>
      <c r="F134" t="s">
        <v>27</v>
      </c>
      <c r="G134" t="s">
        <v>20</v>
      </c>
      <c r="H134" t="s">
        <v>41</v>
      </c>
      <c r="I134" t="s">
        <v>42</v>
      </c>
      <c r="J134">
        <v>3</v>
      </c>
      <c r="K134">
        <v>520</v>
      </c>
      <c r="L134">
        <v>0.1</v>
      </c>
      <c r="M134">
        <v>1404</v>
      </c>
      <c r="N134">
        <v>990</v>
      </c>
      <c r="O134">
        <v>414</v>
      </c>
    </row>
    <row r="135" spans="1:15" x14ac:dyDescent="0.25">
      <c r="A135" t="s">
        <v>438</v>
      </c>
      <c r="B135" s="2">
        <v>45791</v>
      </c>
      <c r="C135" t="s">
        <v>439</v>
      </c>
      <c r="D135" t="s">
        <v>440</v>
      </c>
      <c r="E135" t="s">
        <v>96</v>
      </c>
      <c r="F135" t="s">
        <v>120</v>
      </c>
      <c r="G135" t="s">
        <v>57</v>
      </c>
      <c r="H135" t="s">
        <v>104</v>
      </c>
      <c r="I135" t="s">
        <v>105</v>
      </c>
      <c r="J135">
        <v>5</v>
      </c>
      <c r="K135">
        <v>7500</v>
      </c>
      <c r="L135">
        <v>0.15</v>
      </c>
      <c r="M135">
        <v>31875</v>
      </c>
      <c r="N135">
        <v>26000</v>
      </c>
      <c r="O135">
        <v>5875</v>
      </c>
    </row>
    <row r="136" spans="1:15" x14ac:dyDescent="0.25">
      <c r="A136" t="s">
        <v>441</v>
      </c>
      <c r="B136" s="2">
        <v>45792</v>
      </c>
      <c r="C136" t="s">
        <v>131</v>
      </c>
      <c r="D136" t="s">
        <v>132</v>
      </c>
      <c r="E136" t="s">
        <v>26</v>
      </c>
      <c r="F136" t="s">
        <v>128</v>
      </c>
      <c r="G136" t="s">
        <v>20</v>
      </c>
      <c r="H136" t="s">
        <v>84</v>
      </c>
      <c r="I136" t="s">
        <v>169</v>
      </c>
      <c r="J136">
        <v>3</v>
      </c>
      <c r="K136">
        <v>450</v>
      </c>
      <c r="L136">
        <v>0.1</v>
      </c>
      <c r="M136">
        <v>1215</v>
      </c>
      <c r="N136">
        <v>780</v>
      </c>
      <c r="O136">
        <v>435</v>
      </c>
    </row>
    <row r="137" spans="1:15" x14ac:dyDescent="0.25">
      <c r="A137" t="s">
        <v>442</v>
      </c>
      <c r="B137" s="2">
        <v>45793</v>
      </c>
      <c r="C137" t="s">
        <v>113</v>
      </c>
      <c r="D137" t="s">
        <v>114</v>
      </c>
      <c r="E137" t="s">
        <v>39</v>
      </c>
      <c r="F137" t="s">
        <v>124</v>
      </c>
      <c r="G137" t="s">
        <v>51</v>
      </c>
      <c r="H137" t="s">
        <v>52</v>
      </c>
      <c r="I137" t="s">
        <v>208</v>
      </c>
      <c r="J137">
        <v>3</v>
      </c>
      <c r="K137">
        <v>2800</v>
      </c>
      <c r="L137">
        <v>0.1</v>
      </c>
      <c r="M137">
        <v>7560</v>
      </c>
      <c r="N137">
        <v>5400</v>
      </c>
      <c r="O137">
        <v>2160</v>
      </c>
    </row>
    <row r="138" spans="1:15" x14ac:dyDescent="0.25">
      <c r="A138" t="s">
        <v>443</v>
      </c>
      <c r="B138" s="2">
        <v>45794</v>
      </c>
      <c r="C138" t="s">
        <v>444</v>
      </c>
      <c r="D138" t="s">
        <v>445</v>
      </c>
      <c r="E138" t="s">
        <v>26</v>
      </c>
      <c r="F138" t="s">
        <v>27</v>
      </c>
      <c r="G138" t="s">
        <v>51</v>
      </c>
      <c r="H138" t="s">
        <v>21</v>
      </c>
      <c r="I138" t="s">
        <v>116</v>
      </c>
      <c r="J138">
        <v>5</v>
      </c>
      <c r="K138">
        <v>1400</v>
      </c>
      <c r="L138">
        <v>0.1</v>
      </c>
      <c r="M138">
        <v>6300</v>
      </c>
      <c r="N138">
        <v>4500</v>
      </c>
      <c r="O138">
        <v>1800</v>
      </c>
    </row>
    <row r="139" spans="1:15" x14ac:dyDescent="0.25">
      <c r="A139" t="s">
        <v>446</v>
      </c>
      <c r="B139" s="2">
        <v>45795</v>
      </c>
      <c r="C139" t="s">
        <v>447</v>
      </c>
      <c r="D139" t="s">
        <v>448</v>
      </c>
      <c r="E139" t="s">
        <v>18</v>
      </c>
      <c r="F139" t="s">
        <v>227</v>
      </c>
      <c r="G139" t="s">
        <v>57</v>
      </c>
      <c r="H139" t="s">
        <v>104</v>
      </c>
      <c r="I139" t="s">
        <v>105</v>
      </c>
      <c r="J139">
        <v>4</v>
      </c>
      <c r="K139">
        <v>7500</v>
      </c>
      <c r="L139">
        <v>0.1</v>
      </c>
      <c r="M139">
        <v>27000</v>
      </c>
      <c r="N139">
        <v>20800</v>
      </c>
      <c r="O139">
        <v>6200</v>
      </c>
    </row>
    <row r="140" spans="1:15" x14ac:dyDescent="0.25">
      <c r="A140" t="s">
        <v>449</v>
      </c>
      <c r="B140" s="2">
        <v>45796</v>
      </c>
      <c r="C140" t="s">
        <v>450</v>
      </c>
      <c r="D140" t="s">
        <v>451</v>
      </c>
      <c r="E140" t="s">
        <v>26</v>
      </c>
      <c r="F140" t="s">
        <v>46</v>
      </c>
      <c r="G140" t="s">
        <v>51</v>
      </c>
      <c r="H140" t="s">
        <v>21</v>
      </c>
      <c r="I140" t="s">
        <v>116</v>
      </c>
      <c r="J140">
        <v>2</v>
      </c>
      <c r="K140">
        <v>1400</v>
      </c>
      <c r="L140">
        <v>0.1</v>
      </c>
      <c r="M140">
        <v>2520</v>
      </c>
      <c r="N140">
        <v>1800</v>
      </c>
      <c r="O140">
        <v>720</v>
      </c>
    </row>
    <row r="141" spans="1:15" x14ac:dyDescent="0.25">
      <c r="A141" t="s">
        <v>452</v>
      </c>
      <c r="B141" s="2">
        <v>45797</v>
      </c>
      <c r="C141" t="s">
        <v>453</v>
      </c>
      <c r="D141" t="s">
        <v>454</v>
      </c>
      <c r="E141" t="s">
        <v>96</v>
      </c>
      <c r="F141" t="s">
        <v>196</v>
      </c>
      <c r="G141" t="s">
        <v>51</v>
      </c>
      <c r="H141" t="s">
        <v>89</v>
      </c>
      <c r="I141" t="s">
        <v>90</v>
      </c>
      <c r="J141">
        <v>5</v>
      </c>
      <c r="K141">
        <v>10500</v>
      </c>
      <c r="L141">
        <v>0.05</v>
      </c>
      <c r="M141">
        <v>49875</v>
      </c>
      <c r="N141">
        <v>38000</v>
      </c>
      <c r="O141">
        <v>11875</v>
      </c>
    </row>
    <row r="142" spans="1:15" x14ac:dyDescent="0.25">
      <c r="A142" t="s">
        <v>455</v>
      </c>
      <c r="B142" s="2">
        <v>45798</v>
      </c>
      <c r="C142" t="s">
        <v>456</v>
      </c>
      <c r="D142" t="s">
        <v>457</v>
      </c>
      <c r="E142" t="s">
        <v>26</v>
      </c>
      <c r="F142" t="s">
        <v>27</v>
      </c>
      <c r="G142" t="s">
        <v>51</v>
      </c>
      <c r="H142" t="s">
        <v>89</v>
      </c>
      <c r="I142" t="s">
        <v>90</v>
      </c>
      <c r="J142">
        <v>3</v>
      </c>
      <c r="K142">
        <v>10500</v>
      </c>
      <c r="L142">
        <v>0</v>
      </c>
      <c r="M142">
        <v>31500</v>
      </c>
      <c r="N142">
        <v>22800</v>
      </c>
      <c r="O142">
        <v>8700</v>
      </c>
    </row>
    <row r="143" spans="1:15" x14ac:dyDescent="0.25">
      <c r="A143" t="s">
        <v>458</v>
      </c>
      <c r="B143" s="2">
        <v>45799</v>
      </c>
      <c r="C143" t="s">
        <v>459</v>
      </c>
      <c r="D143" t="s">
        <v>460</v>
      </c>
      <c r="E143" t="s">
        <v>18</v>
      </c>
      <c r="F143" t="s">
        <v>94</v>
      </c>
      <c r="G143" t="s">
        <v>51</v>
      </c>
      <c r="H143" t="s">
        <v>52</v>
      </c>
      <c r="I143" t="s">
        <v>53</v>
      </c>
      <c r="J143">
        <v>5</v>
      </c>
      <c r="K143">
        <v>2200</v>
      </c>
      <c r="L143">
        <v>0.1</v>
      </c>
      <c r="M143">
        <v>9900</v>
      </c>
      <c r="N143">
        <v>7250</v>
      </c>
      <c r="O143">
        <v>2650</v>
      </c>
    </row>
    <row r="144" spans="1:15" x14ac:dyDescent="0.25">
      <c r="A144" t="s">
        <v>461</v>
      </c>
      <c r="B144" s="2">
        <v>45800</v>
      </c>
      <c r="C144" t="s">
        <v>444</v>
      </c>
      <c r="D144" t="s">
        <v>445</v>
      </c>
      <c r="E144" t="s">
        <v>96</v>
      </c>
      <c r="F144" t="s">
        <v>200</v>
      </c>
      <c r="G144" t="s">
        <v>20</v>
      </c>
      <c r="H144" t="s">
        <v>84</v>
      </c>
      <c r="I144" t="s">
        <v>169</v>
      </c>
      <c r="J144">
        <v>1</v>
      </c>
      <c r="K144">
        <v>450</v>
      </c>
      <c r="L144">
        <v>0</v>
      </c>
      <c r="M144">
        <v>450</v>
      </c>
      <c r="N144">
        <v>260</v>
      </c>
      <c r="O144">
        <v>190</v>
      </c>
    </row>
    <row r="145" spans="1:15" x14ac:dyDescent="0.25">
      <c r="A145" t="s">
        <v>462</v>
      </c>
      <c r="B145" s="2">
        <v>45801</v>
      </c>
      <c r="C145" t="s">
        <v>463</v>
      </c>
      <c r="D145" t="s">
        <v>464</v>
      </c>
      <c r="E145" t="s">
        <v>18</v>
      </c>
      <c r="F145" t="s">
        <v>94</v>
      </c>
      <c r="G145" t="s">
        <v>28</v>
      </c>
      <c r="H145" t="s">
        <v>29</v>
      </c>
      <c r="I145" t="s">
        <v>47</v>
      </c>
      <c r="J145">
        <v>4</v>
      </c>
      <c r="K145">
        <v>6800</v>
      </c>
      <c r="L145">
        <v>0.15</v>
      </c>
      <c r="M145">
        <v>23120</v>
      </c>
      <c r="N145">
        <v>18800</v>
      </c>
      <c r="O145">
        <v>4320</v>
      </c>
    </row>
    <row r="146" spans="1:15" x14ac:dyDescent="0.25">
      <c r="A146" t="s">
        <v>465</v>
      </c>
      <c r="B146" s="2">
        <v>45802</v>
      </c>
      <c r="C146" t="s">
        <v>466</v>
      </c>
      <c r="D146" t="s">
        <v>467</v>
      </c>
      <c r="E146" t="s">
        <v>39</v>
      </c>
      <c r="F146" t="s">
        <v>40</v>
      </c>
      <c r="G146" t="s">
        <v>57</v>
      </c>
      <c r="H146" t="s">
        <v>58</v>
      </c>
      <c r="I146" t="s">
        <v>129</v>
      </c>
      <c r="J146">
        <v>3</v>
      </c>
      <c r="K146">
        <v>4800</v>
      </c>
      <c r="L146">
        <v>0</v>
      </c>
      <c r="M146">
        <v>14400</v>
      </c>
      <c r="N146">
        <v>9900</v>
      </c>
      <c r="O146">
        <v>4500</v>
      </c>
    </row>
    <row r="147" spans="1:15" x14ac:dyDescent="0.25">
      <c r="A147" t="s">
        <v>468</v>
      </c>
      <c r="B147" s="2">
        <v>45803</v>
      </c>
      <c r="C147" t="s">
        <v>469</v>
      </c>
      <c r="D147" t="s">
        <v>470</v>
      </c>
      <c r="E147" t="s">
        <v>39</v>
      </c>
      <c r="F147" t="s">
        <v>40</v>
      </c>
      <c r="G147" t="s">
        <v>57</v>
      </c>
      <c r="H147" t="s">
        <v>104</v>
      </c>
      <c r="I147" t="s">
        <v>105</v>
      </c>
      <c r="J147">
        <v>2</v>
      </c>
      <c r="K147">
        <v>7500</v>
      </c>
      <c r="L147">
        <v>0.05</v>
      </c>
      <c r="M147">
        <v>14250</v>
      </c>
      <c r="N147">
        <v>10400</v>
      </c>
      <c r="O147">
        <v>3850</v>
      </c>
    </row>
    <row r="148" spans="1:15" x14ac:dyDescent="0.25">
      <c r="A148" t="s">
        <v>471</v>
      </c>
      <c r="B148" s="2">
        <v>45804</v>
      </c>
      <c r="C148" t="s">
        <v>472</v>
      </c>
      <c r="D148" t="s">
        <v>473</v>
      </c>
      <c r="E148" t="s">
        <v>96</v>
      </c>
      <c r="F148" t="s">
        <v>200</v>
      </c>
      <c r="G148" t="s">
        <v>57</v>
      </c>
      <c r="H148" t="s">
        <v>58</v>
      </c>
      <c r="I148" t="s">
        <v>129</v>
      </c>
      <c r="J148">
        <v>1</v>
      </c>
      <c r="K148">
        <v>4800</v>
      </c>
      <c r="L148">
        <v>0.2</v>
      </c>
      <c r="M148">
        <v>3840</v>
      </c>
      <c r="N148">
        <v>3300</v>
      </c>
      <c r="O148">
        <v>540</v>
      </c>
    </row>
    <row r="149" spans="1:15" x14ac:dyDescent="0.25">
      <c r="A149" t="s">
        <v>474</v>
      </c>
      <c r="B149" s="2">
        <v>45805</v>
      </c>
      <c r="C149" t="s">
        <v>475</v>
      </c>
      <c r="D149" t="s">
        <v>476</v>
      </c>
      <c r="E149" t="s">
        <v>26</v>
      </c>
      <c r="F149" t="s">
        <v>27</v>
      </c>
      <c r="G149" t="s">
        <v>20</v>
      </c>
      <c r="H149" t="s">
        <v>84</v>
      </c>
      <c r="I149" t="s">
        <v>210</v>
      </c>
      <c r="J149">
        <v>4</v>
      </c>
      <c r="K149">
        <v>300</v>
      </c>
      <c r="L149">
        <v>0</v>
      </c>
      <c r="M149">
        <v>1200</v>
      </c>
      <c r="N149">
        <v>680</v>
      </c>
      <c r="O149">
        <v>520</v>
      </c>
    </row>
    <row r="150" spans="1:15" x14ac:dyDescent="0.25">
      <c r="A150" t="s">
        <v>477</v>
      </c>
      <c r="B150" s="2">
        <v>45806</v>
      </c>
      <c r="C150" t="s">
        <v>478</v>
      </c>
      <c r="D150" t="s">
        <v>479</v>
      </c>
      <c r="E150" t="s">
        <v>96</v>
      </c>
      <c r="F150" t="s">
        <v>97</v>
      </c>
      <c r="G150" t="s">
        <v>51</v>
      </c>
      <c r="H150" t="s">
        <v>21</v>
      </c>
      <c r="I150" t="s">
        <v>116</v>
      </c>
      <c r="J150">
        <v>5</v>
      </c>
      <c r="K150">
        <v>1400</v>
      </c>
      <c r="L150">
        <v>0.1</v>
      </c>
      <c r="M150">
        <v>6300</v>
      </c>
      <c r="N150">
        <v>4500</v>
      </c>
      <c r="O150">
        <v>1800</v>
      </c>
    </row>
    <row r="151" spans="1:15" x14ac:dyDescent="0.25">
      <c r="A151" t="s">
        <v>480</v>
      </c>
      <c r="B151" s="2">
        <v>45807</v>
      </c>
      <c r="C151" t="s">
        <v>481</v>
      </c>
      <c r="D151" t="s">
        <v>482</v>
      </c>
      <c r="E151" t="s">
        <v>39</v>
      </c>
      <c r="F151" t="s">
        <v>71</v>
      </c>
      <c r="G151" t="s">
        <v>20</v>
      </c>
      <c r="H151" t="s">
        <v>84</v>
      </c>
      <c r="I151" t="s">
        <v>169</v>
      </c>
      <c r="J151">
        <v>4</v>
      </c>
      <c r="K151">
        <v>450</v>
      </c>
      <c r="L151">
        <v>0.25</v>
      </c>
      <c r="M151">
        <v>1350</v>
      </c>
      <c r="N151">
        <v>1040</v>
      </c>
      <c r="O151">
        <v>310</v>
      </c>
    </row>
    <row r="152" spans="1:15" x14ac:dyDescent="0.25">
      <c r="A152" t="s">
        <v>483</v>
      </c>
      <c r="B152" s="2">
        <v>45808</v>
      </c>
      <c r="C152" t="s">
        <v>484</v>
      </c>
      <c r="D152" t="s">
        <v>485</v>
      </c>
      <c r="E152" t="s">
        <v>39</v>
      </c>
      <c r="F152" t="s">
        <v>71</v>
      </c>
      <c r="G152" t="s">
        <v>28</v>
      </c>
      <c r="H152" t="s">
        <v>29</v>
      </c>
      <c r="I152" t="s">
        <v>30</v>
      </c>
      <c r="J152">
        <v>1</v>
      </c>
      <c r="K152">
        <v>1900</v>
      </c>
      <c r="L152">
        <v>0.1</v>
      </c>
      <c r="M152">
        <v>1710</v>
      </c>
      <c r="N152">
        <v>1250</v>
      </c>
      <c r="O152">
        <v>460</v>
      </c>
    </row>
    <row r="153" spans="1:15" x14ac:dyDescent="0.25">
      <c r="A153" t="s">
        <v>486</v>
      </c>
      <c r="B153" s="2">
        <v>45809</v>
      </c>
      <c r="C153" t="s">
        <v>487</v>
      </c>
      <c r="D153" t="s">
        <v>488</v>
      </c>
      <c r="E153" t="s">
        <v>26</v>
      </c>
      <c r="F153" t="s">
        <v>34</v>
      </c>
      <c r="G153" t="s">
        <v>51</v>
      </c>
      <c r="H153" t="s">
        <v>89</v>
      </c>
      <c r="I153" t="s">
        <v>90</v>
      </c>
      <c r="J153">
        <v>2</v>
      </c>
      <c r="K153">
        <v>10500</v>
      </c>
      <c r="L153">
        <v>0.15</v>
      </c>
      <c r="M153">
        <v>17850</v>
      </c>
      <c r="N153">
        <v>15200</v>
      </c>
      <c r="O153">
        <v>2650</v>
      </c>
    </row>
    <row r="154" spans="1:15" x14ac:dyDescent="0.25">
      <c r="A154" t="s">
        <v>489</v>
      </c>
      <c r="B154" s="2">
        <v>45810</v>
      </c>
      <c r="C154" t="s">
        <v>180</v>
      </c>
      <c r="D154" t="s">
        <v>181</v>
      </c>
      <c r="E154" t="s">
        <v>39</v>
      </c>
      <c r="F154" t="s">
        <v>76</v>
      </c>
      <c r="G154" t="s">
        <v>20</v>
      </c>
      <c r="H154" t="s">
        <v>84</v>
      </c>
      <c r="I154" t="s">
        <v>169</v>
      </c>
      <c r="J154">
        <v>2</v>
      </c>
      <c r="K154">
        <v>450</v>
      </c>
      <c r="L154">
        <v>0.25</v>
      </c>
      <c r="M154">
        <v>675</v>
      </c>
      <c r="N154">
        <v>520</v>
      </c>
      <c r="O154">
        <v>155</v>
      </c>
    </row>
    <row r="155" spans="1:15" x14ac:dyDescent="0.25">
      <c r="A155" t="s">
        <v>490</v>
      </c>
      <c r="B155" s="2">
        <v>45811</v>
      </c>
      <c r="C155" t="s">
        <v>491</v>
      </c>
      <c r="D155" t="s">
        <v>492</v>
      </c>
      <c r="E155" t="s">
        <v>96</v>
      </c>
      <c r="F155" t="s">
        <v>120</v>
      </c>
      <c r="G155" t="s">
        <v>20</v>
      </c>
      <c r="H155" t="s">
        <v>41</v>
      </c>
      <c r="I155" t="s">
        <v>42</v>
      </c>
      <c r="J155">
        <v>3</v>
      </c>
      <c r="K155">
        <v>520</v>
      </c>
      <c r="L155">
        <v>0.05</v>
      </c>
      <c r="M155">
        <v>1482</v>
      </c>
      <c r="N155">
        <v>990</v>
      </c>
      <c r="O155">
        <v>492</v>
      </c>
    </row>
    <row r="156" spans="1:15" x14ac:dyDescent="0.25">
      <c r="A156" t="s">
        <v>493</v>
      </c>
      <c r="B156" s="2">
        <v>45812</v>
      </c>
      <c r="C156" t="s">
        <v>494</v>
      </c>
      <c r="D156" t="s">
        <v>495</v>
      </c>
      <c r="E156" t="s">
        <v>39</v>
      </c>
      <c r="F156" t="s">
        <v>71</v>
      </c>
      <c r="G156" t="s">
        <v>20</v>
      </c>
      <c r="H156" t="s">
        <v>41</v>
      </c>
      <c r="I156" t="s">
        <v>42</v>
      </c>
      <c r="J156">
        <v>2</v>
      </c>
      <c r="K156">
        <v>520</v>
      </c>
      <c r="L156">
        <v>0</v>
      </c>
      <c r="M156">
        <v>1040</v>
      </c>
      <c r="N156">
        <v>660</v>
      </c>
      <c r="O156">
        <v>380</v>
      </c>
    </row>
    <row r="157" spans="1:15" x14ac:dyDescent="0.25">
      <c r="A157" t="s">
        <v>496</v>
      </c>
      <c r="B157" s="2">
        <v>45813</v>
      </c>
      <c r="C157" t="s">
        <v>497</v>
      </c>
      <c r="D157" t="s">
        <v>498</v>
      </c>
      <c r="E157" t="s">
        <v>39</v>
      </c>
      <c r="F157" t="s">
        <v>76</v>
      </c>
      <c r="G157" t="s">
        <v>28</v>
      </c>
      <c r="H157" t="s">
        <v>29</v>
      </c>
      <c r="I157" t="s">
        <v>47</v>
      </c>
      <c r="J157">
        <v>3</v>
      </c>
      <c r="K157">
        <v>6800</v>
      </c>
      <c r="L157">
        <v>0.05</v>
      </c>
      <c r="M157">
        <v>19380</v>
      </c>
      <c r="N157">
        <v>14100</v>
      </c>
      <c r="O157">
        <v>5280</v>
      </c>
    </row>
    <row r="158" spans="1:15" x14ac:dyDescent="0.25">
      <c r="A158" t="s">
        <v>499</v>
      </c>
      <c r="B158" s="2">
        <v>45814</v>
      </c>
      <c r="C158" t="s">
        <v>252</v>
      </c>
      <c r="D158" t="s">
        <v>253</v>
      </c>
      <c r="E158" t="s">
        <v>96</v>
      </c>
      <c r="F158" t="s">
        <v>196</v>
      </c>
      <c r="G158" t="s">
        <v>51</v>
      </c>
      <c r="H158" t="s">
        <v>21</v>
      </c>
      <c r="I158" t="s">
        <v>116</v>
      </c>
      <c r="J158">
        <v>3</v>
      </c>
      <c r="K158">
        <v>1400</v>
      </c>
      <c r="L158">
        <v>0.15</v>
      </c>
      <c r="M158">
        <v>3570</v>
      </c>
      <c r="N158">
        <v>2700</v>
      </c>
      <c r="O158">
        <v>870</v>
      </c>
    </row>
    <row r="159" spans="1:15" x14ac:dyDescent="0.25">
      <c r="A159" t="s">
        <v>500</v>
      </c>
      <c r="B159" s="2">
        <v>45815</v>
      </c>
      <c r="C159" t="s">
        <v>501</v>
      </c>
      <c r="D159" t="s">
        <v>502</v>
      </c>
      <c r="E159" t="s">
        <v>39</v>
      </c>
      <c r="F159" t="s">
        <v>71</v>
      </c>
      <c r="G159" t="s">
        <v>57</v>
      </c>
      <c r="H159" t="s">
        <v>188</v>
      </c>
      <c r="I159" t="s">
        <v>189</v>
      </c>
      <c r="J159">
        <v>1</v>
      </c>
      <c r="K159">
        <v>6200</v>
      </c>
      <c r="L159">
        <v>0.05</v>
      </c>
      <c r="M159">
        <v>5890</v>
      </c>
      <c r="N159">
        <v>4300</v>
      </c>
      <c r="O159">
        <v>1590</v>
      </c>
    </row>
    <row r="160" spans="1:15" x14ac:dyDescent="0.25">
      <c r="A160" t="s">
        <v>503</v>
      </c>
      <c r="B160" s="2">
        <v>45816</v>
      </c>
      <c r="C160" t="s">
        <v>504</v>
      </c>
      <c r="D160" t="s">
        <v>505</v>
      </c>
      <c r="E160" t="s">
        <v>18</v>
      </c>
      <c r="F160" t="s">
        <v>19</v>
      </c>
      <c r="G160" t="s">
        <v>51</v>
      </c>
      <c r="H160" t="s">
        <v>21</v>
      </c>
      <c r="I160" t="s">
        <v>80</v>
      </c>
      <c r="J160">
        <v>4</v>
      </c>
      <c r="K160">
        <v>850</v>
      </c>
      <c r="L160">
        <v>0</v>
      </c>
      <c r="M160">
        <v>3400</v>
      </c>
      <c r="N160">
        <v>2240</v>
      </c>
      <c r="O160">
        <v>1160</v>
      </c>
    </row>
    <row r="161" spans="1:15" x14ac:dyDescent="0.25">
      <c r="A161" t="s">
        <v>506</v>
      </c>
      <c r="B161" s="2">
        <v>45817</v>
      </c>
      <c r="C161" t="s">
        <v>507</v>
      </c>
      <c r="D161" t="s">
        <v>508</v>
      </c>
      <c r="E161" t="s">
        <v>96</v>
      </c>
      <c r="F161" t="s">
        <v>97</v>
      </c>
      <c r="G161" t="s">
        <v>20</v>
      </c>
      <c r="H161" t="s">
        <v>41</v>
      </c>
      <c r="I161" t="s">
        <v>42</v>
      </c>
      <c r="J161">
        <v>4</v>
      </c>
      <c r="K161">
        <v>520</v>
      </c>
      <c r="L161">
        <v>0</v>
      </c>
      <c r="M161">
        <v>2080</v>
      </c>
      <c r="N161">
        <v>1320</v>
      </c>
      <c r="O161">
        <v>760</v>
      </c>
    </row>
    <row r="162" spans="1:15" x14ac:dyDescent="0.25">
      <c r="A162" t="s">
        <v>509</v>
      </c>
      <c r="B162" s="2">
        <v>45818</v>
      </c>
      <c r="C162" t="s">
        <v>510</v>
      </c>
      <c r="D162" t="s">
        <v>511</v>
      </c>
      <c r="E162" t="s">
        <v>18</v>
      </c>
      <c r="F162" t="s">
        <v>19</v>
      </c>
      <c r="G162" t="s">
        <v>20</v>
      </c>
      <c r="H162" t="s">
        <v>84</v>
      </c>
      <c r="I162" t="s">
        <v>169</v>
      </c>
      <c r="J162">
        <v>1</v>
      </c>
      <c r="K162">
        <v>450</v>
      </c>
      <c r="L162">
        <v>0.2</v>
      </c>
      <c r="M162">
        <v>360</v>
      </c>
      <c r="N162">
        <v>260</v>
      </c>
      <c r="O162">
        <v>100</v>
      </c>
    </row>
    <row r="163" spans="1:15" x14ac:dyDescent="0.25">
      <c r="A163" t="s">
        <v>512</v>
      </c>
      <c r="B163" s="2">
        <v>45819</v>
      </c>
      <c r="C163" t="s">
        <v>513</v>
      </c>
      <c r="D163" t="s">
        <v>514</v>
      </c>
      <c r="E163" t="s">
        <v>26</v>
      </c>
      <c r="F163" t="s">
        <v>27</v>
      </c>
      <c r="G163" t="s">
        <v>51</v>
      </c>
      <c r="H163" t="s">
        <v>21</v>
      </c>
      <c r="I163" t="s">
        <v>116</v>
      </c>
      <c r="J163">
        <v>2</v>
      </c>
      <c r="K163">
        <v>1400</v>
      </c>
      <c r="L163">
        <v>0.1</v>
      </c>
      <c r="M163">
        <v>2520</v>
      </c>
      <c r="N163">
        <v>1800</v>
      </c>
      <c r="O163">
        <v>720</v>
      </c>
    </row>
    <row r="164" spans="1:15" x14ac:dyDescent="0.25">
      <c r="A164" t="s">
        <v>515</v>
      </c>
      <c r="B164" s="2">
        <v>45820</v>
      </c>
      <c r="C164" t="s">
        <v>516</v>
      </c>
      <c r="D164" t="s">
        <v>517</v>
      </c>
      <c r="E164" t="s">
        <v>26</v>
      </c>
      <c r="F164" t="s">
        <v>34</v>
      </c>
      <c r="G164" t="s">
        <v>20</v>
      </c>
      <c r="H164" t="s">
        <v>84</v>
      </c>
      <c r="I164" t="s">
        <v>210</v>
      </c>
      <c r="J164">
        <v>4</v>
      </c>
      <c r="K164">
        <v>300</v>
      </c>
      <c r="L164">
        <v>0.15</v>
      </c>
      <c r="M164">
        <v>1020</v>
      </c>
      <c r="N164">
        <v>680</v>
      </c>
      <c r="O164">
        <v>340</v>
      </c>
    </row>
    <row r="165" spans="1:15" x14ac:dyDescent="0.25">
      <c r="A165" t="s">
        <v>518</v>
      </c>
      <c r="B165" s="2">
        <v>45821</v>
      </c>
      <c r="C165" t="s">
        <v>519</v>
      </c>
      <c r="D165" t="s">
        <v>520</v>
      </c>
      <c r="E165" t="s">
        <v>96</v>
      </c>
      <c r="F165" t="s">
        <v>196</v>
      </c>
      <c r="G165" t="s">
        <v>51</v>
      </c>
      <c r="H165" t="s">
        <v>52</v>
      </c>
      <c r="I165" t="s">
        <v>208</v>
      </c>
      <c r="J165">
        <v>3</v>
      </c>
      <c r="K165">
        <v>2800</v>
      </c>
      <c r="L165">
        <v>0.15</v>
      </c>
      <c r="M165">
        <v>7140</v>
      </c>
      <c r="N165">
        <v>5400</v>
      </c>
      <c r="O165">
        <v>1740</v>
      </c>
    </row>
    <row r="166" spans="1:15" x14ac:dyDescent="0.25">
      <c r="A166" t="s">
        <v>521</v>
      </c>
      <c r="B166" s="2">
        <v>45822</v>
      </c>
      <c r="C166" t="s">
        <v>369</v>
      </c>
      <c r="D166" t="s">
        <v>370</v>
      </c>
      <c r="E166" t="s">
        <v>26</v>
      </c>
      <c r="F166" t="s">
        <v>128</v>
      </c>
      <c r="G166" t="s">
        <v>20</v>
      </c>
      <c r="H166" t="s">
        <v>21</v>
      </c>
      <c r="I166" t="s">
        <v>22</v>
      </c>
      <c r="J166">
        <v>1</v>
      </c>
      <c r="K166">
        <v>650</v>
      </c>
      <c r="L166">
        <v>0</v>
      </c>
      <c r="M166">
        <v>650</v>
      </c>
      <c r="N166">
        <v>390</v>
      </c>
      <c r="O166">
        <v>260</v>
      </c>
    </row>
    <row r="167" spans="1:15" x14ac:dyDescent="0.25">
      <c r="A167" t="s">
        <v>522</v>
      </c>
      <c r="B167" s="2">
        <v>45823</v>
      </c>
      <c r="C167" t="s">
        <v>494</v>
      </c>
      <c r="D167" t="s">
        <v>495</v>
      </c>
      <c r="E167" t="s">
        <v>26</v>
      </c>
      <c r="F167" t="s">
        <v>46</v>
      </c>
      <c r="G167" t="s">
        <v>20</v>
      </c>
      <c r="H167" t="s">
        <v>84</v>
      </c>
      <c r="I167" t="s">
        <v>169</v>
      </c>
      <c r="J167">
        <v>5</v>
      </c>
      <c r="K167">
        <v>450</v>
      </c>
      <c r="L167">
        <v>0.1</v>
      </c>
      <c r="M167">
        <v>2025</v>
      </c>
      <c r="N167">
        <v>1300</v>
      </c>
      <c r="O167">
        <v>725</v>
      </c>
    </row>
    <row r="168" spans="1:15" x14ac:dyDescent="0.25">
      <c r="A168" t="s">
        <v>523</v>
      </c>
      <c r="B168" s="2">
        <v>45824</v>
      </c>
      <c r="C168" t="s">
        <v>524</v>
      </c>
      <c r="D168" t="s">
        <v>525</v>
      </c>
      <c r="E168" t="s">
        <v>39</v>
      </c>
      <c r="F168" t="s">
        <v>76</v>
      </c>
      <c r="G168" t="s">
        <v>28</v>
      </c>
      <c r="H168" t="s">
        <v>29</v>
      </c>
      <c r="I168" t="s">
        <v>47</v>
      </c>
      <c r="J168">
        <v>1</v>
      </c>
      <c r="K168">
        <v>6800</v>
      </c>
      <c r="L168">
        <v>0.05</v>
      </c>
      <c r="M168">
        <v>6460</v>
      </c>
      <c r="N168">
        <v>4700</v>
      </c>
      <c r="O168">
        <v>1760</v>
      </c>
    </row>
    <row r="169" spans="1:15" x14ac:dyDescent="0.25">
      <c r="A169" t="s">
        <v>526</v>
      </c>
      <c r="B169" s="2">
        <v>45825</v>
      </c>
      <c r="C169" t="s">
        <v>527</v>
      </c>
      <c r="D169" t="s">
        <v>528</v>
      </c>
      <c r="E169" t="s">
        <v>26</v>
      </c>
      <c r="F169" t="s">
        <v>46</v>
      </c>
      <c r="G169" t="s">
        <v>20</v>
      </c>
      <c r="H169" t="s">
        <v>21</v>
      </c>
      <c r="I169" t="s">
        <v>22</v>
      </c>
      <c r="J169">
        <v>5</v>
      </c>
      <c r="K169">
        <v>650</v>
      </c>
      <c r="L169">
        <v>0.1</v>
      </c>
      <c r="M169">
        <v>2925</v>
      </c>
      <c r="N169">
        <v>1950</v>
      </c>
      <c r="O169">
        <v>975</v>
      </c>
    </row>
    <row r="170" spans="1:15" x14ac:dyDescent="0.25">
      <c r="A170" t="s">
        <v>529</v>
      </c>
      <c r="B170" s="2">
        <v>45826</v>
      </c>
      <c r="C170" t="s">
        <v>453</v>
      </c>
      <c r="D170" t="s">
        <v>454</v>
      </c>
      <c r="E170" t="s">
        <v>39</v>
      </c>
      <c r="F170" t="s">
        <v>40</v>
      </c>
      <c r="G170" t="s">
        <v>51</v>
      </c>
      <c r="H170" t="s">
        <v>21</v>
      </c>
      <c r="I170" t="s">
        <v>116</v>
      </c>
      <c r="J170">
        <v>1</v>
      </c>
      <c r="K170">
        <v>1400</v>
      </c>
      <c r="L170">
        <v>0.2</v>
      </c>
      <c r="M170">
        <v>1120</v>
      </c>
      <c r="N170">
        <v>900</v>
      </c>
      <c r="O170">
        <v>220</v>
      </c>
    </row>
    <row r="171" spans="1:15" x14ac:dyDescent="0.25">
      <c r="A171" t="s">
        <v>530</v>
      </c>
      <c r="B171" s="2">
        <v>45827</v>
      </c>
      <c r="C171" t="s">
        <v>378</v>
      </c>
      <c r="D171" t="s">
        <v>379</v>
      </c>
      <c r="E171" t="s">
        <v>26</v>
      </c>
      <c r="F171" t="s">
        <v>34</v>
      </c>
      <c r="G171" t="s">
        <v>20</v>
      </c>
      <c r="H171" t="s">
        <v>21</v>
      </c>
      <c r="I171" t="s">
        <v>22</v>
      </c>
      <c r="J171">
        <v>5</v>
      </c>
      <c r="K171">
        <v>650</v>
      </c>
      <c r="L171">
        <v>0.15</v>
      </c>
      <c r="M171">
        <v>2762.5</v>
      </c>
      <c r="N171">
        <v>1950</v>
      </c>
      <c r="O171">
        <v>812.5</v>
      </c>
    </row>
    <row r="172" spans="1:15" x14ac:dyDescent="0.25">
      <c r="A172" t="s">
        <v>531</v>
      </c>
      <c r="B172" s="2">
        <v>45828</v>
      </c>
      <c r="C172" t="s">
        <v>532</v>
      </c>
      <c r="D172" t="s">
        <v>533</v>
      </c>
      <c r="E172" t="s">
        <v>96</v>
      </c>
      <c r="F172" t="s">
        <v>196</v>
      </c>
      <c r="G172" t="s">
        <v>51</v>
      </c>
      <c r="H172" t="s">
        <v>52</v>
      </c>
      <c r="I172" t="s">
        <v>208</v>
      </c>
      <c r="J172">
        <v>4</v>
      </c>
      <c r="K172">
        <v>2800</v>
      </c>
      <c r="L172">
        <v>0</v>
      </c>
      <c r="M172">
        <v>11200</v>
      </c>
      <c r="N172">
        <v>7200</v>
      </c>
      <c r="O172">
        <v>4000</v>
      </c>
    </row>
    <row r="173" spans="1:15" x14ac:dyDescent="0.25">
      <c r="A173" t="s">
        <v>534</v>
      </c>
      <c r="B173" s="2">
        <v>45829</v>
      </c>
      <c r="C173" t="s">
        <v>535</v>
      </c>
      <c r="D173" t="s">
        <v>536</v>
      </c>
      <c r="E173" t="s">
        <v>26</v>
      </c>
      <c r="F173" t="s">
        <v>34</v>
      </c>
      <c r="G173" t="s">
        <v>57</v>
      </c>
      <c r="H173" t="s">
        <v>58</v>
      </c>
      <c r="I173" t="s">
        <v>129</v>
      </c>
      <c r="J173">
        <v>4</v>
      </c>
      <c r="K173">
        <v>4800</v>
      </c>
      <c r="L173">
        <v>0.15</v>
      </c>
      <c r="M173">
        <v>16320</v>
      </c>
      <c r="N173">
        <v>13200</v>
      </c>
      <c r="O173">
        <v>3120</v>
      </c>
    </row>
    <row r="174" spans="1:15" x14ac:dyDescent="0.25">
      <c r="A174" t="s">
        <v>537</v>
      </c>
      <c r="B174" s="2">
        <v>45830</v>
      </c>
      <c r="C174" t="s">
        <v>538</v>
      </c>
      <c r="D174" t="s">
        <v>539</v>
      </c>
      <c r="E174" t="s">
        <v>26</v>
      </c>
      <c r="F174" t="s">
        <v>34</v>
      </c>
      <c r="G174" t="s">
        <v>51</v>
      </c>
      <c r="H174" t="s">
        <v>21</v>
      </c>
      <c r="I174" t="s">
        <v>72</v>
      </c>
      <c r="J174">
        <v>1</v>
      </c>
      <c r="K174">
        <v>1800</v>
      </c>
      <c r="L174">
        <v>0.05</v>
      </c>
      <c r="M174">
        <v>1710</v>
      </c>
      <c r="N174">
        <v>1100</v>
      </c>
      <c r="O174">
        <v>610</v>
      </c>
    </row>
    <row r="175" spans="1:15" x14ac:dyDescent="0.25">
      <c r="A175" t="s">
        <v>540</v>
      </c>
      <c r="B175" s="2">
        <v>45831</v>
      </c>
      <c r="C175" t="s">
        <v>541</v>
      </c>
      <c r="D175" t="s">
        <v>542</v>
      </c>
      <c r="E175" t="s">
        <v>26</v>
      </c>
      <c r="F175" t="s">
        <v>27</v>
      </c>
      <c r="G175" t="s">
        <v>51</v>
      </c>
      <c r="H175" t="s">
        <v>21</v>
      </c>
      <c r="I175" t="s">
        <v>116</v>
      </c>
      <c r="J175">
        <v>3</v>
      </c>
      <c r="K175">
        <v>1400</v>
      </c>
      <c r="L175">
        <v>0.05</v>
      </c>
      <c r="M175">
        <v>3990</v>
      </c>
      <c r="N175">
        <v>2700</v>
      </c>
      <c r="O175">
        <v>1290</v>
      </c>
    </row>
    <row r="176" spans="1:15" x14ac:dyDescent="0.25">
      <c r="A176" t="s">
        <v>543</v>
      </c>
      <c r="B176" s="2">
        <v>45832</v>
      </c>
      <c r="C176" t="s">
        <v>544</v>
      </c>
      <c r="D176" t="s">
        <v>545</v>
      </c>
      <c r="E176" t="s">
        <v>26</v>
      </c>
      <c r="F176" t="s">
        <v>128</v>
      </c>
      <c r="G176" t="s">
        <v>28</v>
      </c>
      <c r="H176" t="s">
        <v>29</v>
      </c>
      <c r="I176" t="s">
        <v>47</v>
      </c>
      <c r="J176">
        <v>4</v>
      </c>
      <c r="K176">
        <v>6800</v>
      </c>
      <c r="L176">
        <v>0.1</v>
      </c>
      <c r="M176">
        <v>24480</v>
      </c>
      <c r="N176">
        <v>18800</v>
      </c>
      <c r="O176">
        <v>5680</v>
      </c>
    </row>
    <row r="177" spans="1:15" x14ac:dyDescent="0.25">
      <c r="A177" t="s">
        <v>546</v>
      </c>
      <c r="B177" s="2">
        <v>45833</v>
      </c>
      <c r="C177" t="s">
        <v>547</v>
      </c>
      <c r="D177" t="s">
        <v>548</v>
      </c>
      <c r="E177" t="s">
        <v>26</v>
      </c>
      <c r="F177" t="s">
        <v>128</v>
      </c>
      <c r="G177" t="s">
        <v>28</v>
      </c>
      <c r="H177" t="s">
        <v>29</v>
      </c>
      <c r="I177" t="s">
        <v>35</v>
      </c>
      <c r="J177">
        <v>3</v>
      </c>
      <c r="K177">
        <v>4200</v>
      </c>
      <c r="L177">
        <v>0</v>
      </c>
      <c r="M177">
        <v>12600</v>
      </c>
      <c r="N177">
        <v>8700</v>
      </c>
      <c r="O177">
        <v>3900</v>
      </c>
    </row>
    <row r="178" spans="1:15" x14ac:dyDescent="0.25">
      <c r="A178" t="s">
        <v>549</v>
      </c>
      <c r="B178" s="2">
        <v>45834</v>
      </c>
      <c r="C178" t="s">
        <v>550</v>
      </c>
      <c r="D178" t="s">
        <v>551</v>
      </c>
      <c r="E178" t="s">
        <v>26</v>
      </c>
      <c r="F178" t="s">
        <v>46</v>
      </c>
      <c r="G178" t="s">
        <v>20</v>
      </c>
      <c r="H178" t="s">
        <v>84</v>
      </c>
      <c r="I178" t="s">
        <v>210</v>
      </c>
      <c r="J178">
        <v>4</v>
      </c>
      <c r="K178">
        <v>300</v>
      </c>
      <c r="L178">
        <v>0</v>
      </c>
      <c r="M178">
        <v>1200</v>
      </c>
      <c r="N178">
        <v>680</v>
      </c>
      <c r="O178">
        <v>520</v>
      </c>
    </row>
    <row r="179" spans="1:15" x14ac:dyDescent="0.25">
      <c r="A179" t="s">
        <v>552</v>
      </c>
      <c r="B179" s="2">
        <v>45835</v>
      </c>
      <c r="C179" t="s">
        <v>553</v>
      </c>
      <c r="D179" t="s">
        <v>554</v>
      </c>
      <c r="E179" t="s">
        <v>39</v>
      </c>
      <c r="F179" t="s">
        <v>76</v>
      </c>
      <c r="G179" t="s">
        <v>28</v>
      </c>
      <c r="H179" t="s">
        <v>29</v>
      </c>
      <c r="I179" t="s">
        <v>35</v>
      </c>
      <c r="J179">
        <v>4</v>
      </c>
      <c r="K179">
        <v>4200</v>
      </c>
      <c r="L179">
        <v>0.15</v>
      </c>
      <c r="M179">
        <v>14280</v>
      </c>
      <c r="N179">
        <v>11600</v>
      </c>
      <c r="O179">
        <v>2680</v>
      </c>
    </row>
    <row r="180" spans="1:15" x14ac:dyDescent="0.25">
      <c r="A180" t="s">
        <v>555</v>
      </c>
      <c r="B180" s="2">
        <v>45836</v>
      </c>
      <c r="C180" t="s">
        <v>556</v>
      </c>
      <c r="D180" t="s">
        <v>557</v>
      </c>
      <c r="E180" t="s">
        <v>96</v>
      </c>
      <c r="F180" t="s">
        <v>120</v>
      </c>
      <c r="G180" t="s">
        <v>20</v>
      </c>
      <c r="H180" t="s">
        <v>84</v>
      </c>
      <c r="I180" t="s">
        <v>169</v>
      </c>
      <c r="J180">
        <v>1</v>
      </c>
      <c r="K180">
        <v>450</v>
      </c>
      <c r="L180">
        <v>0</v>
      </c>
      <c r="M180">
        <v>450</v>
      </c>
      <c r="N180">
        <v>260</v>
      </c>
      <c r="O180">
        <v>190</v>
      </c>
    </row>
    <row r="181" spans="1:15" x14ac:dyDescent="0.25">
      <c r="A181" t="s">
        <v>558</v>
      </c>
      <c r="B181" s="2">
        <v>45837</v>
      </c>
      <c r="C181" t="s">
        <v>559</v>
      </c>
      <c r="D181" t="s">
        <v>560</v>
      </c>
      <c r="E181" t="s">
        <v>18</v>
      </c>
      <c r="F181" t="s">
        <v>94</v>
      </c>
      <c r="G181" t="s">
        <v>51</v>
      </c>
      <c r="H181" t="s">
        <v>52</v>
      </c>
      <c r="I181" t="s">
        <v>208</v>
      </c>
      <c r="J181">
        <v>3</v>
      </c>
      <c r="K181">
        <v>2800</v>
      </c>
      <c r="L181">
        <v>0.2</v>
      </c>
      <c r="M181">
        <v>6720</v>
      </c>
      <c r="N181">
        <v>5400</v>
      </c>
      <c r="O181">
        <v>1320</v>
      </c>
    </row>
    <row r="182" spans="1:15" x14ac:dyDescent="0.25">
      <c r="A182" t="s">
        <v>561</v>
      </c>
      <c r="B182" s="2">
        <v>45838</v>
      </c>
      <c r="C182" t="s">
        <v>562</v>
      </c>
      <c r="D182" t="s">
        <v>563</v>
      </c>
      <c r="E182" t="s">
        <v>26</v>
      </c>
      <c r="F182" t="s">
        <v>204</v>
      </c>
      <c r="G182" t="s">
        <v>57</v>
      </c>
      <c r="H182" t="s">
        <v>58</v>
      </c>
      <c r="I182" t="s">
        <v>59</v>
      </c>
      <c r="J182">
        <v>5</v>
      </c>
      <c r="K182">
        <v>5600</v>
      </c>
      <c r="L182">
        <v>0.05</v>
      </c>
      <c r="M182">
        <v>26600</v>
      </c>
      <c r="N182">
        <v>19500</v>
      </c>
      <c r="O182">
        <v>7100</v>
      </c>
    </row>
    <row r="183" spans="1:15" x14ac:dyDescent="0.25">
      <c r="A183" t="s">
        <v>564</v>
      </c>
      <c r="B183" s="2">
        <v>45839</v>
      </c>
      <c r="C183" t="s">
        <v>102</v>
      </c>
      <c r="D183" t="s">
        <v>103</v>
      </c>
      <c r="E183" t="s">
        <v>39</v>
      </c>
      <c r="F183" t="s">
        <v>71</v>
      </c>
      <c r="G183" t="s">
        <v>20</v>
      </c>
      <c r="H183" t="s">
        <v>84</v>
      </c>
      <c r="I183" t="s">
        <v>85</v>
      </c>
      <c r="J183">
        <v>3</v>
      </c>
      <c r="K183">
        <v>280</v>
      </c>
      <c r="L183">
        <v>0.05</v>
      </c>
      <c r="M183">
        <v>798</v>
      </c>
      <c r="N183">
        <v>480</v>
      </c>
      <c r="O183">
        <v>318</v>
      </c>
    </row>
    <row r="184" spans="1:15" x14ac:dyDescent="0.25">
      <c r="A184" t="s">
        <v>565</v>
      </c>
      <c r="B184" s="2">
        <v>45840</v>
      </c>
      <c r="C184" t="s">
        <v>353</v>
      </c>
      <c r="D184" t="s">
        <v>354</v>
      </c>
      <c r="E184" t="s">
        <v>18</v>
      </c>
      <c r="F184" t="s">
        <v>94</v>
      </c>
      <c r="G184" t="s">
        <v>20</v>
      </c>
      <c r="H184" t="s">
        <v>41</v>
      </c>
      <c r="I184" t="s">
        <v>42</v>
      </c>
      <c r="J184">
        <v>3</v>
      </c>
      <c r="K184">
        <v>520</v>
      </c>
      <c r="L184">
        <v>0.2</v>
      </c>
      <c r="M184">
        <v>1248</v>
      </c>
      <c r="N184">
        <v>990</v>
      </c>
      <c r="O184">
        <v>258</v>
      </c>
    </row>
    <row r="185" spans="1:15" x14ac:dyDescent="0.25">
      <c r="A185" t="s">
        <v>566</v>
      </c>
      <c r="B185" s="2">
        <v>45841</v>
      </c>
      <c r="C185" t="s">
        <v>567</v>
      </c>
      <c r="D185" t="s">
        <v>568</v>
      </c>
      <c r="E185" t="s">
        <v>39</v>
      </c>
      <c r="F185" t="s">
        <v>40</v>
      </c>
      <c r="G185" t="s">
        <v>57</v>
      </c>
      <c r="H185" t="s">
        <v>58</v>
      </c>
      <c r="I185" t="s">
        <v>129</v>
      </c>
      <c r="J185">
        <v>3</v>
      </c>
      <c r="K185">
        <v>4800</v>
      </c>
      <c r="L185">
        <v>0.1</v>
      </c>
      <c r="M185">
        <v>12960</v>
      </c>
      <c r="N185">
        <v>9900</v>
      </c>
      <c r="O185">
        <v>3060</v>
      </c>
    </row>
    <row r="186" spans="1:15" x14ac:dyDescent="0.25">
      <c r="A186" t="s">
        <v>569</v>
      </c>
      <c r="B186" s="2">
        <v>45842</v>
      </c>
      <c r="C186" t="s">
        <v>570</v>
      </c>
      <c r="D186" t="s">
        <v>571</v>
      </c>
      <c r="E186" t="s">
        <v>26</v>
      </c>
      <c r="F186" t="s">
        <v>46</v>
      </c>
      <c r="G186" t="s">
        <v>51</v>
      </c>
      <c r="H186" t="s">
        <v>52</v>
      </c>
      <c r="I186" t="s">
        <v>208</v>
      </c>
      <c r="J186">
        <v>3</v>
      </c>
      <c r="K186">
        <v>2800</v>
      </c>
      <c r="L186">
        <v>0</v>
      </c>
      <c r="M186">
        <v>8400</v>
      </c>
      <c r="N186">
        <v>5400</v>
      </c>
      <c r="O186">
        <v>3000</v>
      </c>
    </row>
    <row r="187" spans="1:15" x14ac:dyDescent="0.25">
      <c r="A187" t="s">
        <v>572</v>
      </c>
      <c r="B187" s="2">
        <v>45843</v>
      </c>
      <c r="C187" t="s">
        <v>573</v>
      </c>
      <c r="D187" t="s">
        <v>574</v>
      </c>
      <c r="E187" t="s">
        <v>18</v>
      </c>
      <c r="F187" t="s">
        <v>94</v>
      </c>
      <c r="G187" t="s">
        <v>28</v>
      </c>
      <c r="H187" t="s">
        <v>29</v>
      </c>
      <c r="I187" t="s">
        <v>47</v>
      </c>
      <c r="J187">
        <v>3</v>
      </c>
      <c r="K187">
        <v>6800</v>
      </c>
      <c r="L187">
        <v>0.15</v>
      </c>
      <c r="M187">
        <v>17340</v>
      </c>
      <c r="N187">
        <v>14100</v>
      </c>
      <c r="O187">
        <v>3240</v>
      </c>
    </row>
    <row r="188" spans="1:15" x14ac:dyDescent="0.25">
      <c r="A188" t="s">
        <v>575</v>
      </c>
      <c r="B188" s="2">
        <v>45844</v>
      </c>
      <c r="C188" t="s">
        <v>491</v>
      </c>
      <c r="D188" t="s">
        <v>492</v>
      </c>
      <c r="E188" t="s">
        <v>96</v>
      </c>
      <c r="F188" t="s">
        <v>97</v>
      </c>
      <c r="G188" t="s">
        <v>57</v>
      </c>
      <c r="H188" t="s">
        <v>58</v>
      </c>
      <c r="I188" t="s">
        <v>59</v>
      </c>
      <c r="J188">
        <v>3</v>
      </c>
      <c r="K188">
        <v>5600</v>
      </c>
      <c r="L188">
        <v>0.15</v>
      </c>
      <c r="M188">
        <v>14280</v>
      </c>
      <c r="N188">
        <v>11700</v>
      </c>
      <c r="O188">
        <v>2580</v>
      </c>
    </row>
    <row r="189" spans="1:15" x14ac:dyDescent="0.25">
      <c r="A189" t="s">
        <v>576</v>
      </c>
      <c r="B189" s="2">
        <v>45845</v>
      </c>
      <c r="C189" t="s">
        <v>126</v>
      </c>
      <c r="D189" t="s">
        <v>127</v>
      </c>
      <c r="E189" t="s">
        <v>18</v>
      </c>
      <c r="F189" t="s">
        <v>94</v>
      </c>
      <c r="G189" t="s">
        <v>28</v>
      </c>
      <c r="H189" t="s">
        <v>63</v>
      </c>
      <c r="I189" t="s">
        <v>64</v>
      </c>
      <c r="J189">
        <v>1</v>
      </c>
      <c r="K189">
        <v>2400</v>
      </c>
      <c r="L189">
        <v>0.15</v>
      </c>
      <c r="M189">
        <v>2040</v>
      </c>
      <c r="N189">
        <v>1650</v>
      </c>
      <c r="O189">
        <v>390</v>
      </c>
    </row>
    <row r="190" spans="1:15" x14ac:dyDescent="0.25">
      <c r="A190" t="s">
        <v>577</v>
      </c>
      <c r="B190" s="2">
        <v>45846</v>
      </c>
      <c r="C190" t="s">
        <v>578</v>
      </c>
      <c r="D190" t="s">
        <v>579</v>
      </c>
      <c r="E190" t="s">
        <v>26</v>
      </c>
      <c r="F190" t="s">
        <v>34</v>
      </c>
      <c r="G190" t="s">
        <v>28</v>
      </c>
      <c r="H190" t="s">
        <v>29</v>
      </c>
      <c r="I190" t="s">
        <v>30</v>
      </c>
      <c r="J190">
        <v>2</v>
      </c>
      <c r="K190">
        <v>1900</v>
      </c>
      <c r="L190">
        <v>0.05</v>
      </c>
      <c r="M190">
        <v>3610</v>
      </c>
      <c r="N190">
        <v>2500</v>
      </c>
      <c r="O190">
        <v>1110</v>
      </c>
    </row>
    <row r="191" spans="1:15" x14ac:dyDescent="0.25">
      <c r="A191" t="s">
        <v>580</v>
      </c>
      <c r="B191" s="2">
        <v>45847</v>
      </c>
      <c r="C191" t="s">
        <v>244</v>
      </c>
      <c r="D191" t="s">
        <v>245</v>
      </c>
      <c r="E191" t="s">
        <v>39</v>
      </c>
      <c r="F191" t="s">
        <v>76</v>
      </c>
      <c r="G191" t="s">
        <v>28</v>
      </c>
      <c r="H191" t="s">
        <v>29</v>
      </c>
      <c r="I191" t="s">
        <v>35</v>
      </c>
      <c r="J191">
        <v>1</v>
      </c>
      <c r="K191">
        <v>4200</v>
      </c>
      <c r="L191">
        <v>0.25</v>
      </c>
      <c r="M191">
        <v>3150</v>
      </c>
      <c r="N191">
        <v>2900</v>
      </c>
      <c r="O191">
        <v>250</v>
      </c>
    </row>
    <row r="192" spans="1:15" x14ac:dyDescent="0.25">
      <c r="A192" t="s">
        <v>581</v>
      </c>
      <c r="B192" s="2">
        <v>45848</v>
      </c>
      <c r="C192" t="s">
        <v>582</v>
      </c>
      <c r="D192" t="s">
        <v>583</v>
      </c>
      <c r="E192" t="s">
        <v>26</v>
      </c>
      <c r="F192" t="s">
        <v>204</v>
      </c>
      <c r="G192" t="s">
        <v>51</v>
      </c>
      <c r="H192" t="s">
        <v>89</v>
      </c>
      <c r="I192" t="s">
        <v>90</v>
      </c>
      <c r="J192">
        <v>4</v>
      </c>
      <c r="K192">
        <v>10500</v>
      </c>
      <c r="L192">
        <v>0</v>
      </c>
      <c r="M192">
        <v>42000</v>
      </c>
      <c r="N192">
        <v>30400</v>
      </c>
      <c r="O192">
        <v>11600</v>
      </c>
    </row>
    <row r="193" spans="1:15" x14ac:dyDescent="0.25">
      <c r="A193" t="s">
        <v>584</v>
      </c>
      <c r="B193" s="2">
        <v>45849</v>
      </c>
      <c r="C193" t="s">
        <v>585</v>
      </c>
      <c r="D193" t="s">
        <v>586</v>
      </c>
      <c r="E193" t="s">
        <v>18</v>
      </c>
      <c r="F193" t="s">
        <v>19</v>
      </c>
      <c r="G193" t="s">
        <v>57</v>
      </c>
      <c r="H193" t="s">
        <v>188</v>
      </c>
      <c r="I193" t="s">
        <v>189</v>
      </c>
      <c r="J193">
        <v>4</v>
      </c>
      <c r="K193">
        <v>6200</v>
      </c>
      <c r="L193">
        <v>0.15</v>
      </c>
      <c r="M193">
        <v>21080</v>
      </c>
      <c r="N193">
        <v>17200</v>
      </c>
      <c r="O193">
        <v>3880</v>
      </c>
    </row>
    <row r="194" spans="1:15" x14ac:dyDescent="0.25">
      <c r="A194" t="s">
        <v>587</v>
      </c>
      <c r="B194" s="2">
        <v>45850</v>
      </c>
      <c r="C194" t="s">
        <v>588</v>
      </c>
      <c r="D194" t="s">
        <v>589</v>
      </c>
      <c r="E194" t="s">
        <v>26</v>
      </c>
      <c r="F194" t="s">
        <v>46</v>
      </c>
      <c r="G194" t="s">
        <v>51</v>
      </c>
      <c r="H194" t="s">
        <v>89</v>
      </c>
      <c r="I194" t="s">
        <v>90</v>
      </c>
      <c r="J194">
        <v>3</v>
      </c>
      <c r="K194">
        <v>10500</v>
      </c>
      <c r="L194">
        <v>0.05</v>
      </c>
      <c r="M194">
        <v>29925</v>
      </c>
      <c r="N194">
        <v>22800</v>
      </c>
      <c r="O194">
        <v>7125</v>
      </c>
    </row>
    <row r="195" spans="1:15" x14ac:dyDescent="0.25">
      <c r="A195" t="s">
        <v>590</v>
      </c>
      <c r="B195" s="2">
        <v>45851</v>
      </c>
      <c r="C195" t="s">
        <v>556</v>
      </c>
      <c r="D195" t="s">
        <v>557</v>
      </c>
      <c r="E195" t="s">
        <v>26</v>
      </c>
      <c r="F195" t="s">
        <v>128</v>
      </c>
      <c r="G195" t="s">
        <v>57</v>
      </c>
      <c r="H195" t="s">
        <v>58</v>
      </c>
      <c r="I195" t="s">
        <v>59</v>
      </c>
      <c r="J195">
        <v>1</v>
      </c>
      <c r="K195">
        <v>5600</v>
      </c>
      <c r="L195">
        <v>0.05</v>
      </c>
      <c r="M195">
        <v>5320</v>
      </c>
      <c r="N195">
        <v>3900</v>
      </c>
      <c r="O195">
        <v>1420</v>
      </c>
    </row>
    <row r="196" spans="1:15" x14ac:dyDescent="0.25">
      <c r="A196" t="s">
        <v>591</v>
      </c>
      <c r="B196" s="2">
        <v>45852</v>
      </c>
      <c r="C196" t="s">
        <v>294</v>
      </c>
      <c r="D196" t="s">
        <v>295</v>
      </c>
      <c r="E196" t="s">
        <v>26</v>
      </c>
      <c r="F196" t="s">
        <v>46</v>
      </c>
      <c r="G196" t="s">
        <v>20</v>
      </c>
      <c r="H196" t="s">
        <v>84</v>
      </c>
      <c r="I196" t="s">
        <v>210</v>
      </c>
      <c r="J196">
        <v>4</v>
      </c>
      <c r="K196">
        <v>300</v>
      </c>
      <c r="L196">
        <v>0.05</v>
      </c>
      <c r="M196">
        <v>1140</v>
      </c>
      <c r="N196">
        <v>680</v>
      </c>
      <c r="O196">
        <v>460</v>
      </c>
    </row>
    <row r="197" spans="1:15" x14ac:dyDescent="0.25">
      <c r="A197" t="s">
        <v>592</v>
      </c>
      <c r="B197" s="2">
        <v>45853</v>
      </c>
      <c r="C197" t="s">
        <v>593</v>
      </c>
      <c r="D197" t="s">
        <v>594</v>
      </c>
      <c r="E197" t="s">
        <v>96</v>
      </c>
      <c r="F197" t="s">
        <v>97</v>
      </c>
      <c r="G197" t="s">
        <v>28</v>
      </c>
      <c r="H197" t="s">
        <v>63</v>
      </c>
      <c r="I197" t="s">
        <v>64</v>
      </c>
      <c r="J197">
        <v>5</v>
      </c>
      <c r="K197">
        <v>2400</v>
      </c>
      <c r="L197">
        <v>0.1</v>
      </c>
      <c r="M197">
        <v>10800</v>
      </c>
      <c r="N197">
        <v>8250</v>
      </c>
      <c r="O197">
        <v>2550</v>
      </c>
    </row>
    <row r="198" spans="1:15" x14ac:dyDescent="0.25">
      <c r="A198" t="s">
        <v>595</v>
      </c>
      <c r="B198" s="2">
        <v>45854</v>
      </c>
      <c r="C198" t="s">
        <v>191</v>
      </c>
      <c r="D198" t="s">
        <v>192</v>
      </c>
      <c r="E198" t="s">
        <v>26</v>
      </c>
      <c r="F198" t="s">
        <v>204</v>
      </c>
      <c r="G198" t="s">
        <v>20</v>
      </c>
      <c r="H198" t="s">
        <v>84</v>
      </c>
      <c r="I198" t="s">
        <v>85</v>
      </c>
      <c r="J198">
        <v>3</v>
      </c>
      <c r="K198">
        <v>280</v>
      </c>
      <c r="L198">
        <v>0</v>
      </c>
      <c r="M198">
        <v>840</v>
      </c>
      <c r="N198">
        <v>480</v>
      </c>
      <c r="O198">
        <v>360</v>
      </c>
    </row>
    <row r="199" spans="1:15" x14ac:dyDescent="0.25">
      <c r="A199" t="s">
        <v>596</v>
      </c>
      <c r="B199" s="2">
        <v>45855</v>
      </c>
      <c r="C199" t="s">
        <v>597</v>
      </c>
      <c r="D199" t="s">
        <v>598</v>
      </c>
      <c r="E199" t="s">
        <v>39</v>
      </c>
      <c r="F199" t="s">
        <v>40</v>
      </c>
      <c r="G199" t="s">
        <v>28</v>
      </c>
      <c r="H199" t="s">
        <v>29</v>
      </c>
      <c r="I199" t="s">
        <v>35</v>
      </c>
      <c r="J199">
        <v>2</v>
      </c>
      <c r="K199">
        <v>4200</v>
      </c>
      <c r="L199">
        <v>0.1</v>
      </c>
      <c r="M199">
        <v>7560</v>
      </c>
      <c r="N199">
        <v>5800</v>
      </c>
      <c r="O199">
        <v>1760</v>
      </c>
    </row>
    <row r="200" spans="1:15" x14ac:dyDescent="0.25">
      <c r="A200" t="s">
        <v>599</v>
      </c>
      <c r="B200" s="2">
        <v>45856</v>
      </c>
      <c r="C200" t="s">
        <v>600</v>
      </c>
      <c r="D200" t="s">
        <v>601</v>
      </c>
      <c r="E200" t="s">
        <v>96</v>
      </c>
      <c r="F200" t="s">
        <v>200</v>
      </c>
      <c r="G200" t="s">
        <v>20</v>
      </c>
      <c r="H200" t="s">
        <v>41</v>
      </c>
      <c r="I200" t="s">
        <v>42</v>
      </c>
      <c r="J200">
        <v>4</v>
      </c>
      <c r="K200">
        <v>520</v>
      </c>
      <c r="L200">
        <v>0.15</v>
      </c>
      <c r="M200">
        <v>1768</v>
      </c>
      <c r="N200">
        <v>1320</v>
      </c>
      <c r="O200">
        <v>448</v>
      </c>
    </row>
    <row r="201" spans="1:15" x14ac:dyDescent="0.25">
      <c r="A201" t="s">
        <v>602</v>
      </c>
      <c r="B201" s="2">
        <v>45857</v>
      </c>
      <c r="C201" t="s">
        <v>603</v>
      </c>
      <c r="D201" t="s">
        <v>604</v>
      </c>
      <c r="E201" t="s">
        <v>26</v>
      </c>
      <c r="F201" t="s">
        <v>46</v>
      </c>
      <c r="G201" t="s">
        <v>51</v>
      </c>
      <c r="H201" t="s">
        <v>21</v>
      </c>
      <c r="I201" t="s">
        <v>80</v>
      </c>
      <c r="J201">
        <v>4</v>
      </c>
      <c r="K201">
        <v>850</v>
      </c>
      <c r="L201">
        <v>0.25</v>
      </c>
      <c r="M201">
        <v>2550</v>
      </c>
      <c r="N201">
        <v>2240</v>
      </c>
      <c r="O201">
        <v>310</v>
      </c>
    </row>
    <row r="202" spans="1:15" x14ac:dyDescent="0.25">
      <c r="A202" t="s">
        <v>605</v>
      </c>
      <c r="B202" s="2">
        <v>45858</v>
      </c>
      <c r="C202" t="s">
        <v>606</v>
      </c>
      <c r="D202" t="s">
        <v>607</v>
      </c>
      <c r="E202" t="s">
        <v>39</v>
      </c>
      <c r="F202" t="s">
        <v>76</v>
      </c>
      <c r="G202" t="s">
        <v>51</v>
      </c>
      <c r="H202" t="s">
        <v>52</v>
      </c>
      <c r="I202" t="s">
        <v>53</v>
      </c>
      <c r="J202">
        <v>4</v>
      </c>
      <c r="K202">
        <v>2200</v>
      </c>
      <c r="L202">
        <v>0</v>
      </c>
      <c r="M202">
        <v>8800</v>
      </c>
      <c r="N202">
        <v>5800</v>
      </c>
      <c r="O202">
        <v>3000</v>
      </c>
    </row>
    <row r="203" spans="1:15" x14ac:dyDescent="0.25">
      <c r="A203" t="s">
        <v>608</v>
      </c>
      <c r="B203" s="2">
        <v>45859</v>
      </c>
      <c r="C203" t="s">
        <v>180</v>
      </c>
      <c r="D203" t="s">
        <v>181</v>
      </c>
      <c r="E203" t="s">
        <v>96</v>
      </c>
      <c r="F203" t="s">
        <v>97</v>
      </c>
      <c r="G203" t="s">
        <v>51</v>
      </c>
      <c r="H203" t="s">
        <v>52</v>
      </c>
      <c r="I203" t="s">
        <v>208</v>
      </c>
      <c r="J203">
        <v>2</v>
      </c>
      <c r="K203">
        <v>2800</v>
      </c>
      <c r="L203">
        <v>0.1</v>
      </c>
      <c r="M203">
        <v>5040</v>
      </c>
      <c r="N203">
        <v>3600</v>
      </c>
      <c r="O203">
        <v>1440</v>
      </c>
    </row>
    <row r="204" spans="1:15" x14ac:dyDescent="0.25">
      <c r="A204" t="s">
        <v>609</v>
      </c>
      <c r="B204" s="2">
        <v>45860</v>
      </c>
      <c r="C204" t="s">
        <v>177</v>
      </c>
      <c r="D204" t="s">
        <v>178</v>
      </c>
      <c r="E204" t="s">
        <v>39</v>
      </c>
      <c r="F204" t="s">
        <v>124</v>
      </c>
      <c r="G204" t="s">
        <v>51</v>
      </c>
      <c r="H204" t="s">
        <v>21</v>
      </c>
      <c r="I204" t="s">
        <v>116</v>
      </c>
      <c r="J204">
        <v>4</v>
      </c>
      <c r="K204">
        <v>1400</v>
      </c>
      <c r="L204">
        <v>0</v>
      </c>
      <c r="M204">
        <v>5600</v>
      </c>
      <c r="N204">
        <v>3600</v>
      </c>
      <c r="O204">
        <v>2000</v>
      </c>
    </row>
    <row r="205" spans="1:15" x14ac:dyDescent="0.25">
      <c r="A205" t="s">
        <v>610</v>
      </c>
      <c r="B205" s="2">
        <v>45861</v>
      </c>
      <c r="C205" t="s">
        <v>611</v>
      </c>
      <c r="D205" t="s">
        <v>612</v>
      </c>
      <c r="E205" t="s">
        <v>39</v>
      </c>
      <c r="F205" t="s">
        <v>124</v>
      </c>
      <c r="G205" t="s">
        <v>28</v>
      </c>
      <c r="H205" t="s">
        <v>63</v>
      </c>
      <c r="I205" t="s">
        <v>64</v>
      </c>
      <c r="J205">
        <v>2</v>
      </c>
      <c r="K205">
        <v>2400</v>
      </c>
      <c r="L205">
        <v>0.15</v>
      </c>
      <c r="M205">
        <v>4080</v>
      </c>
      <c r="N205">
        <v>3300</v>
      </c>
      <c r="O205">
        <v>780</v>
      </c>
    </row>
    <row r="206" spans="1:15" x14ac:dyDescent="0.25">
      <c r="A206" t="s">
        <v>613</v>
      </c>
      <c r="B206" s="2">
        <v>45862</v>
      </c>
      <c r="C206" t="s">
        <v>614</v>
      </c>
      <c r="D206" t="s">
        <v>615</v>
      </c>
      <c r="E206" t="s">
        <v>96</v>
      </c>
      <c r="F206" t="s">
        <v>196</v>
      </c>
      <c r="G206" t="s">
        <v>51</v>
      </c>
      <c r="H206" t="s">
        <v>52</v>
      </c>
      <c r="I206" t="s">
        <v>208</v>
      </c>
      <c r="J206">
        <v>4</v>
      </c>
      <c r="K206">
        <v>2800</v>
      </c>
      <c r="L206">
        <v>0.15</v>
      </c>
      <c r="M206">
        <v>9520</v>
      </c>
      <c r="N206">
        <v>7200</v>
      </c>
      <c r="O206">
        <v>2320</v>
      </c>
    </row>
    <row r="207" spans="1:15" x14ac:dyDescent="0.25">
      <c r="A207" t="s">
        <v>616</v>
      </c>
      <c r="B207" s="2">
        <v>45863</v>
      </c>
      <c r="C207" t="s">
        <v>180</v>
      </c>
      <c r="D207" t="s">
        <v>181</v>
      </c>
      <c r="E207" t="s">
        <v>26</v>
      </c>
      <c r="F207" t="s">
        <v>27</v>
      </c>
      <c r="G207" t="s">
        <v>20</v>
      </c>
      <c r="H207" t="s">
        <v>21</v>
      </c>
      <c r="I207" t="s">
        <v>22</v>
      </c>
      <c r="J207">
        <v>1</v>
      </c>
      <c r="K207">
        <v>650</v>
      </c>
      <c r="L207">
        <v>0.25</v>
      </c>
      <c r="M207">
        <v>487.5</v>
      </c>
      <c r="N207">
        <v>390</v>
      </c>
      <c r="O207">
        <v>97.5</v>
      </c>
    </row>
    <row r="208" spans="1:15" x14ac:dyDescent="0.25">
      <c r="A208" t="s">
        <v>617</v>
      </c>
      <c r="B208" s="2">
        <v>45864</v>
      </c>
      <c r="C208" t="s">
        <v>194</v>
      </c>
      <c r="D208" t="s">
        <v>195</v>
      </c>
      <c r="E208" t="s">
        <v>96</v>
      </c>
      <c r="F208" t="s">
        <v>196</v>
      </c>
      <c r="G208" t="s">
        <v>51</v>
      </c>
      <c r="H208" t="s">
        <v>52</v>
      </c>
      <c r="I208" t="s">
        <v>208</v>
      </c>
      <c r="J208">
        <v>4</v>
      </c>
      <c r="K208">
        <v>2800</v>
      </c>
      <c r="L208">
        <v>0</v>
      </c>
      <c r="M208">
        <v>11200</v>
      </c>
      <c r="N208">
        <v>7200</v>
      </c>
      <c r="O208">
        <v>4000</v>
      </c>
    </row>
    <row r="209" spans="1:15" x14ac:dyDescent="0.25">
      <c r="A209" t="s">
        <v>618</v>
      </c>
      <c r="B209" s="2">
        <v>45865</v>
      </c>
      <c r="C209" t="s">
        <v>619</v>
      </c>
      <c r="D209" t="s">
        <v>620</v>
      </c>
      <c r="E209" t="s">
        <v>18</v>
      </c>
      <c r="F209" t="s">
        <v>94</v>
      </c>
      <c r="G209" t="s">
        <v>51</v>
      </c>
      <c r="H209" t="s">
        <v>21</v>
      </c>
      <c r="I209" t="s">
        <v>72</v>
      </c>
      <c r="J209">
        <v>4</v>
      </c>
      <c r="K209">
        <v>1800</v>
      </c>
      <c r="L209">
        <v>0.15</v>
      </c>
      <c r="M209">
        <v>6120</v>
      </c>
      <c r="N209">
        <v>4400</v>
      </c>
      <c r="O209">
        <v>1720</v>
      </c>
    </row>
    <row r="210" spans="1:15" x14ac:dyDescent="0.25">
      <c r="A210" t="s">
        <v>621</v>
      </c>
      <c r="B210" s="2">
        <v>45866</v>
      </c>
      <c r="C210" t="s">
        <v>225</v>
      </c>
      <c r="D210" t="s">
        <v>226</v>
      </c>
      <c r="E210" t="s">
        <v>39</v>
      </c>
      <c r="F210" t="s">
        <v>76</v>
      </c>
      <c r="G210" t="s">
        <v>51</v>
      </c>
      <c r="H210" t="s">
        <v>52</v>
      </c>
      <c r="I210" t="s">
        <v>208</v>
      </c>
      <c r="J210">
        <v>5</v>
      </c>
      <c r="K210">
        <v>2800</v>
      </c>
      <c r="L210">
        <v>0.25</v>
      </c>
      <c r="M210">
        <v>10500</v>
      </c>
      <c r="N210">
        <v>9000</v>
      </c>
      <c r="O210">
        <v>1500</v>
      </c>
    </row>
    <row r="211" spans="1:15" x14ac:dyDescent="0.25">
      <c r="A211" t="s">
        <v>622</v>
      </c>
      <c r="B211" s="2">
        <v>45867</v>
      </c>
      <c r="C211" t="s">
        <v>623</v>
      </c>
      <c r="D211" t="s">
        <v>624</v>
      </c>
      <c r="E211" t="s">
        <v>26</v>
      </c>
      <c r="F211" t="s">
        <v>27</v>
      </c>
      <c r="G211" t="s">
        <v>51</v>
      </c>
      <c r="H211" t="s">
        <v>89</v>
      </c>
      <c r="I211" t="s">
        <v>90</v>
      </c>
      <c r="J211">
        <v>3</v>
      </c>
      <c r="K211">
        <v>10500</v>
      </c>
      <c r="L211">
        <v>0.1</v>
      </c>
      <c r="M211">
        <v>28350</v>
      </c>
      <c r="N211">
        <v>22800</v>
      </c>
      <c r="O211">
        <v>5550</v>
      </c>
    </row>
    <row r="212" spans="1:15" x14ac:dyDescent="0.25">
      <c r="A212" t="s">
        <v>625</v>
      </c>
      <c r="B212" s="2">
        <v>45868</v>
      </c>
      <c r="C212" t="s">
        <v>360</v>
      </c>
      <c r="D212" t="s">
        <v>361</v>
      </c>
      <c r="E212" t="s">
        <v>96</v>
      </c>
      <c r="F212" t="s">
        <v>120</v>
      </c>
      <c r="G212" t="s">
        <v>28</v>
      </c>
      <c r="H212" t="s">
        <v>29</v>
      </c>
      <c r="I212" t="s">
        <v>30</v>
      </c>
      <c r="J212">
        <v>2</v>
      </c>
      <c r="K212">
        <v>1900</v>
      </c>
      <c r="L212">
        <v>0</v>
      </c>
      <c r="M212">
        <v>3800</v>
      </c>
      <c r="N212">
        <v>2500</v>
      </c>
      <c r="O212">
        <v>1300</v>
      </c>
    </row>
    <row r="213" spans="1:15" x14ac:dyDescent="0.25">
      <c r="A213" t="s">
        <v>626</v>
      </c>
      <c r="B213" s="2">
        <v>45869</v>
      </c>
      <c r="C213" t="s">
        <v>627</v>
      </c>
      <c r="D213" t="s">
        <v>628</v>
      </c>
      <c r="E213" t="s">
        <v>96</v>
      </c>
      <c r="F213" t="s">
        <v>97</v>
      </c>
      <c r="G213" t="s">
        <v>57</v>
      </c>
      <c r="H213" t="s">
        <v>58</v>
      </c>
      <c r="I213" t="s">
        <v>59</v>
      </c>
      <c r="J213">
        <v>1</v>
      </c>
      <c r="K213">
        <v>5600</v>
      </c>
      <c r="L213">
        <v>0.05</v>
      </c>
      <c r="M213">
        <v>5320</v>
      </c>
      <c r="N213">
        <v>3900</v>
      </c>
      <c r="O213">
        <v>1420</v>
      </c>
    </row>
    <row r="214" spans="1:15" x14ac:dyDescent="0.25">
      <c r="A214" t="s">
        <v>629</v>
      </c>
      <c r="B214" s="2">
        <v>45870</v>
      </c>
      <c r="C214" t="s">
        <v>630</v>
      </c>
      <c r="D214" t="s">
        <v>631</v>
      </c>
      <c r="E214" t="s">
        <v>26</v>
      </c>
      <c r="F214" t="s">
        <v>27</v>
      </c>
      <c r="G214" t="s">
        <v>28</v>
      </c>
      <c r="H214" t="s">
        <v>63</v>
      </c>
      <c r="I214" t="s">
        <v>64</v>
      </c>
      <c r="J214">
        <v>3</v>
      </c>
      <c r="K214">
        <v>2400</v>
      </c>
      <c r="L214">
        <v>0.05</v>
      </c>
      <c r="M214">
        <v>6840</v>
      </c>
      <c r="N214">
        <v>4950</v>
      </c>
      <c r="O214">
        <v>1890</v>
      </c>
    </row>
    <row r="215" spans="1:15" x14ac:dyDescent="0.25">
      <c r="A215" t="s">
        <v>632</v>
      </c>
      <c r="B215" s="2">
        <v>45871</v>
      </c>
      <c r="C215" t="s">
        <v>633</v>
      </c>
      <c r="D215" t="s">
        <v>634</v>
      </c>
      <c r="E215" t="s">
        <v>96</v>
      </c>
      <c r="F215" t="s">
        <v>200</v>
      </c>
      <c r="G215" t="s">
        <v>57</v>
      </c>
      <c r="H215" t="s">
        <v>104</v>
      </c>
      <c r="I215" t="s">
        <v>105</v>
      </c>
      <c r="J215">
        <v>4</v>
      </c>
      <c r="K215">
        <v>7500</v>
      </c>
      <c r="L215">
        <v>0.05</v>
      </c>
      <c r="M215">
        <v>28500</v>
      </c>
      <c r="N215">
        <v>20800</v>
      </c>
      <c r="O215">
        <v>7700</v>
      </c>
    </row>
    <row r="216" spans="1:15" x14ac:dyDescent="0.25">
      <c r="A216" t="s">
        <v>635</v>
      </c>
      <c r="B216" s="2">
        <v>45872</v>
      </c>
      <c r="C216" t="s">
        <v>265</v>
      </c>
      <c r="D216" t="s">
        <v>266</v>
      </c>
      <c r="E216" t="s">
        <v>26</v>
      </c>
      <c r="F216" t="s">
        <v>204</v>
      </c>
      <c r="G216" t="s">
        <v>20</v>
      </c>
      <c r="H216" t="s">
        <v>84</v>
      </c>
      <c r="I216" t="s">
        <v>169</v>
      </c>
      <c r="J216">
        <v>4</v>
      </c>
      <c r="K216">
        <v>450</v>
      </c>
      <c r="L216">
        <v>0.1</v>
      </c>
      <c r="M216">
        <v>1620</v>
      </c>
      <c r="N216">
        <v>1040</v>
      </c>
      <c r="O216">
        <v>580</v>
      </c>
    </row>
    <row r="217" spans="1:15" x14ac:dyDescent="0.25">
      <c r="A217" t="s">
        <v>636</v>
      </c>
      <c r="B217" s="2">
        <v>45873</v>
      </c>
      <c r="C217" t="s">
        <v>637</v>
      </c>
      <c r="D217" t="s">
        <v>638</v>
      </c>
      <c r="E217" t="s">
        <v>26</v>
      </c>
      <c r="F217" t="s">
        <v>204</v>
      </c>
      <c r="G217" t="s">
        <v>20</v>
      </c>
      <c r="H217" t="s">
        <v>21</v>
      </c>
      <c r="I217" t="s">
        <v>22</v>
      </c>
      <c r="J217">
        <v>2</v>
      </c>
      <c r="K217">
        <v>650</v>
      </c>
      <c r="L217">
        <v>0</v>
      </c>
      <c r="M217">
        <v>1300</v>
      </c>
      <c r="N217">
        <v>780</v>
      </c>
      <c r="O217">
        <v>520</v>
      </c>
    </row>
    <row r="218" spans="1:15" x14ac:dyDescent="0.25">
      <c r="A218" t="s">
        <v>639</v>
      </c>
      <c r="B218" s="2">
        <v>45874</v>
      </c>
      <c r="C218" t="s">
        <v>640</v>
      </c>
      <c r="D218" t="s">
        <v>641</v>
      </c>
      <c r="E218" t="s">
        <v>96</v>
      </c>
      <c r="F218" t="s">
        <v>196</v>
      </c>
      <c r="G218" t="s">
        <v>51</v>
      </c>
      <c r="H218" t="s">
        <v>89</v>
      </c>
      <c r="I218" t="s">
        <v>90</v>
      </c>
      <c r="J218">
        <v>1</v>
      </c>
      <c r="K218">
        <v>10500</v>
      </c>
      <c r="L218">
        <v>0.2</v>
      </c>
      <c r="M218">
        <v>8400</v>
      </c>
      <c r="N218">
        <v>7600</v>
      </c>
      <c r="O218">
        <v>800</v>
      </c>
    </row>
    <row r="219" spans="1:15" x14ac:dyDescent="0.25">
      <c r="A219" t="s">
        <v>642</v>
      </c>
      <c r="B219" s="2">
        <v>45875</v>
      </c>
      <c r="C219" t="s">
        <v>643</v>
      </c>
      <c r="D219" t="s">
        <v>644</v>
      </c>
      <c r="E219" t="s">
        <v>26</v>
      </c>
      <c r="F219" t="s">
        <v>34</v>
      </c>
      <c r="G219" t="s">
        <v>51</v>
      </c>
      <c r="H219" t="s">
        <v>89</v>
      </c>
      <c r="I219" t="s">
        <v>90</v>
      </c>
      <c r="J219">
        <v>4</v>
      </c>
      <c r="K219">
        <v>10500</v>
      </c>
      <c r="L219">
        <v>0.1</v>
      </c>
      <c r="M219">
        <v>37800</v>
      </c>
      <c r="N219">
        <v>30400</v>
      </c>
      <c r="O219">
        <v>7400</v>
      </c>
    </row>
    <row r="220" spans="1:15" x14ac:dyDescent="0.25">
      <c r="A220" t="s">
        <v>645</v>
      </c>
      <c r="B220" s="2">
        <v>45876</v>
      </c>
      <c r="C220" t="s">
        <v>513</v>
      </c>
      <c r="D220" t="s">
        <v>514</v>
      </c>
      <c r="E220" t="s">
        <v>26</v>
      </c>
      <c r="F220" t="s">
        <v>27</v>
      </c>
      <c r="G220" t="s">
        <v>51</v>
      </c>
      <c r="H220" t="s">
        <v>21</v>
      </c>
      <c r="I220" t="s">
        <v>72</v>
      </c>
      <c r="J220">
        <v>1</v>
      </c>
      <c r="K220">
        <v>1800</v>
      </c>
      <c r="L220">
        <v>0.1</v>
      </c>
      <c r="M220">
        <v>1620</v>
      </c>
      <c r="N220">
        <v>1100</v>
      </c>
      <c r="O220">
        <v>520</v>
      </c>
    </row>
    <row r="221" spans="1:15" x14ac:dyDescent="0.25">
      <c r="A221" t="s">
        <v>646</v>
      </c>
      <c r="B221" s="2">
        <v>45877</v>
      </c>
      <c r="C221" t="s">
        <v>647</v>
      </c>
      <c r="D221" t="s">
        <v>648</v>
      </c>
      <c r="E221" t="s">
        <v>39</v>
      </c>
      <c r="F221" t="s">
        <v>71</v>
      </c>
      <c r="G221" t="s">
        <v>51</v>
      </c>
      <c r="H221" t="s">
        <v>21</v>
      </c>
      <c r="I221" t="s">
        <v>72</v>
      </c>
      <c r="J221">
        <v>1</v>
      </c>
      <c r="K221">
        <v>1800</v>
      </c>
      <c r="L221">
        <v>0.1</v>
      </c>
      <c r="M221">
        <v>1620</v>
      </c>
      <c r="N221">
        <v>1100</v>
      </c>
      <c r="O221">
        <v>520</v>
      </c>
    </row>
    <row r="222" spans="1:15" x14ac:dyDescent="0.25">
      <c r="A222" t="s">
        <v>649</v>
      </c>
      <c r="B222" s="2">
        <v>45878</v>
      </c>
      <c r="C222" t="s">
        <v>553</v>
      </c>
      <c r="D222" t="s">
        <v>554</v>
      </c>
      <c r="E222" t="s">
        <v>26</v>
      </c>
      <c r="F222" t="s">
        <v>128</v>
      </c>
      <c r="G222" t="s">
        <v>57</v>
      </c>
      <c r="H222" t="s">
        <v>188</v>
      </c>
      <c r="I222" t="s">
        <v>189</v>
      </c>
      <c r="J222">
        <v>3</v>
      </c>
      <c r="K222">
        <v>6200</v>
      </c>
      <c r="L222">
        <v>0.15</v>
      </c>
      <c r="M222">
        <v>15810</v>
      </c>
      <c r="N222">
        <v>12900</v>
      </c>
      <c r="O222">
        <v>2910</v>
      </c>
    </row>
    <row r="223" spans="1:15" x14ac:dyDescent="0.25">
      <c r="A223" t="s">
        <v>650</v>
      </c>
      <c r="B223" s="2">
        <v>45879</v>
      </c>
      <c r="C223" t="s">
        <v>24</v>
      </c>
      <c r="D223" t="s">
        <v>25</v>
      </c>
      <c r="E223" t="s">
        <v>26</v>
      </c>
      <c r="F223" t="s">
        <v>204</v>
      </c>
      <c r="G223" t="s">
        <v>51</v>
      </c>
      <c r="H223" t="s">
        <v>21</v>
      </c>
      <c r="I223" t="s">
        <v>116</v>
      </c>
      <c r="J223">
        <v>4</v>
      </c>
      <c r="K223">
        <v>1400</v>
      </c>
      <c r="L223">
        <v>0.15</v>
      </c>
      <c r="M223">
        <v>4760</v>
      </c>
      <c r="N223">
        <v>3600</v>
      </c>
      <c r="O223">
        <v>1160</v>
      </c>
    </row>
    <row r="224" spans="1:15" x14ac:dyDescent="0.25">
      <c r="A224" t="s">
        <v>651</v>
      </c>
      <c r="B224" s="2">
        <v>45880</v>
      </c>
      <c r="C224" t="s">
        <v>652</v>
      </c>
      <c r="D224" t="s">
        <v>653</v>
      </c>
      <c r="E224" t="s">
        <v>18</v>
      </c>
      <c r="F224" t="s">
        <v>94</v>
      </c>
      <c r="G224" t="s">
        <v>57</v>
      </c>
      <c r="H224" t="s">
        <v>58</v>
      </c>
      <c r="I224" t="s">
        <v>59</v>
      </c>
      <c r="J224">
        <v>2</v>
      </c>
      <c r="K224">
        <v>5600</v>
      </c>
      <c r="L224">
        <v>0.1</v>
      </c>
      <c r="M224">
        <v>10080</v>
      </c>
      <c r="N224">
        <v>7800</v>
      </c>
      <c r="O224">
        <v>2280</v>
      </c>
    </row>
    <row r="225" spans="1:15" x14ac:dyDescent="0.25">
      <c r="A225" t="s">
        <v>654</v>
      </c>
      <c r="B225" s="2">
        <v>45881</v>
      </c>
      <c r="C225" t="s">
        <v>655</v>
      </c>
      <c r="D225" t="s">
        <v>656</v>
      </c>
      <c r="E225" t="s">
        <v>26</v>
      </c>
      <c r="F225" t="s">
        <v>27</v>
      </c>
      <c r="G225" t="s">
        <v>57</v>
      </c>
      <c r="H225" t="s">
        <v>104</v>
      </c>
      <c r="I225" t="s">
        <v>105</v>
      </c>
      <c r="J225">
        <v>4</v>
      </c>
      <c r="K225">
        <v>7500</v>
      </c>
      <c r="L225">
        <v>0.15</v>
      </c>
      <c r="M225">
        <v>25500</v>
      </c>
      <c r="N225">
        <v>20800</v>
      </c>
      <c r="O225">
        <v>4700</v>
      </c>
    </row>
    <row r="226" spans="1:15" x14ac:dyDescent="0.25">
      <c r="A226" t="s">
        <v>657</v>
      </c>
      <c r="B226" s="2">
        <v>45882</v>
      </c>
      <c r="C226" t="s">
        <v>603</v>
      </c>
      <c r="D226" t="s">
        <v>604</v>
      </c>
      <c r="E226" t="s">
        <v>26</v>
      </c>
      <c r="F226" t="s">
        <v>128</v>
      </c>
      <c r="G226" t="s">
        <v>51</v>
      </c>
      <c r="H226" t="s">
        <v>21</v>
      </c>
      <c r="I226" t="s">
        <v>72</v>
      </c>
      <c r="J226">
        <v>3</v>
      </c>
      <c r="K226">
        <v>1800</v>
      </c>
      <c r="L226">
        <v>0.25</v>
      </c>
      <c r="M226">
        <v>4050</v>
      </c>
      <c r="N226">
        <v>3300</v>
      </c>
      <c r="O226">
        <v>750</v>
      </c>
    </row>
    <row r="227" spans="1:15" x14ac:dyDescent="0.25">
      <c r="A227" t="s">
        <v>658</v>
      </c>
      <c r="B227" s="2">
        <v>45883</v>
      </c>
      <c r="C227" t="s">
        <v>659</v>
      </c>
      <c r="D227" t="s">
        <v>660</v>
      </c>
      <c r="E227" t="s">
        <v>96</v>
      </c>
      <c r="F227" t="s">
        <v>200</v>
      </c>
      <c r="G227" t="s">
        <v>51</v>
      </c>
      <c r="H227" t="s">
        <v>89</v>
      </c>
      <c r="I227" t="s">
        <v>90</v>
      </c>
      <c r="J227">
        <v>5</v>
      </c>
      <c r="K227">
        <v>10500</v>
      </c>
      <c r="L227">
        <v>0.25</v>
      </c>
      <c r="M227">
        <v>39375</v>
      </c>
      <c r="N227">
        <v>38000</v>
      </c>
      <c r="O227">
        <v>1375</v>
      </c>
    </row>
    <row r="228" spans="1:15" x14ac:dyDescent="0.25">
      <c r="A228" t="s">
        <v>661</v>
      </c>
      <c r="B228" s="2">
        <v>45884</v>
      </c>
      <c r="C228" t="s">
        <v>662</v>
      </c>
      <c r="D228" t="s">
        <v>663</v>
      </c>
      <c r="E228" t="s">
        <v>39</v>
      </c>
      <c r="F228" t="s">
        <v>76</v>
      </c>
      <c r="G228" t="s">
        <v>20</v>
      </c>
      <c r="H228" t="s">
        <v>84</v>
      </c>
      <c r="I228" t="s">
        <v>169</v>
      </c>
      <c r="J228">
        <v>3</v>
      </c>
      <c r="K228">
        <v>450</v>
      </c>
      <c r="L228">
        <v>0.2</v>
      </c>
      <c r="M228">
        <v>1080</v>
      </c>
      <c r="N228">
        <v>780</v>
      </c>
      <c r="O228">
        <v>300</v>
      </c>
    </row>
    <row r="229" spans="1:15" x14ac:dyDescent="0.25">
      <c r="A229" t="s">
        <v>664</v>
      </c>
      <c r="B229" s="2">
        <v>45885</v>
      </c>
      <c r="C229" t="s">
        <v>619</v>
      </c>
      <c r="D229" t="s">
        <v>620</v>
      </c>
      <c r="E229" t="s">
        <v>26</v>
      </c>
      <c r="F229" t="s">
        <v>34</v>
      </c>
      <c r="G229" t="s">
        <v>57</v>
      </c>
      <c r="H229" t="s">
        <v>104</v>
      </c>
      <c r="I229" t="s">
        <v>105</v>
      </c>
      <c r="J229">
        <v>3</v>
      </c>
      <c r="K229">
        <v>7500</v>
      </c>
      <c r="L229">
        <v>0.2</v>
      </c>
      <c r="M229">
        <v>18000</v>
      </c>
      <c r="N229">
        <v>15600</v>
      </c>
      <c r="O229">
        <v>2400</v>
      </c>
    </row>
    <row r="230" spans="1:15" x14ac:dyDescent="0.25">
      <c r="A230" t="s">
        <v>665</v>
      </c>
      <c r="B230" s="2">
        <v>45886</v>
      </c>
      <c r="C230" t="s">
        <v>256</v>
      </c>
      <c r="D230" t="s">
        <v>257</v>
      </c>
      <c r="E230" t="s">
        <v>26</v>
      </c>
      <c r="F230" t="s">
        <v>46</v>
      </c>
      <c r="G230" t="s">
        <v>57</v>
      </c>
      <c r="H230" t="s">
        <v>188</v>
      </c>
      <c r="I230" t="s">
        <v>189</v>
      </c>
      <c r="J230">
        <v>1</v>
      </c>
      <c r="K230">
        <v>6200</v>
      </c>
      <c r="L230">
        <v>0.1</v>
      </c>
      <c r="M230">
        <v>5580</v>
      </c>
      <c r="N230">
        <v>4300</v>
      </c>
      <c r="O230">
        <v>1280</v>
      </c>
    </row>
    <row r="231" spans="1:15" x14ac:dyDescent="0.25">
      <c r="A231" t="s">
        <v>666</v>
      </c>
      <c r="B231" s="2">
        <v>45887</v>
      </c>
      <c r="C231" t="s">
        <v>126</v>
      </c>
      <c r="D231" t="s">
        <v>127</v>
      </c>
      <c r="E231" t="s">
        <v>26</v>
      </c>
      <c r="F231" t="s">
        <v>204</v>
      </c>
      <c r="G231" t="s">
        <v>51</v>
      </c>
      <c r="H231" t="s">
        <v>52</v>
      </c>
      <c r="I231" t="s">
        <v>208</v>
      </c>
      <c r="J231">
        <v>3</v>
      </c>
      <c r="K231">
        <v>2800</v>
      </c>
      <c r="L231">
        <v>0.2</v>
      </c>
      <c r="M231">
        <v>6720</v>
      </c>
      <c r="N231">
        <v>5400</v>
      </c>
      <c r="O231">
        <v>1320</v>
      </c>
    </row>
    <row r="232" spans="1:15" x14ac:dyDescent="0.25">
      <c r="A232" t="s">
        <v>667</v>
      </c>
      <c r="B232" s="2">
        <v>45888</v>
      </c>
      <c r="C232" t="s">
        <v>252</v>
      </c>
      <c r="D232" t="s">
        <v>253</v>
      </c>
      <c r="E232" t="s">
        <v>18</v>
      </c>
      <c r="F232" t="s">
        <v>227</v>
      </c>
      <c r="G232" t="s">
        <v>51</v>
      </c>
      <c r="H232" t="s">
        <v>21</v>
      </c>
      <c r="I232" t="s">
        <v>80</v>
      </c>
      <c r="J232">
        <v>3</v>
      </c>
      <c r="K232">
        <v>850</v>
      </c>
      <c r="L232">
        <v>0.1</v>
      </c>
      <c r="M232">
        <v>2295</v>
      </c>
      <c r="N232">
        <v>1680</v>
      </c>
      <c r="O232">
        <v>615</v>
      </c>
    </row>
    <row r="233" spans="1:15" x14ac:dyDescent="0.25">
      <c r="A233" t="s">
        <v>668</v>
      </c>
      <c r="B233" s="2">
        <v>45889</v>
      </c>
      <c r="C233" t="s">
        <v>669</v>
      </c>
      <c r="D233" t="s">
        <v>670</v>
      </c>
      <c r="E233" t="s">
        <v>26</v>
      </c>
      <c r="F233" t="s">
        <v>34</v>
      </c>
      <c r="G233" t="s">
        <v>51</v>
      </c>
      <c r="H233" t="s">
        <v>52</v>
      </c>
      <c r="I233" t="s">
        <v>53</v>
      </c>
      <c r="J233">
        <v>5</v>
      </c>
      <c r="K233">
        <v>2200</v>
      </c>
      <c r="L233">
        <v>0.2</v>
      </c>
      <c r="M233">
        <v>8800</v>
      </c>
      <c r="N233">
        <v>7250</v>
      </c>
      <c r="O233">
        <v>1550</v>
      </c>
    </row>
    <row r="234" spans="1:15" x14ac:dyDescent="0.25">
      <c r="A234" t="s">
        <v>671</v>
      </c>
      <c r="B234" s="2">
        <v>45890</v>
      </c>
      <c r="C234" t="s">
        <v>672</v>
      </c>
      <c r="D234" t="s">
        <v>673</v>
      </c>
      <c r="E234" t="s">
        <v>26</v>
      </c>
      <c r="F234" t="s">
        <v>46</v>
      </c>
      <c r="G234" t="s">
        <v>20</v>
      </c>
      <c r="H234" t="s">
        <v>84</v>
      </c>
      <c r="I234" t="s">
        <v>85</v>
      </c>
      <c r="J234">
        <v>2</v>
      </c>
      <c r="K234">
        <v>280</v>
      </c>
      <c r="L234">
        <v>0.1</v>
      </c>
      <c r="M234">
        <v>504</v>
      </c>
      <c r="N234">
        <v>320</v>
      </c>
      <c r="O234">
        <v>184</v>
      </c>
    </row>
    <row r="235" spans="1:15" x14ac:dyDescent="0.25">
      <c r="A235" t="s">
        <v>674</v>
      </c>
      <c r="B235" s="2">
        <v>45891</v>
      </c>
      <c r="C235" t="s">
        <v>229</v>
      </c>
      <c r="D235" t="s">
        <v>230</v>
      </c>
      <c r="E235" t="s">
        <v>39</v>
      </c>
      <c r="F235" t="s">
        <v>124</v>
      </c>
      <c r="G235" t="s">
        <v>51</v>
      </c>
      <c r="H235" t="s">
        <v>52</v>
      </c>
      <c r="I235" t="s">
        <v>208</v>
      </c>
      <c r="J235">
        <v>4</v>
      </c>
      <c r="K235">
        <v>2800</v>
      </c>
      <c r="L235">
        <v>0.05</v>
      </c>
      <c r="M235">
        <v>10640</v>
      </c>
      <c r="N235">
        <v>7200</v>
      </c>
      <c r="O235">
        <v>3440</v>
      </c>
    </row>
    <row r="236" spans="1:15" x14ac:dyDescent="0.25">
      <c r="A236" t="s">
        <v>675</v>
      </c>
      <c r="B236" s="2">
        <v>45892</v>
      </c>
      <c r="C236" t="s">
        <v>524</v>
      </c>
      <c r="D236" t="s">
        <v>525</v>
      </c>
      <c r="E236" t="s">
        <v>26</v>
      </c>
      <c r="F236" t="s">
        <v>204</v>
      </c>
      <c r="G236" t="s">
        <v>51</v>
      </c>
      <c r="H236" t="s">
        <v>89</v>
      </c>
      <c r="I236" t="s">
        <v>90</v>
      </c>
      <c r="J236">
        <v>4</v>
      </c>
      <c r="K236">
        <v>10500</v>
      </c>
      <c r="L236">
        <v>0.1</v>
      </c>
      <c r="M236">
        <v>37800</v>
      </c>
      <c r="N236">
        <v>30400</v>
      </c>
      <c r="O236">
        <v>7400</v>
      </c>
    </row>
    <row r="237" spans="1:15" x14ac:dyDescent="0.25">
      <c r="A237" t="s">
        <v>676</v>
      </c>
      <c r="B237" s="2">
        <v>45893</v>
      </c>
      <c r="C237" t="s">
        <v>61</v>
      </c>
      <c r="D237" t="s">
        <v>62</v>
      </c>
      <c r="E237" t="s">
        <v>39</v>
      </c>
      <c r="F237" t="s">
        <v>40</v>
      </c>
      <c r="G237" t="s">
        <v>51</v>
      </c>
      <c r="H237" t="s">
        <v>52</v>
      </c>
      <c r="I237" t="s">
        <v>208</v>
      </c>
      <c r="J237">
        <v>5</v>
      </c>
      <c r="K237">
        <v>2800</v>
      </c>
      <c r="L237">
        <v>0.25</v>
      </c>
      <c r="M237">
        <v>10500</v>
      </c>
      <c r="N237">
        <v>9000</v>
      </c>
      <c r="O237">
        <v>1500</v>
      </c>
    </row>
    <row r="238" spans="1:15" x14ac:dyDescent="0.25">
      <c r="A238" t="s">
        <v>677</v>
      </c>
      <c r="B238" s="2">
        <v>45894</v>
      </c>
      <c r="C238" t="s">
        <v>678</v>
      </c>
      <c r="D238" t="s">
        <v>679</v>
      </c>
      <c r="E238" t="s">
        <v>26</v>
      </c>
      <c r="F238" t="s">
        <v>204</v>
      </c>
      <c r="G238" t="s">
        <v>57</v>
      </c>
      <c r="H238" t="s">
        <v>104</v>
      </c>
      <c r="I238" t="s">
        <v>105</v>
      </c>
      <c r="J238">
        <v>1</v>
      </c>
      <c r="K238">
        <v>7500</v>
      </c>
      <c r="L238">
        <v>0.05</v>
      </c>
      <c r="M238">
        <v>7125</v>
      </c>
      <c r="N238">
        <v>5200</v>
      </c>
      <c r="O238">
        <v>1925</v>
      </c>
    </row>
    <row r="239" spans="1:15" x14ac:dyDescent="0.25">
      <c r="A239" t="s">
        <v>680</v>
      </c>
      <c r="B239" s="2">
        <v>45895</v>
      </c>
      <c r="C239" t="s">
        <v>378</v>
      </c>
      <c r="D239" t="s">
        <v>379</v>
      </c>
      <c r="E239" t="s">
        <v>39</v>
      </c>
      <c r="F239" t="s">
        <v>71</v>
      </c>
      <c r="G239" t="s">
        <v>20</v>
      </c>
      <c r="H239" t="s">
        <v>84</v>
      </c>
      <c r="I239" t="s">
        <v>210</v>
      </c>
      <c r="J239">
        <v>3</v>
      </c>
      <c r="K239">
        <v>300</v>
      </c>
      <c r="L239">
        <v>0.25</v>
      </c>
      <c r="M239">
        <v>675</v>
      </c>
      <c r="N239">
        <v>510</v>
      </c>
      <c r="O239">
        <v>165</v>
      </c>
    </row>
    <row r="240" spans="1:15" x14ac:dyDescent="0.25">
      <c r="A240" t="s">
        <v>681</v>
      </c>
      <c r="B240" s="2">
        <v>45896</v>
      </c>
      <c r="C240" t="s">
        <v>682</v>
      </c>
      <c r="D240" t="s">
        <v>683</v>
      </c>
      <c r="E240" t="s">
        <v>26</v>
      </c>
      <c r="F240" t="s">
        <v>204</v>
      </c>
      <c r="G240" t="s">
        <v>51</v>
      </c>
      <c r="H240" t="s">
        <v>21</v>
      </c>
      <c r="I240" t="s">
        <v>116</v>
      </c>
      <c r="J240">
        <v>2</v>
      </c>
      <c r="K240">
        <v>1400</v>
      </c>
      <c r="L240">
        <v>0.15</v>
      </c>
      <c r="M240">
        <v>2380</v>
      </c>
      <c r="N240">
        <v>1800</v>
      </c>
      <c r="O240">
        <v>580</v>
      </c>
    </row>
    <row r="241" spans="1:15" x14ac:dyDescent="0.25">
      <c r="A241" t="s">
        <v>684</v>
      </c>
      <c r="B241" s="2">
        <v>45897</v>
      </c>
      <c r="C241" t="s">
        <v>685</v>
      </c>
      <c r="D241" t="s">
        <v>686</v>
      </c>
      <c r="E241" t="s">
        <v>18</v>
      </c>
      <c r="F241" t="s">
        <v>94</v>
      </c>
      <c r="G241" t="s">
        <v>28</v>
      </c>
      <c r="H241" t="s">
        <v>29</v>
      </c>
      <c r="I241" t="s">
        <v>30</v>
      </c>
      <c r="J241">
        <v>4</v>
      </c>
      <c r="K241">
        <v>1900</v>
      </c>
      <c r="L241">
        <v>0.1</v>
      </c>
      <c r="M241">
        <v>6840</v>
      </c>
      <c r="N241">
        <v>5000</v>
      </c>
      <c r="O241">
        <v>1840</v>
      </c>
    </row>
    <row r="242" spans="1:15" x14ac:dyDescent="0.25">
      <c r="A242" t="s">
        <v>687</v>
      </c>
      <c r="B242" s="2">
        <v>45898</v>
      </c>
      <c r="C242" t="s">
        <v>688</v>
      </c>
      <c r="D242" t="s">
        <v>689</v>
      </c>
      <c r="E242" t="s">
        <v>26</v>
      </c>
      <c r="F242" t="s">
        <v>204</v>
      </c>
      <c r="G242" t="s">
        <v>20</v>
      </c>
      <c r="H242" t="s">
        <v>84</v>
      </c>
      <c r="I242" t="s">
        <v>210</v>
      </c>
      <c r="J242">
        <v>3</v>
      </c>
      <c r="K242">
        <v>300</v>
      </c>
      <c r="L242">
        <v>0.05</v>
      </c>
      <c r="M242">
        <v>855</v>
      </c>
      <c r="N242">
        <v>510</v>
      </c>
      <c r="O242">
        <v>345</v>
      </c>
    </row>
    <row r="243" spans="1:15" x14ac:dyDescent="0.25">
      <c r="A243" t="s">
        <v>690</v>
      </c>
      <c r="B243" s="2">
        <v>45899</v>
      </c>
      <c r="C243" t="s">
        <v>691</v>
      </c>
      <c r="D243" t="s">
        <v>692</v>
      </c>
      <c r="E243" t="s">
        <v>26</v>
      </c>
      <c r="F243" t="s">
        <v>204</v>
      </c>
      <c r="G243" t="s">
        <v>51</v>
      </c>
      <c r="H243" t="s">
        <v>21</v>
      </c>
      <c r="I243" t="s">
        <v>116</v>
      </c>
      <c r="J243">
        <v>4</v>
      </c>
      <c r="K243">
        <v>1400</v>
      </c>
      <c r="L243">
        <v>0</v>
      </c>
      <c r="M243">
        <v>5600</v>
      </c>
      <c r="N243">
        <v>3600</v>
      </c>
      <c r="O243">
        <v>2000</v>
      </c>
    </row>
    <row r="244" spans="1:15" x14ac:dyDescent="0.25">
      <c r="A244" t="s">
        <v>693</v>
      </c>
      <c r="B244" s="2">
        <v>45900</v>
      </c>
      <c r="C244" t="s">
        <v>694</v>
      </c>
      <c r="D244" t="s">
        <v>695</v>
      </c>
      <c r="E244" t="s">
        <v>18</v>
      </c>
      <c r="F244" t="s">
        <v>94</v>
      </c>
      <c r="G244" t="s">
        <v>57</v>
      </c>
      <c r="H244" t="s">
        <v>188</v>
      </c>
      <c r="I244" t="s">
        <v>189</v>
      </c>
      <c r="J244">
        <v>5</v>
      </c>
      <c r="K244">
        <v>6200</v>
      </c>
      <c r="L244">
        <v>0.1</v>
      </c>
      <c r="M244">
        <v>27900</v>
      </c>
      <c r="N244">
        <v>21500</v>
      </c>
      <c r="O244">
        <v>6400</v>
      </c>
    </row>
    <row r="245" spans="1:15" x14ac:dyDescent="0.25">
      <c r="A245" t="s">
        <v>696</v>
      </c>
      <c r="B245" s="2">
        <v>45901</v>
      </c>
      <c r="C245" t="s">
        <v>697</v>
      </c>
      <c r="D245" t="s">
        <v>698</v>
      </c>
      <c r="E245" t="s">
        <v>39</v>
      </c>
      <c r="F245" t="s">
        <v>40</v>
      </c>
      <c r="G245" t="s">
        <v>51</v>
      </c>
      <c r="H245" t="s">
        <v>21</v>
      </c>
      <c r="I245" t="s">
        <v>116</v>
      </c>
      <c r="J245">
        <v>3</v>
      </c>
      <c r="K245">
        <v>1400</v>
      </c>
      <c r="L245">
        <v>0.05</v>
      </c>
      <c r="M245">
        <v>3990</v>
      </c>
      <c r="N245">
        <v>2700</v>
      </c>
      <c r="O245">
        <v>1290</v>
      </c>
    </row>
    <row r="246" spans="1:15" x14ac:dyDescent="0.25">
      <c r="A246" t="s">
        <v>699</v>
      </c>
      <c r="B246" s="2">
        <v>45902</v>
      </c>
      <c r="C246" t="s">
        <v>700</v>
      </c>
      <c r="D246" t="s">
        <v>701</v>
      </c>
      <c r="E246" t="s">
        <v>39</v>
      </c>
      <c r="F246" t="s">
        <v>76</v>
      </c>
      <c r="G246" t="s">
        <v>51</v>
      </c>
      <c r="H246" t="s">
        <v>21</v>
      </c>
      <c r="I246" t="s">
        <v>72</v>
      </c>
      <c r="J246">
        <v>3</v>
      </c>
      <c r="K246">
        <v>1800</v>
      </c>
      <c r="L246">
        <v>0.1</v>
      </c>
      <c r="M246">
        <v>4860</v>
      </c>
      <c r="N246">
        <v>3300</v>
      </c>
      <c r="O246">
        <v>1560</v>
      </c>
    </row>
    <row r="247" spans="1:15" x14ac:dyDescent="0.25">
      <c r="A247" t="s">
        <v>702</v>
      </c>
      <c r="B247" s="2">
        <v>45903</v>
      </c>
      <c r="C247" t="s">
        <v>703</v>
      </c>
      <c r="D247" t="s">
        <v>704</v>
      </c>
      <c r="E247" t="s">
        <v>96</v>
      </c>
      <c r="F247" t="s">
        <v>200</v>
      </c>
      <c r="G247" t="s">
        <v>57</v>
      </c>
      <c r="H247" t="s">
        <v>188</v>
      </c>
      <c r="I247" t="s">
        <v>189</v>
      </c>
      <c r="J247">
        <v>4</v>
      </c>
      <c r="K247">
        <v>6200</v>
      </c>
      <c r="L247">
        <v>0.05</v>
      </c>
      <c r="M247">
        <v>23560</v>
      </c>
      <c r="N247">
        <v>17200</v>
      </c>
      <c r="O247">
        <v>6360</v>
      </c>
    </row>
    <row r="248" spans="1:15" x14ac:dyDescent="0.25">
      <c r="A248" t="s">
        <v>705</v>
      </c>
      <c r="B248" s="2">
        <v>45904</v>
      </c>
      <c r="C248" t="s">
        <v>375</v>
      </c>
      <c r="D248" t="s">
        <v>376</v>
      </c>
      <c r="E248" t="s">
        <v>26</v>
      </c>
      <c r="F248" t="s">
        <v>34</v>
      </c>
      <c r="G248" t="s">
        <v>28</v>
      </c>
      <c r="H248" t="s">
        <v>29</v>
      </c>
      <c r="I248" t="s">
        <v>35</v>
      </c>
      <c r="J248">
        <v>5</v>
      </c>
      <c r="K248">
        <v>4200</v>
      </c>
      <c r="L248">
        <v>0.1</v>
      </c>
      <c r="M248">
        <v>18900</v>
      </c>
      <c r="N248">
        <v>14500</v>
      </c>
      <c r="O248">
        <v>4400</v>
      </c>
    </row>
    <row r="249" spans="1:15" x14ac:dyDescent="0.25">
      <c r="A249" t="s">
        <v>706</v>
      </c>
      <c r="B249" s="2">
        <v>45905</v>
      </c>
      <c r="C249" t="s">
        <v>137</v>
      </c>
      <c r="D249" t="s">
        <v>138</v>
      </c>
      <c r="E249" t="s">
        <v>96</v>
      </c>
      <c r="F249" t="s">
        <v>200</v>
      </c>
      <c r="G249" t="s">
        <v>57</v>
      </c>
      <c r="H249" t="s">
        <v>104</v>
      </c>
      <c r="I249" t="s">
        <v>105</v>
      </c>
      <c r="J249">
        <v>1</v>
      </c>
      <c r="K249">
        <v>7500</v>
      </c>
      <c r="L249">
        <v>0.05</v>
      </c>
      <c r="M249">
        <v>7125</v>
      </c>
      <c r="N249">
        <v>5200</v>
      </c>
      <c r="O249">
        <v>1925</v>
      </c>
    </row>
    <row r="250" spans="1:15" x14ac:dyDescent="0.25">
      <c r="A250" t="s">
        <v>707</v>
      </c>
      <c r="B250" s="2">
        <v>45906</v>
      </c>
      <c r="C250" t="s">
        <v>708</v>
      </c>
      <c r="D250" t="s">
        <v>709</v>
      </c>
      <c r="E250" t="s">
        <v>39</v>
      </c>
      <c r="F250" t="s">
        <v>124</v>
      </c>
      <c r="G250" t="s">
        <v>51</v>
      </c>
      <c r="H250" t="s">
        <v>52</v>
      </c>
      <c r="I250" t="s">
        <v>53</v>
      </c>
      <c r="J250">
        <v>1</v>
      </c>
      <c r="K250">
        <v>2200</v>
      </c>
      <c r="L250">
        <v>0.05</v>
      </c>
      <c r="M250">
        <v>2090</v>
      </c>
      <c r="N250">
        <v>1450</v>
      </c>
      <c r="O250">
        <v>640</v>
      </c>
    </row>
    <row r="251" spans="1:15" x14ac:dyDescent="0.25">
      <c r="A251" t="s">
        <v>710</v>
      </c>
      <c r="B251" s="2">
        <v>45907</v>
      </c>
      <c r="C251" t="s">
        <v>711</v>
      </c>
      <c r="D251" t="s">
        <v>712</v>
      </c>
      <c r="E251" t="s">
        <v>39</v>
      </c>
      <c r="F251" t="s">
        <v>124</v>
      </c>
      <c r="G251" t="s">
        <v>28</v>
      </c>
      <c r="H251" t="s">
        <v>29</v>
      </c>
      <c r="I251" t="s">
        <v>30</v>
      </c>
      <c r="J251">
        <v>4</v>
      </c>
      <c r="K251">
        <v>1900</v>
      </c>
      <c r="L251">
        <v>0.1</v>
      </c>
      <c r="M251">
        <v>6840</v>
      </c>
      <c r="N251">
        <v>5000</v>
      </c>
      <c r="O251">
        <v>1840</v>
      </c>
    </row>
    <row r="252" spans="1:15" x14ac:dyDescent="0.25">
      <c r="A252" t="s">
        <v>713</v>
      </c>
      <c r="B252" s="2">
        <v>45908</v>
      </c>
      <c r="C252" t="s">
        <v>308</v>
      </c>
      <c r="D252" t="s">
        <v>309</v>
      </c>
      <c r="E252" t="s">
        <v>18</v>
      </c>
      <c r="F252" t="s">
        <v>94</v>
      </c>
      <c r="G252" t="s">
        <v>28</v>
      </c>
      <c r="H252" t="s">
        <v>29</v>
      </c>
      <c r="I252" t="s">
        <v>47</v>
      </c>
      <c r="J252">
        <v>4</v>
      </c>
      <c r="K252">
        <v>6800</v>
      </c>
      <c r="L252">
        <v>0.05</v>
      </c>
      <c r="M252">
        <v>25840</v>
      </c>
      <c r="N252">
        <v>18800</v>
      </c>
      <c r="O252">
        <v>7040</v>
      </c>
    </row>
    <row r="253" spans="1:15" x14ac:dyDescent="0.25">
      <c r="A253" t="s">
        <v>714</v>
      </c>
      <c r="B253" s="2">
        <v>45909</v>
      </c>
      <c r="C253" t="s">
        <v>715</v>
      </c>
      <c r="D253" t="s">
        <v>716</v>
      </c>
      <c r="E253" t="s">
        <v>26</v>
      </c>
      <c r="F253" t="s">
        <v>27</v>
      </c>
      <c r="G253" t="s">
        <v>57</v>
      </c>
      <c r="H253" t="s">
        <v>58</v>
      </c>
      <c r="I253" t="s">
        <v>59</v>
      </c>
      <c r="J253">
        <v>4</v>
      </c>
      <c r="K253">
        <v>5600</v>
      </c>
      <c r="L253">
        <v>0</v>
      </c>
      <c r="M253">
        <v>22400</v>
      </c>
      <c r="N253">
        <v>15600</v>
      </c>
      <c r="O253">
        <v>6800</v>
      </c>
    </row>
    <row r="254" spans="1:15" x14ac:dyDescent="0.25">
      <c r="A254" t="s">
        <v>717</v>
      </c>
      <c r="B254" s="2">
        <v>45910</v>
      </c>
      <c r="C254" t="s">
        <v>718</v>
      </c>
      <c r="D254" t="s">
        <v>719</v>
      </c>
      <c r="E254" t="s">
        <v>96</v>
      </c>
      <c r="F254" t="s">
        <v>120</v>
      </c>
      <c r="G254" t="s">
        <v>51</v>
      </c>
      <c r="H254" t="s">
        <v>52</v>
      </c>
      <c r="I254" t="s">
        <v>208</v>
      </c>
      <c r="J254">
        <v>3</v>
      </c>
      <c r="K254">
        <v>2800</v>
      </c>
      <c r="L254">
        <v>0.15</v>
      </c>
      <c r="M254">
        <v>7140</v>
      </c>
      <c r="N254">
        <v>5400</v>
      </c>
      <c r="O254">
        <v>1740</v>
      </c>
    </row>
    <row r="255" spans="1:15" x14ac:dyDescent="0.25">
      <c r="A255" t="s">
        <v>720</v>
      </c>
      <c r="B255" s="2">
        <v>45911</v>
      </c>
      <c r="C255" t="s">
        <v>721</v>
      </c>
      <c r="D255" t="s">
        <v>722</v>
      </c>
      <c r="E255" t="s">
        <v>18</v>
      </c>
      <c r="F255" t="s">
        <v>227</v>
      </c>
      <c r="G255" t="s">
        <v>57</v>
      </c>
      <c r="H255" t="s">
        <v>188</v>
      </c>
      <c r="I255" t="s">
        <v>189</v>
      </c>
      <c r="J255">
        <v>5</v>
      </c>
      <c r="K255">
        <v>6200</v>
      </c>
      <c r="L255">
        <v>0.1</v>
      </c>
      <c r="M255">
        <v>27900</v>
      </c>
      <c r="N255">
        <v>21500</v>
      </c>
      <c r="O255">
        <v>6400</v>
      </c>
    </row>
    <row r="256" spans="1:15" x14ac:dyDescent="0.25">
      <c r="A256" t="s">
        <v>723</v>
      </c>
      <c r="B256" s="2">
        <v>45912</v>
      </c>
      <c r="C256" t="s">
        <v>724</v>
      </c>
      <c r="D256" t="s">
        <v>725</v>
      </c>
      <c r="E256" t="s">
        <v>26</v>
      </c>
      <c r="F256" t="s">
        <v>27</v>
      </c>
      <c r="G256" t="s">
        <v>51</v>
      </c>
      <c r="H256" t="s">
        <v>52</v>
      </c>
      <c r="I256" t="s">
        <v>208</v>
      </c>
      <c r="J256">
        <v>2</v>
      </c>
      <c r="K256">
        <v>2800</v>
      </c>
      <c r="L256">
        <v>0.2</v>
      </c>
      <c r="M256">
        <v>4480</v>
      </c>
      <c r="N256">
        <v>3600</v>
      </c>
      <c r="O256">
        <v>880</v>
      </c>
    </row>
    <row r="257" spans="1:15" x14ac:dyDescent="0.25">
      <c r="A257" t="s">
        <v>726</v>
      </c>
      <c r="B257" s="2">
        <v>45913</v>
      </c>
      <c r="C257" t="s">
        <v>718</v>
      </c>
      <c r="D257" t="s">
        <v>719</v>
      </c>
      <c r="E257" t="s">
        <v>96</v>
      </c>
      <c r="F257" t="s">
        <v>120</v>
      </c>
      <c r="G257" t="s">
        <v>20</v>
      </c>
      <c r="H257" t="s">
        <v>84</v>
      </c>
      <c r="I257" t="s">
        <v>85</v>
      </c>
      <c r="J257">
        <v>5</v>
      </c>
      <c r="K257">
        <v>280</v>
      </c>
      <c r="L257">
        <v>0.1</v>
      </c>
      <c r="M257">
        <v>1260</v>
      </c>
      <c r="N257">
        <v>800</v>
      </c>
      <c r="O257">
        <v>460</v>
      </c>
    </row>
    <row r="258" spans="1:15" x14ac:dyDescent="0.25">
      <c r="A258" t="s">
        <v>727</v>
      </c>
      <c r="B258" s="2">
        <v>45914</v>
      </c>
      <c r="C258" t="s">
        <v>728</v>
      </c>
      <c r="D258" t="s">
        <v>729</v>
      </c>
      <c r="E258" t="s">
        <v>96</v>
      </c>
      <c r="F258" t="s">
        <v>200</v>
      </c>
      <c r="G258" t="s">
        <v>28</v>
      </c>
      <c r="H258" t="s">
        <v>29</v>
      </c>
      <c r="I258" t="s">
        <v>47</v>
      </c>
      <c r="J258">
        <v>2</v>
      </c>
      <c r="K258">
        <v>6800</v>
      </c>
      <c r="L258">
        <v>0.1</v>
      </c>
      <c r="M258">
        <v>12240</v>
      </c>
      <c r="N258">
        <v>9400</v>
      </c>
      <c r="O258">
        <v>2840</v>
      </c>
    </row>
    <row r="259" spans="1:15" x14ac:dyDescent="0.25">
      <c r="A259" t="s">
        <v>730</v>
      </c>
      <c r="B259" s="2">
        <v>45915</v>
      </c>
      <c r="C259" t="s">
        <v>191</v>
      </c>
      <c r="D259" t="s">
        <v>192</v>
      </c>
      <c r="E259" t="s">
        <v>26</v>
      </c>
      <c r="F259" t="s">
        <v>128</v>
      </c>
      <c r="G259" t="s">
        <v>51</v>
      </c>
      <c r="H259" t="s">
        <v>52</v>
      </c>
      <c r="I259" t="s">
        <v>208</v>
      </c>
      <c r="J259">
        <v>4</v>
      </c>
      <c r="K259">
        <v>2800</v>
      </c>
      <c r="L259">
        <v>0</v>
      </c>
      <c r="M259">
        <v>11200</v>
      </c>
      <c r="N259">
        <v>7200</v>
      </c>
      <c r="O259">
        <v>4000</v>
      </c>
    </row>
    <row r="260" spans="1:15" x14ac:dyDescent="0.25">
      <c r="A260" t="s">
        <v>731</v>
      </c>
      <c r="B260" s="2">
        <v>45916</v>
      </c>
      <c r="C260" t="s">
        <v>212</v>
      </c>
      <c r="D260" t="s">
        <v>213</v>
      </c>
      <c r="E260" t="s">
        <v>26</v>
      </c>
      <c r="F260" t="s">
        <v>34</v>
      </c>
      <c r="G260" t="s">
        <v>28</v>
      </c>
      <c r="H260" t="s">
        <v>63</v>
      </c>
      <c r="I260" t="s">
        <v>64</v>
      </c>
      <c r="J260">
        <v>3</v>
      </c>
      <c r="K260">
        <v>2400</v>
      </c>
      <c r="L260">
        <v>0.1</v>
      </c>
      <c r="M260">
        <v>6480</v>
      </c>
      <c r="N260">
        <v>4950</v>
      </c>
      <c r="O260">
        <v>1530</v>
      </c>
    </row>
    <row r="261" spans="1:15" x14ac:dyDescent="0.25">
      <c r="A261" t="s">
        <v>732</v>
      </c>
      <c r="B261" s="2">
        <v>45917</v>
      </c>
      <c r="C261" t="s">
        <v>733</v>
      </c>
      <c r="D261" t="s">
        <v>734</v>
      </c>
      <c r="E261" t="s">
        <v>26</v>
      </c>
      <c r="F261" t="s">
        <v>34</v>
      </c>
      <c r="G261" t="s">
        <v>57</v>
      </c>
      <c r="H261" t="s">
        <v>104</v>
      </c>
      <c r="I261" t="s">
        <v>105</v>
      </c>
      <c r="J261">
        <v>5</v>
      </c>
      <c r="K261">
        <v>7500</v>
      </c>
      <c r="L261">
        <v>0.15</v>
      </c>
      <c r="M261">
        <v>31875</v>
      </c>
      <c r="N261">
        <v>26000</v>
      </c>
      <c r="O261">
        <v>5875</v>
      </c>
    </row>
    <row r="262" spans="1:15" x14ac:dyDescent="0.25">
      <c r="A262" t="s">
        <v>735</v>
      </c>
      <c r="B262" s="2">
        <v>45918</v>
      </c>
      <c r="C262" t="s">
        <v>700</v>
      </c>
      <c r="D262" t="s">
        <v>701</v>
      </c>
      <c r="E262" t="s">
        <v>26</v>
      </c>
      <c r="F262" t="s">
        <v>27</v>
      </c>
      <c r="G262" t="s">
        <v>51</v>
      </c>
      <c r="H262" t="s">
        <v>21</v>
      </c>
      <c r="I262" t="s">
        <v>80</v>
      </c>
      <c r="J262">
        <v>3</v>
      </c>
      <c r="K262">
        <v>850</v>
      </c>
      <c r="L262">
        <v>0.1</v>
      </c>
      <c r="M262">
        <v>2295</v>
      </c>
      <c r="N262">
        <v>1680</v>
      </c>
      <c r="O262">
        <v>615</v>
      </c>
    </row>
    <row r="263" spans="1:15" x14ac:dyDescent="0.25">
      <c r="A263" t="s">
        <v>736</v>
      </c>
      <c r="B263" s="2">
        <v>45919</v>
      </c>
      <c r="C263" t="s">
        <v>737</v>
      </c>
      <c r="D263" t="s">
        <v>738</v>
      </c>
      <c r="E263" t="s">
        <v>26</v>
      </c>
      <c r="F263" t="s">
        <v>27</v>
      </c>
      <c r="G263" t="s">
        <v>51</v>
      </c>
      <c r="H263" t="s">
        <v>21</v>
      </c>
      <c r="I263" t="s">
        <v>116</v>
      </c>
      <c r="J263">
        <v>3</v>
      </c>
      <c r="K263">
        <v>1400</v>
      </c>
      <c r="L263">
        <v>0.1</v>
      </c>
      <c r="M263">
        <v>3780</v>
      </c>
      <c r="N263">
        <v>2700</v>
      </c>
      <c r="O263">
        <v>1080</v>
      </c>
    </row>
    <row r="264" spans="1:15" x14ac:dyDescent="0.25">
      <c r="A264" t="s">
        <v>739</v>
      </c>
      <c r="B264" s="2">
        <v>45920</v>
      </c>
      <c r="C264" t="s">
        <v>298</v>
      </c>
      <c r="D264" t="s">
        <v>299</v>
      </c>
      <c r="E264" t="s">
        <v>26</v>
      </c>
      <c r="F264" t="s">
        <v>46</v>
      </c>
      <c r="G264" t="s">
        <v>57</v>
      </c>
      <c r="H264" t="s">
        <v>104</v>
      </c>
      <c r="I264" t="s">
        <v>105</v>
      </c>
      <c r="J264">
        <v>4</v>
      </c>
      <c r="K264">
        <v>7500</v>
      </c>
      <c r="L264">
        <v>0.2</v>
      </c>
      <c r="M264">
        <v>24000</v>
      </c>
      <c r="N264">
        <v>20800</v>
      </c>
      <c r="O264">
        <v>3200</v>
      </c>
    </row>
    <row r="265" spans="1:15" x14ac:dyDescent="0.25">
      <c r="A265" t="s">
        <v>740</v>
      </c>
      <c r="B265" s="2">
        <v>45921</v>
      </c>
      <c r="C265" t="s">
        <v>741</v>
      </c>
      <c r="D265" t="s">
        <v>742</v>
      </c>
      <c r="E265" t="s">
        <v>26</v>
      </c>
      <c r="F265" t="s">
        <v>27</v>
      </c>
      <c r="G265" t="s">
        <v>28</v>
      </c>
      <c r="H265" t="s">
        <v>29</v>
      </c>
      <c r="I265" t="s">
        <v>30</v>
      </c>
      <c r="J265">
        <v>2</v>
      </c>
      <c r="K265">
        <v>1900</v>
      </c>
      <c r="L265">
        <v>0.15</v>
      </c>
      <c r="M265">
        <v>3230</v>
      </c>
      <c r="N265">
        <v>2500</v>
      </c>
      <c r="O265">
        <v>730</v>
      </c>
    </row>
    <row r="266" spans="1:15" x14ac:dyDescent="0.25">
      <c r="A266" t="s">
        <v>743</v>
      </c>
      <c r="B266" s="2">
        <v>45922</v>
      </c>
      <c r="C266" t="s">
        <v>744</v>
      </c>
      <c r="D266" t="s">
        <v>745</v>
      </c>
      <c r="E266" t="s">
        <v>26</v>
      </c>
      <c r="F266" t="s">
        <v>128</v>
      </c>
      <c r="G266" t="s">
        <v>20</v>
      </c>
      <c r="H266" t="s">
        <v>41</v>
      </c>
      <c r="I266" t="s">
        <v>42</v>
      </c>
      <c r="J266">
        <v>4</v>
      </c>
      <c r="K266">
        <v>520</v>
      </c>
      <c r="L266">
        <v>0.15</v>
      </c>
      <c r="M266">
        <v>1768</v>
      </c>
      <c r="N266">
        <v>1320</v>
      </c>
      <c r="O266">
        <v>448</v>
      </c>
    </row>
    <row r="267" spans="1:15" x14ac:dyDescent="0.25">
      <c r="A267" t="s">
        <v>746</v>
      </c>
      <c r="B267" s="2">
        <v>45923</v>
      </c>
      <c r="C267" t="s">
        <v>747</v>
      </c>
      <c r="D267" t="s">
        <v>748</v>
      </c>
      <c r="E267" t="s">
        <v>39</v>
      </c>
      <c r="F267" t="s">
        <v>76</v>
      </c>
      <c r="G267" t="s">
        <v>20</v>
      </c>
      <c r="H267" t="s">
        <v>84</v>
      </c>
      <c r="I267" t="s">
        <v>169</v>
      </c>
      <c r="J267">
        <v>3</v>
      </c>
      <c r="K267">
        <v>450</v>
      </c>
      <c r="L267">
        <v>0</v>
      </c>
      <c r="M267">
        <v>1350</v>
      </c>
      <c r="N267">
        <v>780</v>
      </c>
      <c r="O267">
        <v>570</v>
      </c>
    </row>
    <row r="268" spans="1:15" x14ac:dyDescent="0.25">
      <c r="A268" t="s">
        <v>749</v>
      </c>
      <c r="B268" s="2">
        <v>45924</v>
      </c>
      <c r="C268" t="s">
        <v>750</v>
      </c>
      <c r="D268" t="s">
        <v>751</v>
      </c>
      <c r="E268" t="s">
        <v>26</v>
      </c>
      <c r="F268" t="s">
        <v>46</v>
      </c>
      <c r="G268" t="s">
        <v>51</v>
      </c>
      <c r="H268" t="s">
        <v>52</v>
      </c>
      <c r="I268" t="s">
        <v>53</v>
      </c>
      <c r="J268">
        <v>3</v>
      </c>
      <c r="K268">
        <v>2200</v>
      </c>
      <c r="L268">
        <v>0</v>
      </c>
      <c r="M268">
        <v>6600</v>
      </c>
      <c r="N268">
        <v>4350</v>
      </c>
      <c r="O268">
        <v>2250</v>
      </c>
    </row>
    <row r="269" spans="1:15" x14ac:dyDescent="0.25">
      <c r="A269" t="s">
        <v>752</v>
      </c>
      <c r="B269" s="2">
        <v>45925</v>
      </c>
      <c r="C269" t="s">
        <v>753</v>
      </c>
      <c r="D269" t="s">
        <v>754</v>
      </c>
      <c r="E269" t="s">
        <v>96</v>
      </c>
      <c r="F269" t="s">
        <v>196</v>
      </c>
      <c r="G269" t="s">
        <v>28</v>
      </c>
      <c r="H269" t="s">
        <v>29</v>
      </c>
      <c r="I269" t="s">
        <v>47</v>
      </c>
      <c r="J269">
        <v>1</v>
      </c>
      <c r="K269">
        <v>6800</v>
      </c>
      <c r="L269">
        <v>0.2</v>
      </c>
      <c r="M269">
        <v>5440</v>
      </c>
      <c r="N269">
        <v>4700</v>
      </c>
      <c r="O269">
        <v>740</v>
      </c>
    </row>
    <row r="270" spans="1:15" x14ac:dyDescent="0.25">
      <c r="A270" t="s">
        <v>755</v>
      </c>
      <c r="B270" s="2">
        <v>45926</v>
      </c>
      <c r="C270" t="s">
        <v>164</v>
      </c>
      <c r="D270" t="s">
        <v>165</v>
      </c>
      <c r="E270" t="s">
        <v>39</v>
      </c>
      <c r="F270" t="s">
        <v>71</v>
      </c>
      <c r="G270" t="s">
        <v>57</v>
      </c>
      <c r="H270" t="s">
        <v>104</v>
      </c>
      <c r="I270" t="s">
        <v>105</v>
      </c>
      <c r="J270">
        <v>3</v>
      </c>
      <c r="K270">
        <v>7500</v>
      </c>
      <c r="L270">
        <v>0</v>
      </c>
      <c r="M270">
        <v>22500</v>
      </c>
      <c r="N270">
        <v>15600</v>
      </c>
      <c r="O270">
        <v>6900</v>
      </c>
    </row>
    <row r="271" spans="1:15" x14ac:dyDescent="0.25">
      <c r="A271" t="s">
        <v>756</v>
      </c>
      <c r="B271" s="2">
        <v>45927</v>
      </c>
      <c r="C271" t="s">
        <v>757</v>
      </c>
      <c r="D271" t="s">
        <v>758</v>
      </c>
      <c r="E271" t="s">
        <v>18</v>
      </c>
      <c r="F271" t="s">
        <v>94</v>
      </c>
      <c r="G271" t="s">
        <v>28</v>
      </c>
      <c r="H271" t="s">
        <v>29</v>
      </c>
      <c r="I271" t="s">
        <v>47</v>
      </c>
      <c r="J271">
        <v>4</v>
      </c>
      <c r="K271">
        <v>6800</v>
      </c>
      <c r="L271">
        <v>0.15</v>
      </c>
      <c r="M271">
        <v>23120</v>
      </c>
      <c r="N271">
        <v>18800</v>
      </c>
      <c r="O271">
        <v>4320</v>
      </c>
    </row>
    <row r="272" spans="1:15" x14ac:dyDescent="0.25">
      <c r="A272" t="s">
        <v>759</v>
      </c>
      <c r="B272" s="2">
        <v>45928</v>
      </c>
      <c r="C272" t="s">
        <v>760</v>
      </c>
      <c r="D272" t="s">
        <v>761</v>
      </c>
      <c r="E272" t="s">
        <v>96</v>
      </c>
      <c r="F272" t="s">
        <v>120</v>
      </c>
      <c r="G272" t="s">
        <v>20</v>
      </c>
      <c r="H272" t="s">
        <v>41</v>
      </c>
      <c r="I272" t="s">
        <v>42</v>
      </c>
      <c r="J272">
        <v>2</v>
      </c>
      <c r="K272">
        <v>520</v>
      </c>
      <c r="L272">
        <v>0.1</v>
      </c>
      <c r="M272">
        <v>936</v>
      </c>
      <c r="N272">
        <v>660</v>
      </c>
      <c r="O272">
        <v>276</v>
      </c>
    </row>
    <row r="273" spans="1:15" x14ac:dyDescent="0.25">
      <c r="A273" t="s">
        <v>762</v>
      </c>
      <c r="B273" s="2">
        <v>45929</v>
      </c>
      <c r="C273" t="s">
        <v>763</v>
      </c>
      <c r="D273" t="s">
        <v>764</v>
      </c>
      <c r="E273" t="s">
        <v>39</v>
      </c>
      <c r="F273" t="s">
        <v>124</v>
      </c>
      <c r="G273" t="s">
        <v>51</v>
      </c>
      <c r="H273" t="s">
        <v>21</v>
      </c>
      <c r="I273" t="s">
        <v>80</v>
      </c>
      <c r="J273">
        <v>4</v>
      </c>
      <c r="K273">
        <v>850</v>
      </c>
      <c r="L273">
        <v>0.2</v>
      </c>
      <c r="M273">
        <v>2720</v>
      </c>
      <c r="N273">
        <v>2240</v>
      </c>
      <c r="O273">
        <v>480</v>
      </c>
    </row>
    <row r="274" spans="1:15" x14ac:dyDescent="0.25">
      <c r="A274" t="s">
        <v>765</v>
      </c>
      <c r="B274" s="2">
        <v>45930</v>
      </c>
      <c r="C274" t="s">
        <v>766</v>
      </c>
      <c r="D274" t="s">
        <v>767</v>
      </c>
      <c r="E274" t="s">
        <v>39</v>
      </c>
      <c r="F274" t="s">
        <v>124</v>
      </c>
      <c r="G274" t="s">
        <v>28</v>
      </c>
      <c r="H274" t="s">
        <v>29</v>
      </c>
      <c r="I274" t="s">
        <v>35</v>
      </c>
      <c r="J274">
        <v>5</v>
      </c>
      <c r="K274">
        <v>4200</v>
      </c>
      <c r="L274">
        <v>0.1</v>
      </c>
      <c r="M274">
        <v>18900</v>
      </c>
      <c r="N274">
        <v>14500</v>
      </c>
      <c r="O274">
        <v>4400</v>
      </c>
    </row>
    <row r="275" spans="1:15" x14ac:dyDescent="0.25">
      <c r="A275" t="s">
        <v>768</v>
      </c>
      <c r="B275" s="2">
        <v>45931</v>
      </c>
      <c r="C275" t="s">
        <v>769</v>
      </c>
      <c r="D275" t="s">
        <v>770</v>
      </c>
      <c r="E275" t="s">
        <v>39</v>
      </c>
      <c r="F275" t="s">
        <v>40</v>
      </c>
      <c r="G275" t="s">
        <v>57</v>
      </c>
      <c r="H275" t="s">
        <v>58</v>
      </c>
      <c r="I275" t="s">
        <v>59</v>
      </c>
      <c r="J275">
        <v>2</v>
      </c>
      <c r="K275">
        <v>5600</v>
      </c>
      <c r="L275">
        <v>0.1</v>
      </c>
      <c r="M275">
        <v>10080</v>
      </c>
      <c r="N275">
        <v>7800</v>
      </c>
      <c r="O275">
        <v>2280</v>
      </c>
    </row>
    <row r="276" spans="1:15" x14ac:dyDescent="0.25">
      <c r="A276" t="s">
        <v>771</v>
      </c>
      <c r="B276" s="2">
        <v>45932</v>
      </c>
      <c r="C276" t="s">
        <v>772</v>
      </c>
      <c r="D276" t="s">
        <v>773</v>
      </c>
      <c r="E276" t="s">
        <v>39</v>
      </c>
      <c r="F276" t="s">
        <v>40</v>
      </c>
      <c r="G276" t="s">
        <v>51</v>
      </c>
      <c r="H276" t="s">
        <v>52</v>
      </c>
      <c r="I276" t="s">
        <v>208</v>
      </c>
      <c r="J276">
        <v>1</v>
      </c>
      <c r="K276">
        <v>2800</v>
      </c>
      <c r="L276">
        <v>0.25</v>
      </c>
      <c r="M276">
        <v>2100</v>
      </c>
      <c r="N276">
        <v>1800</v>
      </c>
      <c r="O276">
        <v>300</v>
      </c>
    </row>
    <row r="277" spans="1:15" x14ac:dyDescent="0.25">
      <c r="A277" t="s">
        <v>774</v>
      </c>
      <c r="B277" s="2">
        <v>45933</v>
      </c>
      <c r="C277" t="s">
        <v>775</v>
      </c>
      <c r="D277" t="s">
        <v>776</v>
      </c>
      <c r="E277" t="s">
        <v>26</v>
      </c>
      <c r="F277" t="s">
        <v>27</v>
      </c>
      <c r="G277" t="s">
        <v>28</v>
      </c>
      <c r="H277" t="s">
        <v>63</v>
      </c>
      <c r="I277" t="s">
        <v>64</v>
      </c>
      <c r="J277">
        <v>1</v>
      </c>
      <c r="K277">
        <v>2400</v>
      </c>
      <c r="L277">
        <v>0.2</v>
      </c>
      <c r="M277">
        <v>1920</v>
      </c>
      <c r="N277">
        <v>1650</v>
      </c>
      <c r="O277">
        <v>270</v>
      </c>
    </row>
    <row r="278" spans="1:15" x14ac:dyDescent="0.25">
      <c r="A278" t="s">
        <v>777</v>
      </c>
      <c r="B278" s="2">
        <v>45934</v>
      </c>
      <c r="C278" t="s">
        <v>778</v>
      </c>
      <c r="D278" t="s">
        <v>779</v>
      </c>
      <c r="E278" t="s">
        <v>26</v>
      </c>
      <c r="F278" t="s">
        <v>204</v>
      </c>
      <c r="G278" t="s">
        <v>57</v>
      </c>
      <c r="H278" t="s">
        <v>104</v>
      </c>
      <c r="I278" t="s">
        <v>105</v>
      </c>
      <c r="J278">
        <v>1</v>
      </c>
      <c r="K278">
        <v>7500</v>
      </c>
      <c r="L278">
        <v>0.15</v>
      </c>
      <c r="M278">
        <v>6375</v>
      </c>
      <c r="N278">
        <v>5200</v>
      </c>
      <c r="O278">
        <v>1175</v>
      </c>
    </row>
    <row r="279" spans="1:15" x14ac:dyDescent="0.25">
      <c r="A279" t="s">
        <v>780</v>
      </c>
      <c r="B279" s="2">
        <v>45935</v>
      </c>
      <c r="C279" t="s">
        <v>781</v>
      </c>
      <c r="D279" t="s">
        <v>782</v>
      </c>
      <c r="E279" t="s">
        <v>96</v>
      </c>
      <c r="F279" t="s">
        <v>97</v>
      </c>
      <c r="G279" t="s">
        <v>20</v>
      </c>
      <c r="H279" t="s">
        <v>41</v>
      </c>
      <c r="I279" t="s">
        <v>42</v>
      </c>
      <c r="J279">
        <v>2</v>
      </c>
      <c r="K279">
        <v>520</v>
      </c>
      <c r="L279">
        <v>0</v>
      </c>
      <c r="M279">
        <v>1040</v>
      </c>
      <c r="N279">
        <v>660</v>
      </c>
      <c r="O279">
        <v>380</v>
      </c>
    </row>
    <row r="280" spans="1:15" x14ac:dyDescent="0.25">
      <c r="A280" t="s">
        <v>783</v>
      </c>
      <c r="B280" s="2">
        <v>45936</v>
      </c>
      <c r="C280" t="s">
        <v>784</v>
      </c>
      <c r="D280" t="s">
        <v>785</v>
      </c>
      <c r="E280" t="s">
        <v>26</v>
      </c>
      <c r="F280" t="s">
        <v>34</v>
      </c>
      <c r="G280" t="s">
        <v>51</v>
      </c>
      <c r="H280" t="s">
        <v>52</v>
      </c>
      <c r="I280" t="s">
        <v>53</v>
      </c>
      <c r="J280">
        <v>2</v>
      </c>
      <c r="K280">
        <v>2200</v>
      </c>
      <c r="L280">
        <v>0.1</v>
      </c>
      <c r="M280">
        <v>3960</v>
      </c>
      <c r="N280">
        <v>2900</v>
      </c>
      <c r="O280">
        <v>1060</v>
      </c>
    </row>
    <row r="281" spans="1:15" x14ac:dyDescent="0.25">
      <c r="A281" t="s">
        <v>786</v>
      </c>
      <c r="B281" s="2">
        <v>45937</v>
      </c>
      <c r="C281" t="s">
        <v>787</v>
      </c>
      <c r="D281" t="s">
        <v>788</v>
      </c>
      <c r="E281" t="s">
        <v>39</v>
      </c>
      <c r="F281" t="s">
        <v>76</v>
      </c>
      <c r="G281" t="s">
        <v>20</v>
      </c>
      <c r="H281" t="s">
        <v>21</v>
      </c>
      <c r="I281" t="s">
        <v>22</v>
      </c>
      <c r="J281">
        <v>4</v>
      </c>
      <c r="K281">
        <v>650</v>
      </c>
      <c r="L281">
        <v>0.1</v>
      </c>
      <c r="M281">
        <v>2340</v>
      </c>
      <c r="N281">
        <v>1560</v>
      </c>
      <c r="O281">
        <v>780</v>
      </c>
    </row>
    <row r="282" spans="1:15" x14ac:dyDescent="0.25">
      <c r="A282" t="s">
        <v>789</v>
      </c>
      <c r="B282" s="2">
        <v>45938</v>
      </c>
      <c r="C282" t="s">
        <v>790</v>
      </c>
      <c r="D282" t="s">
        <v>791</v>
      </c>
      <c r="E282" t="s">
        <v>18</v>
      </c>
      <c r="F282" t="s">
        <v>227</v>
      </c>
      <c r="G282" t="s">
        <v>20</v>
      </c>
      <c r="H282" t="s">
        <v>41</v>
      </c>
      <c r="I282" t="s">
        <v>42</v>
      </c>
      <c r="J282">
        <v>1</v>
      </c>
      <c r="K282">
        <v>520</v>
      </c>
      <c r="L282">
        <v>0.1</v>
      </c>
      <c r="M282">
        <v>468</v>
      </c>
      <c r="N282">
        <v>330</v>
      </c>
      <c r="O282">
        <v>138</v>
      </c>
    </row>
    <row r="283" spans="1:15" x14ac:dyDescent="0.25">
      <c r="A283" t="s">
        <v>792</v>
      </c>
      <c r="B283" s="2">
        <v>45939</v>
      </c>
      <c r="C283" t="s">
        <v>532</v>
      </c>
      <c r="D283" t="s">
        <v>533</v>
      </c>
      <c r="E283" t="s">
        <v>26</v>
      </c>
      <c r="F283" t="s">
        <v>204</v>
      </c>
      <c r="G283" t="s">
        <v>20</v>
      </c>
      <c r="H283" t="s">
        <v>84</v>
      </c>
      <c r="I283" t="s">
        <v>210</v>
      </c>
      <c r="J283">
        <v>1</v>
      </c>
      <c r="K283">
        <v>300</v>
      </c>
      <c r="L283">
        <v>0.15</v>
      </c>
      <c r="M283">
        <v>255</v>
      </c>
      <c r="N283">
        <v>170</v>
      </c>
      <c r="O283">
        <v>85</v>
      </c>
    </row>
    <row r="284" spans="1:15" x14ac:dyDescent="0.25">
      <c r="A284" t="s">
        <v>793</v>
      </c>
      <c r="B284" s="2">
        <v>45940</v>
      </c>
      <c r="C284" t="s">
        <v>37</v>
      </c>
      <c r="D284" t="s">
        <v>38</v>
      </c>
      <c r="E284" t="s">
        <v>39</v>
      </c>
      <c r="F284" t="s">
        <v>40</v>
      </c>
      <c r="G284" t="s">
        <v>57</v>
      </c>
      <c r="H284" t="s">
        <v>58</v>
      </c>
      <c r="I284" t="s">
        <v>59</v>
      </c>
      <c r="J284">
        <v>1</v>
      </c>
      <c r="K284">
        <v>5600</v>
      </c>
      <c r="L284">
        <v>0.2</v>
      </c>
      <c r="M284">
        <v>4480</v>
      </c>
      <c r="N284">
        <v>3900</v>
      </c>
      <c r="O284">
        <v>580</v>
      </c>
    </row>
    <row r="285" spans="1:15" x14ac:dyDescent="0.25">
      <c r="A285" t="s">
        <v>794</v>
      </c>
      <c r="B285" s="2">
        <v>45941</v>
      </c>
      <c r="C285" t="s">
        <v>411</v>
      </c>
      <c r="D285" t="s">
        <v>412</v>
      </c>
      <c r="E285" t="s">
        <v>39</v>
      </c>
      <c r="F285" t="s">
        <v>40</v>
      </c>
      <c r="G285" t="s">
        <v>28</v>
      </c>
      <c r="H285" t="s">
        <v>29</v>
      </c>
      <c r="I285" t="s">
        <v>30</v>
      </c>
      <c r="J285">
        <v>4</v>
      </c>
      <c r="K285">
        <v>1900</v>
      </c>
      <c r="L285">
        <v>0.15</v>
      </c>
      <c r="M285">
        <v>6460</v>
      </c>
      <c r="N285">
        <v>5000</v>
      </c>
      <c r="O285">
        <v>1460</v>
      </c>
    </row>
    <row r="286" spans="1:15" x14ac:dyDescent="0.25">
      <c r="A286" t="s">
        <v>795</v>
      </c>
      <c r="B286" s="2">
        <v>45942</v>
      </c>
      <c r="C286" t="s">
        <v>796</v>
      </c>
      <c r="D286" t="s">
        <v>797</v>
      </c>
      <c r="E286" t="s">
        <v>26</v>
      </c>
      <c r="F286" t="s">
        <v>204</v>
      </c>
      <c r="G286" t="s">
        <v>51</v>
      </c>
      <c r="H286" t="s">
        <v>21</v>
      </c>
      <c r="I286" t="s">
        <v>72</v>
      </c>
      <c r="J286">
        <v>5</v>
      </c>
      <c r="K286">
        <v>1800</v>
      </c>
      <c r="L286">
        <v>0.1</v>
      </c>
      <c r="M286">
        <v>8100</v>
      </c>
      <c r="N286">
        <v>5500</v>
      </c>
      <c r="O286">
        <v>2600</v>
      </c>
    </row>
    <row r="287" spans="1:15" x14ac:dyDescent="0.25">
      <c r="A287" t="s">
        <v>798</v>
      </c>
      <c r="B287" s="2">
        <v>45943</v>
      </c>
      <c r="C287" t="s">
        <v>799</v>
      </c>
      <c r="D287" t="s">
        <v>800</v>
      </c>
      <c r="E287" t="s">
        <v>96</v>
      </c>
      <c r="F287" t="s">
        <v>196</v>
      </c>
      <c r="G287" t="s">
        <v>20</v>
      </c>
      <c r="H287" t="s">
        <v>21</v>
      </c>
      <c r="I287" t="s">
        <v>22</v>
      </c>
      <c r="J287">
        <v>5</v>
      </c>
      <c r="K287">
        <v>650</v>
      </c>
      <c r="L287">
        <v>0.1</v>
      </c>
      <c r="M287">
        <v>2925</v>
      </c>
      <c r="N287">
        <v>1950</v>
      </c>
      <c r="O287">
        <v>975</v>
      </c>
    </row>
    <row r="288" spans="1:15" x14ac:dyDescent="0.25">
      <c r="A288" t="s">
        <v>801</v>
      </c>
      <c r="B288" s="2">
        <v>45944</v>
      </c>
      <c r="C288" t="s">
        <v>408</v>
      </c>
      <c r="D288" t="s">
        <v>409</v>
      </c>
      <c r="E288" t="s">
        <v>18</v>
      </c>
      <c r="F288" t="s">
        <v>115</v>
      </c>
      <c r="G288" t="s">
        <v>20</v>
      </c>
      <c r="H288" t="s">
        <v>41</v>
      </c>
      <c r="I288" t="s">
        <v>42</v>
      </c>
      <c r="J288">
        <v>1</v>
      </c>
      <c r="K288">
        <v>520</v>
      </c>
      <c r="L288">
        <v>0.05</v>
      </c>
      <c r="M288">
        <v>494</v>
      </c>
      <c r="N288">
        <v>330</v>
      </c>
      <c r="O288">
        <v>164</v>
      </c>
    </row>
    <row r="289" spans="1:15" x14ac:dyDescent="0.25">
      <c r="A289" t="s">
        <v>802</v>
      </c>
      <c r="B289" s="2">
        <v>45945</v>
      </c>
      <c r="C289" t="s">
        <v>803</v>
      </c>
      <c r="D289" t="s">
        <v>804</v>
      </c>
      <c r="E289" t="s">
        <v>18</v>
      </c>
      <c r="F289" t="s">
        <v>227</v>
      </c>
      <c r="G289" t="s">
        <v>57</v>
      </c>
      <c r="H289" t="s">
        <v>58</v>
      </c>
      <c r="I289" t="s">
        <v>59</v>
      </c>
      <c r="J289">
        <v>3</v>
      </c>
      <c r="K289">
        <v>5600</v>
      </c>
      <c r="L289">
        <v>0.05</v>
      </c>
      <c r="M289">
        <v>15960</v>
      </c>
      <c r="N289">
        <v>11700</v>
      </c>
      <c r="O289">
        <v>4260</v>
      </c>
    </row>
    <row r="290" spans="1:15" x14ac:dyDescent="0.25">
      <c r="A290" t="s">
        <v>805</v>
      </c>
      <c r="B290" s="2">
        <v>45946</v>
      </c>
      <c r="C290" t="s">
        <v>688</v>
      </c>
      <c r="D290" t="s">
        <v>689</v>
      </c>
      <c r="E290" t="s">
        <v>26</v>
      </c>
      <c r="F290" t="s">
        <v>46</v>
      </c>
      <c r="G290" t="s">
        <v>57</v>
      </c>
      <c r="H290" t="s">
        <v>58</v>
      </c>
      <c r="I290" t="s">
        <v>59</v>
      </c>
      <c r="J290">
        <v>2</v>
      </c>
      <c r="K290">
        <v>5600</v>
      </c>
      <c r="L290">
        <v>0</v>
      </c>
      <c r="M290">
        <v>11200</v>
      </c>
      <c r="N290">
        <v>7800</v>
      </c>
      <c r="O290">
        <v>3400</v>
      </c>
    </row>
    <row r="291" spans="1:15" x14ac:dyDescent="0.25">
      <c r="A291" t="s">
        <v>806</v>
      </c>
      <c r="B291" s="2">
        <v>45947</v>
      </c>
      <c r="C291" t="s">
        <v>171</v>
      </c>
      <c r="D291" t="s">
        <v>172</v>
      </c>
      <c r="E291" t="s">
        <v>39</v>
      </c>
      <c r="F291" t="s">
        <v>76</v>
      </c>
      <c r="G291" t="s">
        <v>51</v>
      </c>
      <c r="H291" t="s">
        <v>21</v>
      </c>
      <c r="I291" t="s">
        <v>116</v>
      </c>
      <c r="J291">
        <v>3</v>
      </c>
      <c r="K291">
        <v>1400</v>
      </c>
      <c r="L291">
        <v>0.1</v>
      </c>
      <c r="M291">
        <v>3780</v>
      </c>
      <c r="N291">
        <v>2700</v>
      </c>
      <c r="O291">
        <v>1080</v>
      </c>
    </row>
    <row r="292" spans="1:15" x14ac:dyDescent="0.25">
      <c r="A292" t="s">
        <v>807</v>
      </c>
      <c r="B292" s="2">
        <v>45948</v>
      </c>
      <c r="C292" t="s">
        <v>216</v>
      </c>
      <c r="D292" t="s">
        <v>217</v>
      </c>
      <c r="E292" t="s">
        <v>96</v>
      </c>
      <c r="F292" t="s">
        <v>97</v>
      </c>
      <c r="G292" t="s">
        <v>20</v>
      </c>
      <c r="H292" t="s">
        <v>84</v>
      </c>
      <c r="I292" t="s">
        <v>85</v>
      </c>
      <c r="J292">
        <v>3</v>
      </c>
      <c r="K292">
        <v>280</v>
      </c>
      <c r="L292">
        <v>0.2</v>
      </c>
      <c r="M292">
        <v>672</v>
      </c>
      <c r="N292">
        <v>480</v>
      </c>
      <c r="O292">
        <v>192</v>
      </c>
    </row>
    <row r="293" spans="1:15" x14ac:dyDescent="0.25">
      <c r="A293" t="s">
        <v>808</v>
      </c>
      <c r="B293" s="2">
        <v>45949</v>
      </c>
      <c r="C293" t="s">
        <v>809</v>
      </c>
      <c r="D293" t="s">
        <v>810</v>
      </c>
      <c r="E293" t="s">
        <v>26</v>
      </c>
      <c r="F293" t="s">
        <v>34</v>
      </c>
      <c r="G293" t="s">
        <v>20</v>
      </c>
      <c r="H293" t="s">
        <v>84</v>
      </c>
      <c r="I293" t="s">
        <v>85</v>
      </c>
      <c r="J293">
        <v>1</v>
      </c>
      <c r="K293">
        <v>280</v>
      </c>
      <c r="L293">
        <v>0</v>
      </c>
      <c r="M293">
        <v>280</v>
      </c>
      <c r="N293">
        <v>160</v>
      </c>
      <c r="O293">
        <v>120</v>
      </c>
    </row>
    <row r="294" spans="1:15" x14ac:dyDescent="0.25">
      <c r="A294" t="s">
        <v>811</v>
      </c>
      <c r="B294" s="2">
        <v>45950</v>
      </c>
      <c r="C294" t="s">
        <v>164</v>
      </c>
      <c r="D294" t="s">
        <v>165</v>
      </c>
      <c r="E294" t="s">
        <v>26</v>
      </c>
      <c r="F294" t="s">
        <v>204</v>
      </c>
      <c r="G294" t="s">
        <v>57</v>
      </c>
      <c r="H294" t="s">
        <v>58</v>
      </c>
      <c r="I294" t="s">
        <v>129</v>
      </c>
      <c r="J294">
        <v>2</v>
      </c>
      <c r="K294">
        <v>4800</v>
      </c>
      <c r="L294">
        <v>0.1</v>
      </c>
      <c r="M294">
        <v>8640</v>
      </c>
      <c r="N294">
        <v>6600</v>
      </c>
      <c r="O294">
        <v>2040</v>
      </c>
    </row>
    <row r="295" spans="1:15" x14ac:dyDescent="0.25">
      <c r="A295" t="s">
        <v>812</v>
      </c>
      <c r="B295" s="2">
        <v>45951</v>
      </c>
      <c r="C295" t="s">
        <v>813</v>
      </c>
      <c r="D295" t="s">
        <v>814</v>
      </c>
      <c r="E295" t="s">
        <v>39</v>
      </c>
      <c r="F295" t="s">
        <v>76</v>
      </c>
      <c r="G295" t="s">
        <v>51</v>
      </c>
      <c r="H295" t="s">
        <v>89</v>
      </c>
      <c r="I295" t="s">
        <v>90</v>
      </c>
      <c r="J295">
        <v>5</v>
      </c>
      <c r="K295">
        <v>10500</v>
      </c>
      <c r="L295">
        <v>0</v>
      </c>
      <c r="M295">
        <v>52500</v>
      </c>
      <c r="N295">
        <v>38000</v>
      </c>
      <c r="O295">
        <v>14500</v>
      </c>
    </row>
    <row r="296" spans="1:15" x14ac:dyDescent="0.25">
      <c r="A296" t="s">
        <v>815</v>
      </c>
      <c r="B296" s="2">
        <v>45952</v>
      </c>
      <c r="C296" t="s">
        <v>301</v>
      </c>
      <c r="D296" t="s">
        <v>302</v>
      </c>
      <c r="E296" t="s">
        <v>96</v>
      </c>
      <c r="F296" t="s">
        <v>196</v>
      </c>
      <c r="G296" t="s">
        <v>57</v>
      </c>
      <c r="H296" t="s">
        <v>188</v>
      </c>
      <c r="I296" t="s">
        <v>189</v>
      </c>
      <c r="J296">
        <v>5</v>
      </c>
      <c r="K296">
        <v>6200</v>
      </c>
      <c r="L296">
        <v>0.2</v>
      </c>
      <c r="M296">
        <v>24800</v>
      </c>
      <c r="N296">
        <v>21500</v>
      </c>
      <c r="O296">
        <v>3300</v>
      </c>
    </row>
    <row r="297" spans="1:15" x14ac:dyDescent="0.25">
      <c r="A297" t="s">
        <v>816</v>
      </c>
      <c r="B297" s="2">
        <v>45953</v>
      </c>
      <c r="C297" t="s">
        <v>817</v>
      </c>
      <c r="D297" t="s">
        <v>818</v>
      </c>
      <c r="E297" t="s">
        <v>39</v>
      </c>
      <c r="F297" t="s">
        <v>71</v>
      </c>
      <c r="G297" t="s">
        <v>51</v>
      </c>
      <c r="H297" t="s">
        <v>89</v>
      </c>
      <c r="I297" t="s">
        <v>90</v>
      </c>
      <c r="J297">
        <v>2</v>
      </c>
      <c r="K297">
        <v>10500</v>
      </c>
      <c r="L297">
        <v>0.2</v>
      </c>
      <c r="M297">
        <v>16800</v>
      </c>
      <c r="N297">
        <v>15200</v>
      </c>
      <c r="O297">
        <v>1600</v>
      </c>
    </row>
    <row r="298" spans="1:15" x14ac:dyDescent="0.25">
      <c r="A298" t="s">
        <v>819</v>
      </c>
      <c r="B298" s="2">
        <v>45954</v>
      </c>
      <c r="C298" t="s">
        <v>353</v>
      </c>
      <c r="D298" t="s">
        <v>354</v>
      </c>
      <c r="E298" t="s">
        <v>26</v>
      </c>
      <c r="F298" t="s">
        <v>46</v>
      </c>
      <c r="G298" t="s">
        <v>57</v>
      </c>
      <c r="H298" t="s">
        <v>104</v>
      </c>
      <c r="I298" t="s">
        <v>105</v>
      </c>
      <c r="J298">
        <v>4</v>
      </c>
      <c r="K298">
        <v>7500</v>
      </c>
      <c r="L298">
        <v>0.15</v>
      </c>
      <c r="M298">
        <v>25500</v>
      </c>
      <c r="N298">
        <v>20800</v>
      </c>
      <c r="O298">
        <v>4700</v>
      </c>
    </row>
    <row r="299" spans="1:15" x14ac:dyDescent="0.25">
      <c r="A299" t="s">
        <v>820</v>
      </c>
      <c r="B299" s="2">
        <v>45955</v>
      </c>
      <c r="C299" t="s">
        <v>821</v>
      </c>
      <c r="D299" t="s">
        <v>822</v>
      </c>
      <c r="E299" t="s">
        <v>26</v>
      </c>
      <c r="F299" t="s">
        <v>27</v>
      </c>
      <c r="G299" t="s">
        <v>57</v>
      </c>
      <c r="H299" t="s">
        <v>58</v>
      </c>
      <c r="I299" t="s">
        <v>59</v>
      </c>
      <c r="J299">
        <v>2</v>
      </c>
      <c r="K299">
        <v>5600</v>
      </c>
      <c r="L299">
        <v>0.2</v>
      </c>
      <c r="M299">
        <v>8960</v>
      </c>
      <c r="N299">
        <v>7800</v>
      </c>
      <c r="O299">
        <v>1160</v>
      </c>
    </row>
    <row r="300" spans="1:15" x14ac:dyDescent="0.25">
      <c r="A300" t="s">
        <v>823</v>
      </c>
      <c r="B300" s="2">
        <v>45956</v>
      </c>
      <c r="C300" t="s">
        <v>824</v>
      </c>
      <c r="D300" t="s">
        <v>825</v>
      </c>
      <c r="E300" t="s">
        <v>96</v>
      </c>
      <c r="F300" t="s">
        <v>200</v>
      </c>
      <c r="G300" t="s">
        <v>51</v>
      </c>
      <c r="H300" t="s">
        <v>21</v>
      </c>
      <c r="I300" t="s">
        <v>116</v>
      </c>
      <c r="J300">
        <v>3</v>
      </c>
      <c r="K300">
        <v>1400</v>
      </c>
      <c r="L300">
        <v>0.15</v>
      </c>
      <c r="M300">
        <v>3570</v>
      </c>
      <c r="N300">
        <v>2700</v>
      </c>
      <c r="O300">
        <v>870</v>
      </c>
    </row>
    <row r="301" spans="1:15" x14ac:dyDescent="0.25">
      <c r="A301" t="s">
        <v>826</v>
      </c>
      <c r="B301" s="2">
        <v>45957</v>
      </c>
      <c r="C301" t="s">
        <v>747</v>
      </c>
      <c r="D301" t="s">
        <v>748</v>
      </c>
      <c r="E301" t="s">
        <v>26</v>
      </c>
      <c r="F301" t="s">
        <v>128</v>
      </c>
      <c r="G301" t="s">
        <v>20</v>
      </c>
      <c r="H301" t="s">
        <v>41</v>
      </c>
      <c r="I301" t="s">
        <v>42</v>
      </c>
      <c r="J301">
        <v>1</v>
      </c>
      <c r="K301">
        <v>520</v>
      </c>
      <c r="L301">
        <v>0.15</v>
      </c>
      <c r="M301">
        <v>442</v>
      </c>
      <c r="N301">
        <v>330</v>
      </c>
      <c r="O301">
        <v>112</v>
      </c>
    </row>
    <row r="302" spans="1:15" x14ac:dyDescent="0.25">
      <c r="A302" t="s">
        <v>827</v>
      </c>
      <c r="B302" s="2">
        <v>45958</v>
      </c>
      <c r="C302" t="s">
        <v>828</v>
      </c>
      <c r="D302" t="s">
        <v>829</v>
      </c>
      <c r="E302" t="s">
        <v>26</v>
      </c>
      <c r="F302" t="s">
        <v>34</v>
      </c>
      <c r="G302" t="s">
        <v>20</v>
      </c>
      <c r="H302" t="s">
        <v>41</v>
      </c>
      <c r="I302" t="s">
        <v>42</v>
      </c>
      <c r="J302">
        <v>5</v>
      </c>
      <c r="K302">
        <v>520</v>
      </c>
      <c r="L302">
        <v>0.15</v>
      </c>
      <c r="M302">
        <v>2210</v>
      </c>
      <c r="N302">
        <v>1650</v>
      </c>
      <c r="O302">
        <v>560</v>
      </c>
    </row>
    <row r="303" spans="1:15" x14ac:dyDescent="0.25">
      <c r="A303" t="s">
        <v>830</v>
      </c>
      <c r="B303" s="2">
        <v>45959</v>
      </c>
      <c r="C303" t="s">
        <v>831</v>
      </c>
      <c r="D303" t="s">
        <v>832</v>
      </c>
      <c r="E303" t="s">
        <v>18</v>
      </c>
      <c r="F303" t="s">
        <v>94</v>
      </c>
      <c r="G303" t="s">
        <v>28</v>
      </c>
      <c r="H303" t="s">
        <v>29</v>
      </c>
      <c r="I303" t="s">
        <v>35</v>
      </c>
      <c r="J303">
        <v>4</v>
      </c>
      <c r="K303">
        <v>4200</v>
      </c>
      <c r="L303">
        <v>0.05</v>
      </c>
      <c r="M303">
        <v>15960</v>
      </c>
      <c r="N303">
        <v>11600</v>
      </c>
      <c r="O303">
        <v>4360</v>
      </c>
    </row>
    <row r="304" spans="1:15" x14ac:dyDescent="0.25">
      <c r="A304" t="s">
        <v>833</v>
      </c>
      <c r="B304" s="2">
        <v>45960</v>
      </c>
      <c r="C304" t="s">
        <v>834</v>
      </c>
      <c r="D304" t="s">
        <v>835</v>
      </c>
      <c r="E304" t="s">
        <v>96</v>
      </c>
      <c r="F304" t="s">
        <v>97</v>
      </c>
      <c r="G304" t="s">
        <v>57</v>
      </c>
      <c r="H304" t="s">
        <v>58</v>
      </c>
      <c r="I304" t="s">
        <v>129</v>
      </c>
      <c r="J304">
        <v>1</v>
      </c>
      <c r="K304">
        <v>4800</v>
      </c>
      <c r="L304">
        <v>0.05</v>
      </c>
      <c r="M304">
        <v>4560</v>
      </c>
      <c r="N304">
        <v>3300</v>
      </c>
      <c r="O304">
        <v>1260</v>
      </c>
    </row>
    <row r="305" spans="1:15" x14ac:dyDescent="0.25">
      <c r="A305" t="s">
        <v>836</v>
      </c>
      <c r="B305" s="2">
        <v>45961</v>
      </c>
      <c r="C305" t="s">
        <v>333</v>
      </c>
      <c r="D305" t="s">
        <v>334</v>
      </c>
      <c r="E305" t="s">
        <v>26</v>
      </c>
      <c r="F305" t="s">
        <v>128</v>
      </c>
      <c r="G305" t="s">
        <v>51</v>
      </c>
      <c r="H305" t="s">
        <v>52</v>
      </c>
      <c r="I305" t="s">
        <v>53</v>
      </c>
      <c r="J305">
        <v>5</v>
      </c>
      <c r="K305">
        <v>2200</v>
      </c>
      <c r="L305">
        <v>0</v>
      </c>
      <c r="M305">
        <v>11000</v>
      </c>
      <c r="N305">
        <v>7250</v>
      </c>
      <c r="O305">
        <v>3750</v>
      </c>
    </row>
    <row r="306" spans="1:15" x14ac:dyDescent="0.25">
      <c r="A306" t="s">
        <v>837</v>
      </c>
      <c r="B306" s="2">
        <v>45962</v>
      </c>
      <c r="C306" t="s">
        <v>838</v>
      </c>
      <c r="D306" t="s">
        <v>839</v>
      </c>
      <c r="E306" t="s">
        <v>26</v>
      </c>
      <c r="F306" t="s">
        <v>27</v>
      </c>
      <c r="G306" t="s">
        <v>57</v>
      </c>
      <c r="H306" t="s">
        <v>188</v>
      </c>
      <c r="I306" t="s">
        <v>189</v>
      </c>
      <c r="J306">
        <v>2</v>
      </c>
      <c r="K306">
        <v>6200</v>
      </c>
      <c r="L306">
        <v>0.15</v>
      </c>
      <c r="M306">
        <v>10540</v>
      </c>
      <c r="N306">
        <v>8600</v>
      </c>
      <c r="O306">
        <v>1940</v>
      </c>
    </row>
    <row r="307" spans="1:15" x14ac:dyDescent="0.25">
      <c r="A307" t="s">
        <v>840</v>
      </c>
      <c r="B307" s="2">
        <v>45963</v>
      </c>
      <c r="C307" t="s">
        <v>697</v>
      </c>
      <c r="D307" t="s">
        <v>698</v>
      </c>
      <c r="E307" t="s">
        <v>39</v>
      </c>
      <c r="F307" t="s">
        <v>40</v>
      </c>
      <c r="G307" t="s">
        <v>51</v>
      </c>
      <c r="H307" t="s">
        <v>21</v>
      </c>
      <c r="I307" t="s">
        <v>80</v>
      </c>
      <c r="J307">
        <v>5</v>
      </c>
      <c r="K307">
        <v>850</v>
      </c>
      <c r="L307">
        <v>0.2</v>
      </c>
      <c r="M307">
        <v>3400</v>
      </c>
      <c r="N307">
        <v>2800</v>
      </c>
      <c r="O307">
        <v>600</v>
      </c>
    </row>
    <row r="308" spans="1:15" x14ac:dyDescent="0.25">
      <c r="A308" t="s">
        <v>841</v>
      </c>
      <c r="B308" s="2">
        <v>45964</v>
      </c>
      <c r="C308" t="s">
        <v>685</v>
      </c>
      <c r="D308" t="s">
        <v>686</v>
      </c>
      <c r="E308" t="s">
        <v>96</v>
      </c>
      <c r="F308" t="s">
        <v>97</v>
      </c>
      <c r="G308" t="s">
        <v>20</v>
      </c>
      <c r="H308" t="s">
        <v>21</v>
      </c>
      <c r="I308" t="s">
        <v>22</v>
      </c>
      <c r="J308">
        <v>3</v>
      </c>
      <c r="K308">
        <v>650</v>
      </c>
      <c r="L308">
        <v>0.05</v>
      </c>
      <c r="M308">
        <v>1852.5</v>
      </c>
      <c r="N308">
        <v>1170</v>
      </c>
      <c r="O308">
        <v>682.5</v>
      </c>
    </row>
    <row r="309" spans="1:15" x14ac:dyDescent="0.25">
      <c r="A309" t="s">
        <v>842</v>
      </c>
      <c r="B309" s="2">
        <v>45965</v>
      </c>
      <c r="C309" t="s">
        <v>843</v>
      </c>
      <c r="D309" t="s">
        <v>844</v>
      </c>
      <c r="E309" t="s">
        <v>96</v>
      </c>
      <c r="F309" t="s">
        <v>196</v>
      </c>
      <c r="G309" t="s">
        <v>28</v>
      </c>
      <c r="H309" t="s">
        <v>29</v>
      </c>
      <c r="I309" t="s">
        <v>47</v>
      </c>
      <c r="J309">
        <v>3</v>
      </c>
      <c r="K309">
        <v>6800</v>
      </c>
      <c r="L309">
        <v>0.1</v>
      </c>
      <c r="M309">
        <v>18360</v>
      </c>
      <c r="N309">
        <v>14100</v>
      </c>
      <c r="O309">
        <v>4260</v>
      </c>
    </row>
    <row r="310" spans="1:15" x14ac:dyDescent="0.25">
      <c r="A310" t="s">
        <v>845</v>
      </c>
      <c r="B310" s="2">
        <v>45966</v>
      </c>
      <c r="C310" t="s">
        <v>846</v>
      </c>
      <c r="D310" t="s">
        <v>847</v>
      </c>
      <c r="E310" t="s">
        <v>39</v>
      </c>
      <c r="F310" t="s">
        <v>124</v>
      </c>
      <c r="G310" t="s">
        <v>28</v>
      </c>
      <c r="H310" t="s">
        <v>29</v>
      </c>
      <c r="I310" t="s">
        <v>35</v>
      </c>
      <c r="J310">
        <v>5</v>
      </c>
      <c r="K310">
        <v>4200</v>
      </c>
      <c r="L310">
        <v>0.1</v>
      </c>
      <c r="M310">
        <v>18900</v>
      </c>
      <c r="N310">
        <v>14500</v>
      </c>
      <c r="O310">
        <v>4400</v>
      </c>
    </row>
    <row r="311" spans="1:15" x14ac:dyDescent="0.25">
      <c r="A311" t="s">
        <v>848</v>
      </c>
      <c r="B311" s="2">
        <v>45967</v>
      </c>
      <c r="C311" t="s">
        <v>849</v>
      </c>
      <c r="D311" t="s">
        <v>850</v>
      </c>
      <c r="E311" t="s">
        <v>39</v>
      </c>
      <c r="F311" t="s">
        <v>124</v>
      </c>
      <c r="G311" t="s">
        <v>57</v>
      </c>
      <c r="H311" t="s">
        <v>188</v>
      </c>
      <c r="I311" t="s">
        <v>189</v>
      </c>
      <c r="J311">
        <v>5</v>
      </c>
      <c r="K311">
        <v>6200</v>
      </c>
      <c r="L311">
        <v>0.15</v>
      </c>
      <c r="M311">
        <v>26350</v>
      </c>
      <c r="N311">
        <v>21500</v>
      </c>
      <c r="O311">
        <v>4850</v>
      </c>
    </row>
    <row r="312" spans="1:15" x14ac:dyDescent="0.25">
      <c r="A312" t="s">
        <v>851</v>
      </c>
      <c r="B312" s="2">
        <v>45968</v>
      </c>
      <c r="C312" t="s">
        <v>275</v>
      </c>
      <c r="D312" t="s">
        <v>276</v>
      </c>
      <c r="E312" t="s">
        <v>26</v>
      </c>
      <c r="F312" t="s">
        <v>27</v>
      </c>
      <c r="G312" t="s">
        <v>51</v>
      </c>
      <c r="H312" t="s">
        <v>52</v>
      </c>
      <c r="I312" t="s">
        <v>53</v>
      </c>
      <c r="J312">
        <v>4</v>
      </c>
      <c r="K312">
        <v>2200</v>
      </c>
      <c r="L312">
        <v>0.2</v>
      </c>
      <c r="M312">
        <v>7040</v>
      </c>
      <c r="N312">
        <v>5800</v>
      </c>
      <c r="O312">
        <v>1240</v>
      </c>
    </row>
    <row r="313" spans="1:15" x14ac:dyDescent="0.25">
      <c r="A313" t="s">
        <v>852</v>
      </c>
      <c r="B313" s="2">
        <v>45969</v>
      </c>
      <c r="C313" t="s">
        <v>853</v>
      </c>
      <c r="D313" t="s">
        <v>854</v>
      </c>
      <c r="E313" t="s">
        <v>26</v>
      </c>
      <c r="F313" t="s">
        <v>128</v>
      </c>
      <c r="G313" t="s">
        <v>51</v>
      </c>
      <c r="H313" t="s">
        <v>52</v>
      </c>
      <c r="I313" t="s">
        <v>208</v>
      </c>
      <c r="J313">
        <v>3</v>
      </c>
      <c r="K313">
        <v>2800</v>
      </c>
      <c r="L313">
        <v>0.15</v>
      </c>
      <c r="M313">
        <v>7140</v>
      </c>
      <c r="N313">
        <v>5400</v>
      </c>
      <c r="O313">
        <v>1740</v>
      </c>
    </row>
    <row r="314" spans="1:15" x14ac:dyDescent="0.25">
      <c r="A314" t="s">
        <v>855</v>
      </c>
      <c r="B314" s="2">
        <v>45970</v>
      </c>
      <c r="C314" t="s">
        <v>532</v>
      </c>
      <c r="D314" t="s">
        <v>533</v>
      </c>
      <c r="E314" t="s">
        <v>96</v>
      </c>
      <c r="F314" t="s">
        <v>200</v>
      </c>
      <c r="G314" t="s">
        <v>51</v>
      </c>
      <c r="H314" t="s">
        <v>21</v>
      </c>
      <c r="I314" t="s">
        <v>80</v>
      </c>
      <c r="J314">
        <v>1</v>
      </c>
      <c r="K314">
        <v>850</v>
      </c>
      <c r="L314">
        <v>0.15</v>
      </c>
      <c r="M314">
        <v>722.5</v>
      </c>
      <c r="N314">
        <v>560</v>
      </c>
      <c r="O314">
        <v>162.5</v>
      </c>
    </row>
    <row r="315" spans="1:15" x14ac:dyDescent="0.25">
      <c r="A315" t="s">
        <v>856</v>
      </c>
      <c r="B315" s="2">
        <v>45971</v>
      </c>
      <c r="C315" t="s">
        <v>611</v>
      </c>
      <c r="D315" t="s">
        <v>612</v>
      </c>
      <c r="E315" t="s">
        <v>96</v>
      </c>
      <c r="F315" t="s">
        <v>196</v>
      </c>
      <c r="G315" t="s">
        <v>28</v>
      </c>
      <c r="H315" t="s">
        <v>29</v>
      </c>
      <c r="I315" t="s">
        <v>35</v>
      </c>
      <c r="J315">
        <v>5</v>
      </c>
      <c r="K315">
        <v>4200</v>
      </c>
      <c r="L315">
        <v>0.25</v>
      </c>
      <c r="M315">
        <v>15750</v>
      </c>
      <c r="N315">
        <v>14500</v>
      </c>
      <c r="O315">
        <v>1250</v>
      </c>
    </row>
    <row r="316" spans="1:15" x14ac:dyDescent="0.25">
      <c r="A316" t="s">
        <v>857</v>
      </c>
      <c r="B316" s="2">
        <v>45972</v>
      </c>
      <c r="C316" t="s">
        <v>423</v>
      </c>
      <c r="D316" t="s">
        <v>424</v>
      </c>
      <c r="E316" t="s">
        <v>26</v>
      </c>
      <c r="F316" t="s">
        <v>27</v>
      </c>
      <c r="G316" t="s">
        <v>28</v>
      </c>
      <c r="H316" t="s">
        <v>63</v>
      </c>
      <c r="I316" t="s">
        <v>64</v>
      </c>
      <c r="J316">
        <v>3</v>
      </c>
      <c r="K316">
        <v>2400</v>
      </c>
      <c r="L316">
        <v>0.1</v>
      </c>
      <c r="M316">
        <v>6480</v>
      </c>
      <c r="N316">
        <v>4950</v>
      </c>
      <c r="O316">
        <v>1530</v>
      </c>
    </row>
    <row r="317" spans="1:15" x14ac:dyDescent="0.25">
      <c r="A317" t="s">
        <v>858</v>
      </c>
      <c r="B317" s="2">
        <v>45973</v>
      </c>
      <c r="C317" t="s">
        <v>524</v>
      </c>
      <c r="D317" t="s">
        <v>525</v>
      </c>
      <c r="E317" t="s">
        <v>26</v>
      </c>
      <c r="F317" t="s">
        <v>128</v>
      </c>
      <c r="G317" t="s">
        <v>20</v>
      </c>
      <c r="H317" t="s">
        <v>21</v>
      </c>
      <c r="I317" t="s">
        <v>22</v>
      </c>
      <c r="J317">
        <v>3</v>
      </c>
      <c r="K317">
        <v>650</v>
      </c>
      <c r="L317">
        <v>0.15</v>
      </c>
      <c r="M317">
        <v>1657.5</v>
      </c>
      <c r="N317">
        <v>1170</v>
      </c>
      <c r="O317">
        <v>487.5</v>
      </c>
    </row>
    <row r="318" spans="1:15" x14ac:dyDescent="0.25">
      <c r="A318" t="s">
        <v>859</v>
      </c>
      <c r="B318" s="2">
        <v>45974</v>
      </c>
      <c r="C318" t="s">
        <v>860</v>
      </c>
      <c r="D318" t="s">
        <v>861</v>
      </c>
      <c r="E318" t="s">
        <v>39</v>
      </c>
      <c r="F318" t="s">
        <v>76</v>
      </c>
      <c r="G318" t="s">
        <v>28</v>
      </c>
      <c r="H318" t="s">
        <v>29</v>
      </c>
      <c r="I318" t="s">
        <v>47</v>
      </c>
      <c r="J318">
        <v>4</v>
      </c>
      <c r="K318">
        <v>6800</v>
      </c>
      <c r="L318">
        <v>0.15</v>
      </c>
      <c r="M318">
        <v>23120</v>
      </c>
      <c r="N318">
        <v>18800</v>
      </c>
      <c r="O318">
        <v>4320</v>
      </c>
    </row>
    <row r="319" spans="1:15" x14ac:dyDescent="0.25">
      <c r="A319" t="s">
        <v>862</v>
      </c>
      <c r="B319" s="2">
        <v>45975</v>
      </c>
      <c r="C319" t="s">
        <v>633</v>
      </c>
      <c r="D319" t="s">
        <v>634</v>
      </c>
      <c r="E319" t="s">
        <v>39</v>
      </c>
      <c r="F319" t="s">
        <v>76</v>
      </c>
      <c r="G319" t="s">
        <v>28</v>
      </c>
      <c r="H319" t="s">
        <v>29</v>
      </c>
      <c r="I319" t="s">
        <v>30</v>
      </c>
      <c r="J319">
        <v>1</v>
      </c>
      <c r="K319">
        <v>1900</v>
      </c>
      <c r="L319">
        <v>0</v>
      </c>
      <c r="M319">
        <v>1900</v>
      </c>
      <c r="N319">
        <v>1250</v>
      </c>
      <c r="O319">
        <v>650</v>
      </c>
    </row>
    <row r="320" spans="1:15" x14ac:dyDescent="0.25">
      <c r="A320" t="s">
        <v>863</v>
      </c>
      <c r="B320" s="2">
        <v>45976</v>
      </c>
      <c r="C320" t="s">
        <v>611</v>
      </c>
      <c r="D320" t="s">
        <v>612</v>
      </c>
      <c r="E320" t="s">
        <v>26</v>
      </c>
      <c r="F320" t="s">
        <v>128</v>
      </c>
      <c r="G320" t="s">
        <v>51</v>
      </c>
      <c r="H320" t="s">
        <v>21</v>
      </c>
      <c r="I320" t="s">
        <v>116</v>
      </c>
      <c r="J320">
        <v>4</v>
      </c>
      <c r="K320">
        <v>1400</v>
      </c>
      <c r="L320">
        <v>0.05</v>
      </c>
      <c r="M320">
        <v>5320</v>
      </c>
      <c r="N320">
        <v>3600</v>
      </c>
      <c r="O320">
        <v>1720</v>
      </c>
    </row>
    <row r="321" spans="1:15" x14ac:dyDescent="0.25">
      <c r="A321" t="s">
        <v>864</v>
      </c>
      <c r="B321" s="2">
        <v>45977</v>
      </c>
      <c r="C321" t="s">
        <v>865</v>
      </c>
      <c r="D321" t="s">
        <v>866</v>
      </c>
      <c r="E321" t="s">
        <v>26</v>
      </c>
      <c r="F321" t="s">
        <v>204</v>
      </c>
      <c r="G321" t="s">
        <v>51</v>
      </c>
      <c r="H321" t="s">
        <v>89</v>
      </c>
      <c r="I321" t="s">
        <v>90</v>
      </c>
      <c r="J321">
        <v>4</v>
      </c>
      <c r="K321">
        <v>10500</v>
      </c>
      <c r="L321">
        <v>0.05</v>
      </c>
      <c r="M321">
        <v>39900</v>
      </c>
      <c r="N321">
        <v>30400</v>
      </c>
      <c r="O321">
        <v>9500</v>
      </c>
    </row>
    <row r="322" spans="1:15" x14ac:dyDescent="0.25">
      <c r="A322" t="s">
        <v>867</v>
      </c>
      <c r="B322" s="2">
        <v>45978</v>
      </c>
      <c r="C322" t="s">
        <v>868</v>
      </c>
      <c r="D322" t="s">
        <v>869</v>
      </c>
      <c r="E322" t="s">
        <v>39</v>
      </c>
      <c r="F322" t="s">
        <v>40</v>
      </c>
      <c r="G322" t="s">
        <v>51</v>
      </c>
      <c r="H322" t="s">
        <v>52</v>
      </c>
      <c r="I322" t="s">
        <v>208</v>
      </c>
      <c r="J322">
        <v>3</v>
      </c>
      <c r="K322">
        <v>2800</v>
      </c>
      <c r="L322">
        <v>0.1</v>
      </c>
      <c r="M322">
        <v>7560</v>
      </c>
      <c r="N322">
        <v>5400</v>
      </c>
      <c r="O322">
        <v>2160</v>
      </c>
    </row>
    <row r="323" spans="1:15" x14ac:dyDescent="0.25">
      <c r="A323" t="s">
        <v>870</v>
      </c>
      <c r="B323" s="2">
        <v>45979</v>
      </c>
      <c r="C323" t="s">
        <v>871</v>
      </c>
      <c r="D323" t="s">
        <v>872</v>
      </c>
      <c r="E323" t="s">
        <v>96</v>
      </c>
      <c r="F323" t="s">
        <v>120</v>
      </c>
      <c r="G323" t="s">
        <v>57</v>
      </c>
      <c r="H323" t="s">
        <v>188</v>
      </c>
      <c r="I323" t="s">
        <v>189</v>
      </c>
      <c r="J323">
        <v>4</v>
      </c>
      <c r="K323">
        <v>6200</v>
      </c>
      <c r="L323">
        <v>0.2</v>
      </c>
      <c r="M323">
        <v>19840</v>
      </c>
      <c r="N323">
        <v>17200</v>
      </c>
      <c r="O323">
        <v>2640</v>
      </c>
    </row>
    <row r="324" spans="1:15" x14ac:dyDescent="0.25">
      <c r="A324" t="s">
        <v>873</v>
      </c>
      <c r="B324" s="2">
        <v>45980</v>
      </c>
      <c r="C324" t="s">
        <v>747</v>
      </c>
      <c r="D324" t="s">
        <v>748</v>
      </c>
      <c r="E324" t="s">
        <v>39</v>
      </c>
      <c r="F324" t="s">
        <v>71</v>
      </c>
      <c r="G324" t="s">
        <v>51</v>
      </c>
      <c r="H324" t="s">
        <v>21</v>
      </c>
      <c r="I324" t="s">
        <v>80</v>
      </c>
      <c r="J324">
        <v>5</v>
      </c>
      <c r="K324">
        <v>850</v>
      </c>
      <c r="L324">
        <v>0</v>
      </c>
      <c r="M324">
        <v>4250</v>
      </c>
      <c r="N324">
        <v>2800</v>
      </c>
      <c r="O324">
        <v>1450</v>
      </c>
    </row>
    <row r="325" spans="1:15" x14ac:dyDescent="0.25">
      <c r="A325" t="s">
        <v>874</v>
      </c>
      <c r="B325" s="2">
        <v>45981</v>
      </c>
      <c r="C325" t="s">
        <v>417</v>
      </c>
      <c r="D325" t="s">
        <v>418</v>
      </c>
      <c r="E325" t="s">
        <v>18</v>
      </c>
      <c r="F325" t="s">
        <v>19</v>
      </c>
      <c r="G325" t="s">
        <v>57</v>
      </c>
      <c r="H325" t="s">
        <v>188</v>
      </c>
      <c r="I325" t="s">
        <v>189</v>
      </c>
      <c r="J325">
        <v>5</v>
      </c>
      <c r="K325">
        <v>6200</v>
      </c>
      <c r="L325">
        <v>0.15</v>
      </c>
      <c r="M325">
        <v>26350</v>
      </c>
      <c r="N325">
        <v>21500</v>
      </c>
      <c r="O325">
        <v>4850</v>
      </c>
    </row>
    <row r="326" spans="1:15" x14ac:dyDescent="0.25">
      <c r="A326" t="s">
        <v>875</v>
      </c>
      <c r="B326" s="2">
        <v>45982</v>
      </c>
      <c r="C326" t="s">
        <v>876</v>
      </c>
      <c r="D326" t="s">
        <v>877</v>
      </c>
      <c r="E326" t="s">
        <v>96</v>
      </c>
      <c r="F326" t="s">
        <v>120</v>
      </c>
      <c r="G326" t="s">
        <v>57</v>
      </c>
      <c r="H326" t="s">
        <v>58</v>
      </c>
      <c r="I326" t="s">
        <v>129</v>
      </c>
      <c r="J326">
        <v>2</v>
      </c>
      <c r="K326">
        <v>4800</v>
      </c>
      <c r="L326">
        <v>0</v>
      </c>
      <c r="M326">
        <v>9600</v>
      </c>
      <c r="N326">
        <v>6600</v>
      </c>
      <c r="O326">
        <v>3000</v>
      </c>
    </row>
    <row r="327" spans="1:15" x14ac:dyDescent="0.25">
      <c r="A327" t="s">
        <v>878</v>
      </c>
      <c r="B327" s="2">
        <v>45983</v>
      </c>
      <c r="C327" t="s">
        <v>414</v>
      </c>
      <c r="D327" t="s">
        <v>415</v>
      </c>
      <c r="E327" t="s">
        <v>26</v>
      </c>
      <c r="F327" t="s">
        <v>27</v>
      </c>
      <c r="G327" t="s">
        <v>57</v>
      </c>
      <c r="H327" t="s">
        <v>104</v>
      </c>
      <c r="I327" t="s">
        <v>105</v>
      </c>
      <c r="J327">
        <v>2</v>
      </c>
      <c r="K327">
        <v>7500</v>
      </c>
      <c r="L327">
        <v>0.1</v>
      </c>
      <c r="M327">
        <v>13500</v>
      </c>
      <c r="N327">
        <v>10400</v>
      </c>
      <c r="O327">
        <v>3100</v>
      </c>
    </row>
    <row r="328" spans="1:15" x14ac:dyDescent="0.25">
      <c r="A328" t="s">
        <v>879</v>
      </c>
      <c r="B328" s="2">
        <v>45984</v>
      </c>
      <c r="C328" t="s">
        <v>744</v>
      </c>
      <c r="D328" t="s">
        <v>745</v>
      </c>
      <c r="E328" t="s">
        <v>39</v>
      </c>
      <c r="F328" t="s">
        <v>76</v>
      </c>
      <c r="G328" t="s">
        <v>51</v>
      </c>
      <c r="H328" t="s">
        <v>52</v>
      </c>
      <c r="I328" t="s">
        <v>208</v>
      </c>
      <c r="J328">
        <v>5</v>
      </c>
      <c r="K328">
        <v>2800</v>
      </c>
      <c r="L328">
        <v>0.1</v>
      </c>
      <c r="M328">
        <v>12600</v>
      </c>
      <c r="N328">
        <v>9000</v>
      </c>
      <c r="O328">
        <v>3600</v>
      </c>
    </row>
    <row r="329" spans="1:15" x14ac:dyDescent="0.25">
      <c r="A329" t="s">
        <v>880</v>
      </c>
      <c r="B329" s="2">
        <v>45985</v>
      </c>
      <c r="C329" t="s">
        <v>881</v>
      </c>
      <c r="D329" t="s">
        <v>882</v>
      </c>
      <c r="E329" t="s">
        <v>26</v>
      </c>
      <c r="F329" t="s">
        <v>34</v>
      </c>
      <c r="G329" t="s">
        <v>51</v>
      </c>
      <c r="H329" t="s">
        <v>52</v>
      </c>
      <c r="I329" t="s">
        <v>208</v>
      </c>
      <c r="J329">
        <v>3</v>
      </c>
      <c r="K329">
        <v>2800</v>
      </c>
      <c r="L329">
        <v>0.1</v>
      </c>
      <c r="M329">
        <v>7560</v>
      </c>
      <c r="N329">
        <v>5400</v>
      </c>
      <c r="O329">
        <v>2160</v>
      </c>
    </row>
    <row r="330" spans="1:15" x14ac:dyDescent="0.25">
      <c r="A330" t="s">
        <v>883</v>
      </c>
      <c r="B330" s="2">
        <v>45986</v>
      </c>
      <c r="C330" t="s">
        <v>778</v>
      </c>
      <c r="D330" t="s">
        <v>779</v>
      </c>
      <c r="E330" t="s">
        <v>26</v>
      </c>
      <c r="F330" t="s">
        <v>46</v>
      </c>
      <c r="G330" t="s">
        <v>51</v>
      </c>
      <c r="H330" t="s">
        <v>21</v>
      </c>
      <c r="I330" t="s">
        <v>72</v>
      </c>
      <c r="J330">
        <v>4</v>
      </c>
      <c r="K330">
        <v>1800</v>
      </c>
      <c r="L330">
        <v>0</v>
      </c>
      <c r="M330">
        <v>7200</v>
      </c>
      <c r="N330">
        <v>4400</v>
      </c>
      <c r="O330">
        <v>2800</v>
      </c>
    </row>
    <row r="331" spans="1:15" x14ac:dyDescent="0.25">
      <c r="A331" t="s">
        <v>884</v>
      </c>
      <c r="B331" s="2">
        <v>45987</v>
      </c>
      <c r="C331" t="s">
        <v>158</v>
      </c>
      <c r="D331" t="s">
        <v>159</v>
      </c>
      <c r="E331" t="s">
        <v>26</v>
      </c>
      <c r="F331" t="s">
        <v>34</v>
      </c>
      <c r="G331" t="s">
        <v>57</v>
      </c>
      <c r="H331" t="s">
        <v>104</v>
      </c>
      <c r="I331" t="s">
        <v>105</v>
      </c>
      <c r="J331">
        <v>5</v>
      </c>
      <c r="K331">
        <v>7500</v>
      </c>
      <c r="L331">
        <v>0</v>
      </c>
      <c r="M331">
        <v>37500</v>
      </c>
      <c r="N331">
        <v>26000</v>
      </c>
      <c r="O331">
        <v>11500</v>
      </c>
    </row>
    <row r="332" spans="1:15" x14ac:dyDescent="0.25">
      <c r="A332" t="s">
        <v>885</v>
      </c>
      <c r="B332" s="2">
        <v>45988</v>
      </c>
      <c r="C332" t="s">
        <v>164</v>
      </c>
      <c r="D332" t="s">
        <v>165</v>
      </c>
      <c r="E332" t="s">
        <v>26</v>
      </c>
      <c r="F332" t="s">
        <v>128</v>
      </c>
      <c r="G332" t="s">
        <v>57</v>
      </c>
      <c r="H332" t="s">
        <v>104</v>
      </c>
      <c r="I332" t="s">
        <v>105</v>
      </c>
      <c r="J332">
        <v>4</v>
      </c>
      <c r="K332">
        <v>7500</v>
      </c>
      <c r="L332">
        <v>0.2</v>
      </c>
      <c r="M332">
        <v>24000</v>
      </c>
      <c r="N332">
        <v>20800</v>
      </c>
      <c r="O332">
        <v>3200</v>
      </c>
    </row>
    <row r="333" spans="1:15" x14ac:dyDescent="0.25">
      <c r="A333" t="s">
        <v>886</v>
      </c>
      <c r="B333" s="2">
        <v>45989</v>
      </c>
      <c r="C333" t="s">
        <v>887</v>
      </c>
      <c r="D333" t="s">
        <v>888</v>
      </c>
      <c r="E333" t="s">
        <v>26</v>
      </c>
      <c r="F333" t="s">
        <v>46</v>
      </c>
      <c r="G333" t="s">
        <v>20</v>
      </c>
      <c r="H333" t="s">
        <v>84</v>
      </c>
      <c r="I333" t="s">
        <v>169</v>
      </c>
      <c r="J333">
        <v>3</v>
      </c>
      <c r="K333">
        <v>450</v>
      </c>
      <c r="L333">
        <v>0</v>
      </c>
      <c r="M333">
        <v>1350</v>
      </c>
      <c r="N333">
        <v>780</v>
      </c>
      <c r="O333">
        <v>570</v>
      </c>
    </row>
    <row r="334" spans="1:15" x14ac:dyDescent="0.25">
      <c r="A334" t="s">
        <v>889</v>
      </c>
      <c r="B334" s="2">
        <v>45990</v>
      </c>
      <c r="C334" t="s">
        <v>597</v>
      </c>
      <c r="D334" t="s">
        <v>598</v>
      </c>
      <c r="E334" t="s">
        <v>26</v>
      </c>
      <c r="F334" t="s">
        <v>128</v>
      </c>
      <c r="G334" t="s">
        <v>57</v>
      </c>
      <c r="H334" t="s">
        <v>104</v>
      </c>
      <c r="I334" t="s">
        <v>105</v>
      </c>
      <c r="J334">
        <v>5</v>
      </c>
      <c r="K334">
        <v>7500</v>
      </c>
      <c r="L334">
        <v>0.2</v>
      </c>
      <c r="M334">
        <v>30000</v>
      </c>
      <c r="N334">
        <v>26000</v>
      </c>
      <c r="O334">
        <v>4000</v>
      </c>
    </row>
    <row r="335" spans="1:15" x14ac:dyDescent="0.25">
      <c r="A335" t="s">
        <v>890</v>
      </c>
      <c r="B335" s="2">
        <v>45991</v>
      </c>
      <c r="C335" t="s">
        <v>871</v>
      </c>
      <c r="D335" t="s">
        <v>872</v>
      </c>
      <c r="E335" t="s">
        <v>26</v>
      </c>
      <c r="F335" t="s">
        <v>27</v>
      </c>
      <c r="G335" t="s">
        <v>20</v>
      </c>
      <c r="H335" t="s">
        <v>41</v>
      </c>
      <c r="I335" t="s">
        <v>42</v>
      </c>
      <c r="J335">
        <v>3</v>
      </c>
      <c r="K335">
        <v>520</v>
      </c>
      <c r="L335">
        <v>0.15</v>
      </c>
      <c r="M335">
        <v>1326</v>
      </c>
      <c r="N335">
        <v>990</v>
      </c>
      <c r="O335">
        <v>336</v>
      </c>
    </row>
    <row r="336" spans="1:15" x14ac:dyDescent="0.25">
      <c r="A336" t="s">
        <v>891</v>
      </c>
      <c r="B336" s="2">
        <v>45992</v>
      </c>
      <c r="C336" t="s">
        <v>143</v>
      </c>
      <c r="D336" t="s">
        <v>144</v>
      </c>
      <c r="E336" t="s">
        <v>18</v>
      </c>
      <c r="F336" t="s">
        <v>115</v>
      </c>
      <c r="G336" t="s">
        <v>51</v>
      </c>
      <c r="H336" t="s">
        <v>21</v>
      </c>
      <c r="I336" t="s">
        <v>116</v>
      </c>
      <c r="J336">
        <v>3</v>
      </c>
      <c r="K336">
        <v>1400</v>
      </c>
      <c r="L336">
        <v>0.05</v>
      </c>
      <c r="M336">
        <v>3990</v>
      </c>
      <c r="N336">
        <v>2700</v>
      </c>
      <c r="O336">
        <v>1290</v>
      </c>
    </row>
    <row r="337" spans="1:15" x14ac:dyDescent="0.25">
      <c r="A337" t="s">
        <v>892</v>
      </c>
      <c r="B337" s="2">
        <v>45993</v>
      </c>
      <c r="C337" t="s">
        <v>893</v>
      </c>
      <c r="D337" t="s">
        <v>894</v>
      </c>
      <c r="E337" t="s">
        <v>26</v>
      </c>
      <c r="F337" t="s">
        <v>34</v>
      </c>
      <c r="G337" t="s">
        <v>20</v>
      </c>
      <c r="H337" t="s">
        <v>84</v>
      </c>
      <c r="I337" t="s">
        <v>169</v>
      </c>
      <c r="J337">
        <v>5</v>
      </c>
      <c r="K337">
        <v>450</v>
      </c>
      <c r="L337">
        <v>0.25</v>
      </c>
      <c r="M337">
        <v>1687.5</v>
      </c>
      <c r="N337">
        <v>1300</v>
      </c>
      <c r="O337">
        <v>387.5</v>
      </c>
    </row>
    <row r="338" spans="1:15" x14ac:dyDescent="0.25">
      <c r="A338" t="s">
        <v>895</v>
      </c>
      <c r="B338" s="2">
        <v>45994</v>
      </c>
      <c r="C338" t="s">
        <v>896</v>
      </c>
      <c r="D338" t="s">
        <v>897</v>
      </c>
      <c r="E338" t="s">
        <v>26</v>
      </c>
      <c r="F338" t="s">
        <v>27</v>
      </c>
      <c r="G338" t="s">
        <v>28</v>
      </c>
      <c r="H338" t="s">
        <v>63</v>
      </c>
      <c r="I338" t="s">
        <v>64</v>
      </c>
      <c r="J338">
        <v>3</v>
      </c>
      <c r="K338">
        <v>2400</v>
      </c>
      <c r="L338">
        <v>0.15</v>
      </c>
      <c r="M338">
        <v>6120</v>
      </c>
      <c r="N338">
        <v>4950</v>
      </c>
      <c r="O338">
        <v>1170</v>
      </c>
    </row>
    <row r="339" spans="1:15" x14ac:dyDescent="0.25">
      <c r="A339" t="s">
        <v>898</v>
      </c>
      <c r="B339" s="2">
        <v>45995</v>
      </c>
      <c r="C339" t="s">
        <v>899</v>
      </c>
      <c r="D339" t="s">
        <v>900</v>
      </c>
      <c r="E339" t="s">
        <v>26</v>
      </c>
      <c r="F339" t="s">
        <v>46</v>
      </c>
      <c r="G339" t="s">
        <v>28</v>
      </c>
      <c r="H339" t="s">
        <v>29</v>
      </c>
      <c r="I339" t="s">
        <v>35</v>
      </c>
      <c r="J339">
        <v>4</v>
      </c>
      <c r="K339">
        <v>4200</v>
      </c>
      <c r="L339">
        <v>0.1</v>
      </c>
      <c r="M339">
        <v>15120</v>
      </c>
      <c r="N339">
        <v>11600</v>
      </c>
      <c r="O339">
        <v>3520</v>
      </c>
    </row>
    <row r="340" spans="1:15" x14ac:dyDescent="0.25">
      <c r="A340" t="s">
        <v>901</v>
      </c>
      <c r="B340" s="2">
        <v>45996</v>
      </c>
      <c r="C340" t="s">
        <v>902</v>
      </c>
      <c r="D340" t="s">
        <v>903</v>
      </c>
      <c r="E340" t="s">
        <v>26</v>
      </c>
      <c r="F340" t="s">
        <v>204</v>
      </c>
      <c r="G340" t="s">
        <v>20</v>
      </c>
      <c r="H340" t="s">
        <v>84</v>
      </c>
      <c r="I340" t="s">
        <v>210</v>
      </c>
      <c r="J340">
        <v>2</v>
      </c>
      <c r="K340">
        <v>300</v>
      </c>
      <c r="L340">
        <v>0.2</v>
      </c>
      <c r="M340">
        <v>480</v>
      </c>
      <c r="N340">
        <v>340</v>
      </c>
      <c r="O340">
        <v>140</v>
      </c>
    </row>
    <row r="341" spans="1:15" x14ac:dyDescent="0.25">
      <c r="A341" t="s">
        <v>904</v>
      </c>
      <c r="B341" s="2">
        <v>45997</v>
      </c>
      <c r="C341" t="s">
        <v>905</v>
      </c>
      <c r="D341" t="s">
        <v>906</v>
      </c>
      <c r="E341" t="s">
        <v>26</v>
      </c>
      <c r="F341" t="s">
        <v>27</v>
      </c>
      <c r="G341" t="s">
        <v>20</v>
      </c>
      <c r="H341" t="s">
        <v>84</v>
      </c>
      <c r="I341" t="s">
        <v>210</v>
      </c>
      <c r="J341">
        <v>1</v>
      </c>
      <c r="K341">
        <v>300</v>
      </c>
      <c r="L341">
        <v>0.25</v>
      </c>
      <c r="M341">
        <v>225</v>
      </c>
      <c r="N341">
        <v>170</v>
      </c>
      <c r="O341">
        <v>55</v>
      </c>
    </row>
    <row r="342" spans="1:15" x14ac:dyDescent="0.25">
      <c r="A342" t="s">
        <v>907</v>
      </c>
      <c r="B342" s="2">
        <v>45998</v>
      </c>
      <c r="C342" t="s">
        <v>268</v>
      </c>
      <c r="D342" t="s">
        <v>269</v>
      </c>
      <c r="E342" t="s">
        <v>96</v>
      </c>
      <c r="F342" t="s">
        <v>120</v>
      </c>
      <c r="G342" t="s">
        <v>51</v>
      </c>
      <c r="H342" t="s">
        <v>52</v>
      </c>
      <c r="I342" t="s">
        <v>53</v>
      </c>
      <c r="J342">
        <v>1</v>
      </c>
      <c r="K342">
        <v>2200</v>
      </c>
      <c r="L342">
        <v>0.1</v>
      </c>
      <c r="M342">
        <v>1980</v>
      </c>
      <c r="N342">
        <v>1450</v>
      </c>
      <c r="O342">
        <v>530</v>
      </c>
    </row>
    <row r="343" spans="1:15" x14ac:dyDescent="0.25">
      <c r="A343" t="s">
        <v>908</v>
      </c>
      <c r="B343" s="2">
        <v>45999</v>
      </c>
      <c r="C343" t="s">
        <v>909</v>
      </c>
      <c r="D343" t="s">
        <v>910</v>
      </c>
      <c r="E343" t="s">
        <v>18</v>
      </c>
      <c r="F343" t="s">
        <v>115</v>
      </c>
      <c r="G343" t="s">
        <v>28</v>
      </c>
      <c r="H343" t="s">
        <v>29</v>
      </c>
      <c r="I343" t="s">
        <v>30</v>
      </c>
      <c r="J343">
        <v>4</v>
      </c>
      <c r="K343">
        <v>1900</v>
      </c>
      <c r="L343">
        <v>0.05</v>
      </c>
      <c r="M343">
        <v>7220</v>
      </c>
      <c r="N343">
        <v>5000</v>
      </c>
      <c r="O343">
        <v>2220</v>
      </c>
    </row>
    <row r="344" spans="1:15" x14ac:dyDescent="0.25">
      <c r="A344" t="s">
        <v>911</v>
      </c>
      <c r="B344" s="2">
        <v>46000</v>
      </c>
      <c r="C344" t="s">
        <v>912</v>
      </c>
      <c r="D344" t="s">
        <v>913</v>
      </c>
      <c r="E344" t="s">
        <v>26</v>
      </c>
      <c r="F344" t="s">
        <v>27</v>
      </c>
      <c r="G344" t="s">
        <v>51</v>
      </c>
      <c r="H344" t="s">
        <v>21</v>
      </c>
      <c r="I344" t="s">
        <v>72</v>
      </c>
      <c r="J344">
        <v>5</v>
      </c>
      <c r="K344">
        <v>1800</v>
      </c>
      <c r="L344">
        <v>0.25</v>
      </c>
      <c r="M344">
        <v>6750</v>
      </c>
      <c r="N344">
        <v>5500</v>
      </c>
      <c r="O344">
        <v>1250</v>
      </c>
    </row>
    <row r="345" spans="1:15" x14ac:dyDescent="0.25">
      <c r="A345" t="s">
        <v>914</v>
      </c>
      <c r="B345" s="2">
        <v>46001</v>
      </c>
      <c r="C345" t="s">
        <v>915</v>
      </c>
      <c r="D345" t="s">
        <v>916</v>
      </c>
      <c r="E345" t="s">
        <v>39</v>
      </c>
      <c r="F345" t="s">
        <v>76</v>
      </c>
      <c r="G345" t="s">
        <v>57</v>
      </c>
      <c r="H345" t="s">
        <v>188</v>
      </c>
      <c r="I345" t="s">
        <v>189</v>
      </c>
      <c r="J345">
        <v>5</v>
      </c>
      <c r="K345">
        <v>6200</v>
      </c>
      <c r="L345">
        <v>0.2</v>
      </c>
      <c r="M345">
        <v>24800</v>
      </c>
      <c r="N345">
        <v>21500</v>
      </c>
      <c r="O345">
        <v>3300</v>
      </c>
    </row>
    <row r="346" spans="1:15" x14ac:dyDescent="0.25">
      <c r="A346" t="s">
        <v>917</v>
      </c>
      <c r="B346" s="2">
        <v>46002</v>
      </c>
      <c r="C346" t="s">
        <v>918</v>
      </c>
      <c r="D346" t="s">
        <v>919</v>
      </c>
      <c r="E346" t="s">
        <v>18</v>
      </c>
      <c r="F346" t="s">
        <v>227</v>
      </c>
      <c r="G346" t="s">
        <v>57</v>
      </c>
      <c r="H346" t="s">
        <v>58</v>
      </c>
      <c r="I346" t="s">
        <v>129</v>
      </c>
      <c r="J346">
        <v>1</v>
      </c>
      <c r="K346">
        <v>4800</v>
      </c>
      <c r="L346">
        <v>0</v>
      </c>
      <c r="M346">
        <v>4800</v>
      </c>
      <c r="N346">
        <v>3300</v>
      </c>
      <c r="O346">
        <v>1500</v>
      </c>
    </row>
    <row r="347" spans="1:15" x14ac:dyDescent="0.25">
      <c r="A347" t="s">
        <v>920</v>
      </c>
      <c r="B347" s="2">
        <v>46003</v>
      </c>
      <c r="C347" t="s">
        <v>623</v>
      </c>
      <c r="D347" t="s">
        <v>624</v>
      </c>
      <c r="E347" t="s">
        <v>26</v>
      </c>
      <c r="F347" t="s">
        <v>128</v>
      </c>
      <c r="G347" t="s">
        <v>20</v>
      </c>
      <c r="H347" t="s">
        <v>84</v>
      </c>
      <c r="I347" t="s">
        <v>85</v>
      </c>
      <c r="J347">
        <v>5</v>
      </c>
      <c r="K347">
        <v>280</v>
      </c>
      <c r="L347">
        <v>0</v>
      </c>
      <c r="M347">
        <v>1400</v>
      </c>
      <c r="N347">
        <v>800</v>
      </c>
      <c r="O347">
        <v>600</v>
      </c>
    </row>
    <row r="348" spans="1:15" x14ac:dyDescent="0.25">
      <c r="A348" t="s">
        <v>921</v>
      </c>
      <c r="B348" s="2">
        <v>46004</v>
      </c>
      <c r="C348" t="s">
        <v>922</v>
      </c>
      <c r="D348" t="s">
        <v>923</v>
      </c>
      <c r="E348" t="s">
        <v>96</v>
      </c>
      <c r="F348" t="s">
        <v>200</v>
      </c>
      <c r="G348" t="s">
        <v>51</v>
      </c>
      <c r="H348" t="s">
        <v>52</v>
      </c>
      <c r="I348" t="s">
        <v>208</v>
      </c>
      <c r="J348">
        <v>3</v>
      </c>
      <c r="K348">
        <v>2800</v>
      </c>
      <c r="L348">
        <v>0.25</v>
      </c>
      <c r="M348">
        <v>6300</v>
      </c>
      <c r="N348">
        <v>5400</v>
      </c>
      <c r="O348">
        <v>900</v>
      </c>
    </row>
    <row r="349" spans="1:15" x14ac:dyDescent="0.25">
      <c r="A349" t="s">
        <v>924</v>
      </c>
      <c r="B349" s="2">
        <v>46005</v>
      </c>
      <c r="C349" t="s">
        <v>766</v>
      </c>
      <c r="D349" t="s">
        <v>767</v>
      </c>
      <c r="E349" t="s">
        <v>26</v>
      </c>
      <c r="F349" t="s">
        <v>27</v>
      </c>
      <c r="G349" t="s">
        <v>28</v>
      </c>
      <c r="H349" t="s">
        <v>29</v>
      </c>
      <c r="I349" t="s">
        <v>35</v>
      </c>
      <c r="J349">
        <v>2</v>
      </c>
      <c r="K349">
        <v>4200</v>
      </c>
      <c r="L349">
        <v>0.2</v>
      </c>
      <c r="M349">
        <v>6720</v>
      </c>
      <c r="N349">
        <v>5800</v>
      </c>
      <c r="O349">
        <v>920</v>
      </c>
    </row>
    <row r="350" spans="1:15" x14ac:dyDescent="0.25">
      <c r="A350" t="s">
        <v>925</v>
      </c>
      <c r="B350" s="2">
        <v>46006</v>
      </c>
      <c r="C350" t="s">
        <v>926</v>
      </c>
      <c r="D350" t="s">
        <v>927</v>
      </c>
      <c r="E350" t="s">
        <v>18</v>
      </c>
      <c r="F350" t="s">
        <v>19</v>
      </c>
      <c r="G350" t="s">
        <v>20</v>
      </c>
      <c r="H350" t="s">
        <v>41</v>
      </c>
      <c r="I350" t="s">
        <v>42</v>
      </c>
      <c r="J350">
        <v>2</v>
      </c>
      <c r="K350">
        <v>520</v>
      </c>
      <c r="L350">
        <v>0.15</v>
      </c>
      <c r="M350">
        <v>884</v>
      </c>
      <c r="N350">
        <v>660</v>
      </c>
      <c r="O350">
        <v>224</v>
      </c>
    </row>
    <row r="351" spans="1:15" x14ac:dyDescent="0.25">
      <c r="A351" t="s">
        <v>928</v>
      </c>
      <c r="B351" s="2">
        <v>46007</v>
      </c>
      <c r="C351" t="s">
        <v>929</v>
      </c>
      <c r="D351" t="s">
        <v>930</v>
      </c>
      <c r="E351" t="s">
        <v>26</v>
      </c>
      <c r="F351" t="s">
        <v>34</v>
      </c>
      <c r="G351" t="s">
        <v>51</v>
      </c>
      <c r="H351" t="s">
        <v>21</v>
      </c>
      <c r="I351" t="s">
        <v>72</v>
      </c>
      <c r="J351">
        <v>4</v>
      </c>
      <c r="K351">
        <v>1800</v>
      </c>
      <c r="L351">
        <v>0</v>
      </c>
      <c r="M351">
        <v>7200</v>
      </c>
      <c r="N351">
        <v>4400</v>
      </c>
      <c r="O351">
        <v>2800</v>
      </c>
    </row>
    <row r="352" spans="1:15" x14ac:dyDescent="0.25">
      <c r="A352" t="s">
        <v>931</v>
      </c>
      <c r="B352" s="2">
        <v>46008</v>
      </c>
      <c r="C352" t="s">
        <v>453</v>
      </c>
      <c r="D352" t="s">
        <v>454</v>
      </c>
      <c r="E352" t="s">
        <v>26</v>
      </c>
      <c r="F352" t="s">
        <v>27</v>
      </c>
      <c r="G352" t="s">
        <v>20</v>
      </c>
      <c r="H352" t="s">
        <v>84</v>
      </c>
      <c r="I352" t="s">
        <v>85</v>
      </c>
      <c r="J352">
        <v>3</v>
      </c>
      <c r="K352">
        <v>280</v>
      </c>
      <c r="L352">
        <v>0.1</v>
      </c>
      <c r="M352">
        <v>756</v>
      </c>
      <c r="N352">
        <v>480</v>
      </c>
      <c r="O352">
        <v>276</v>
      </c>
    </row>
    <row r="353" spans="1:15" x14ac:dyDescent="0.25">
      <c r="A353" t="s">
        <v>932</v>
      </c>
      <c r="B353" s="2">
        <v>46009</v>
      </c>
      <c r="C353" t="s">
        <v>427</v>
      </c>
      <c r="D353" t="s">
        <v>428</v>
      </c>
      <c r="E353" t="s">
        <v>26</v>
      </c>
      <c r="F353" t="s">
        <v>46</v>
      </c>
      <c r="G353" t="s">
        <v>20</v>
      </c>
      <c r="H353" t="s">
        <v>41</v>
      </c>
      <c r="I353" t="s">
        <v>42</v>
      </c>
      <c r="J353">
        <v>2</v>
      </c>
      <c r="K353">
        <v>520</v>
      </c>
      <c r="L353">
        <v>0.05</v>
      </c>
      <c r="M353">
        <v>988</v>
      </c>
      <c r="N353">
        <v>660</v>
      </c>
      <c r="O353">
        <v>328</v>
      </c>
    </row>
    <row r="354" spans="1:15" x14ac:dyDescent="0.25">
      <c r="A354" t="s">
        <v>933</v>
      </c>
      <c r="B354" s="2">
        <v>46010</v>
      </c>
      <c r="C354" t="s">
        <v>934</v>
      </c>
      <c r="D354" t="s">
        <v>935</v>
      </c>
      <c r="E354" t="s">
        <v>26</v>
      </c>
      <c r="F354" t="s">
        <v>27</v>
      </c>
      <c r="G354" t="s">
        <v>20</v>
      </c>
      <c r="H354" t="s">
        <v>21</v>
      </c>
      <c r="I354" t="s">
        <v>22</v>
      </c>
      <c r="J354">
        <v>3</v>
      </c>
      <c r="K354">
        <v>650</v>
      </c>
      <c r="L354">
        <v>0.05</v>
      </c>
      <c r="M354">
        <v>1852.5</v>
      </c>
      <c r="N354">
        <v>1170</v>
      </c>
      <c r="O354">
        <v>682.5</v>
      </c>
    </row>
    <row r="355" spans="1:15" x14ac:dyDescent="0.25">
      <c r="A355" t="s">
        <v>936</v>
      </c>
      <c r="B355" s="2">
        <v>46011</v>
      </c>
      <c r="C355" t="s">
        <v>146</v>
      </c>
      <c r="D355" t="s">
        <v>147</v>
      </c>
      <c r="E355" t="s">
        <v>39</v>
      </c>
      <c r="F355" t="s">
        <v>76</v>
      </c>
      <c r="G355" t="s">
        <v>57</v>
      </c>
      <c r="H355" t="s">
        <v>58</v>
      </c>
      <c r="I355" t="s">
        <v>59</v>
      </c>
      <c r="J355">
        <v>5</v>
      </c>
      <c r="K355">
        <v>5600</v>
      </c>
      <c r="L355">
        <v>0.15</v>
      </c>
      <c r="M355">
        <v>23800</v>
      </c>
      <c r="N355">
        <v>19500</v>
      </c>
      <c r="O355">
        <v>4300</v>
      </c>
    </row>
    <row r="356" spans="1:15" x14ac:dyDescent="0.25">
      <c r="A356" t="s">
        <v>937</v>
      </c>
      <c r="B356" s="2">
        <v>46012</v>
      </c>
      <c r="C356" t="s">
        <v>938</v>
      </c>
      <c r="D356" t="s">
        <v>939</v>
      </c>
      <c r="E356" t="s">
        <v>26</v>
      </c>
      <c r="F356" t="s">
        <v>128</v>
      </c>
      <c r="G356" t="s">
        <v>51</v>
      </c>
      <c r="H356" t="s">
        <v>52</v>
      </c>
      <c r="I356" t="s">
        <v>208</v>
      </c>
      <c r="J356">
        <v>5</v>
      </c>
      <c r="K356">
        <v>2800</v>
      </c>
      <c r="L356">
        <v>0.05</v>
      </c>
      <c r="M356">
        <v>13300</v>
      </c>
      <c r="N356">
        <v>9000</v>
      </c>
      <c r="O356">
        <v>4300</v>
      </c>
    </row>
    <row r="357" spans="1:15" x14ac:dyDescent="0.25">
      <c r="A357" t="s">
        <v>940</v>
      </c>
      <c r="B357" s="2">
        <v>46013</v>
      </c>
      <c r="C357" t="s">
        <v>941</v>
      </c>
      <c r="D357" t="s">
        <v>942</v>
      </c>
      <c r="E357" t="s">
        <v>39</v>
      </c>
      <c r="F357" t="s">
        <v>40</v>
      </c>
      <c r="G357" t="s">
        <v>57</v>
      </c>
      <c r="H357" t="s">
        <v>58</v>
      </c>
      <c r="I357" t="s">
        <v>59</v>
      </c>
      <c r="J357">
        <v>2</v>
      </c>
      <c r="K357">
        <v>5600</v>
      </c>
      <c r="L357">
        <v>0.25</v>
      </c>
      <c r="M357">
        <v>8400</v>
      </c>
      <c r="N357">
        <v>7800</v>
      </c>
      <c r="O357">
        <v>600</v>
      </c>
    </row>
    <row r="358" spans="1:15" x14ac:dyDescent="0.25">
      <c r="A358" t="s">
        <v>943</v>
      </c>
      <c r="B358" s="2">
        <v>46014</v>
      </c>
      <c r="C358" t="s">
        <v>582</v>
      </c>
      <c r="D358" t="s">
        <v>583</v>
      </c>
      <c r="E358" t="s">
        <v>26</v>
      </c>
      <c r="F358" t="s">
        <v>204</v>
      </c>
      <c r="G358" t="s">
        <v>28</v>
      </c>
      <c r="H358" t="s">
        <v>29</v>
      </c>
      <c r="I358" t="s">
        <v>47</v>
      </c>
      <c r="J358">
        <v>4</v>
      </c>
      <c r="K358">
        <v>6800</v>
      </c>
      <c r="L358">
        <v>0.1</v>
      </c>
      <c r="M358">
        <v>24480</v>
      </c>
      <c r="N358">
        <v>18800</v>
      </c>
      <c r="O358">
        <v>5680</v>
      </c>
    </row>
    <row r="359" spans="1:15" x14ac:dyDescent="0.25">
      <c r="A359" t="s">
        <v>944</v>
      </c>
      <c r="B359" s="2">
        <v>46015</v>
      </c>
      <c r="C359" t="s">
        <v>945</v>
      </c>
      <c r="D359" t="s">
        <v>946</v>
      </c>
      <c r="E359" t="s">
        <v>96</v>
      </c>
      <c r="F359" t="s">
        <v>120</v>
      </c>
      <c r="G359" t="s">
        <v>28</v>
      </c>
      <c r="H359" t="s">
        <v>63</v>
      </c>
      <c r="I359" t="s">
        <v>64</v>
      </c>
      <c r="J359">
        <v>4</v>
      </c>
      <c r="K359">
        <v>2400</v>
      </c>
      <c r="L359">
        <v>0.1</v>
      </c>
      <c r="M359">
        <v>8640</v>
      </c>
      <c r="N359">
        <v>6600</v>
      </c>
      <c r="O359">
        <v>2040</v>
      </c>
    </row>
    <row r="360" spans="1:15" x14ac:dyDescent="0.25">
      <c r="A360" t="s">
        <v>947</v>
      </c>
      <c r="B360" s="2">
        <v>46016</v>
      </c>
      <c r="C360" t="s">
        <v>948</v>
      </c>
      <c r="D360" t="s">
        <v>949</v>
      </c>
      <c r="E360" t="s">
        <v>26</v>
      </c>
      <c r="F360" t="s">
        <v>46</v>
      </c>
      <c r="G360" t="s">
        <v>20</v>
      </c>
      <c r="H360" t="s">
        <v>21</v>
      </c>
      <c r="I360" t="s">
        <v>22</v>
      </c>
      <c r="J360">
        <v>1</v>
      </c>
      <c r="K360">
        <v>650</v>
      </c>
      <c r="L360">
        <v>0</v>
      </c>
      <c r="M360">
        <v>650</v>
      </c>
      <c r="N360">
        <v>390</v>
      </c>
      <c r="O360">
        <v>260</v>
      </c>
    </row>
    <row r="361" spans="1:15" x14ac:dyDescent="0.25">
      <c r="A361" t="s">
        <v>950</v>
      </c>
      <c r="B361" s="2">
        <v>46017</v>
      </c>
      <c r="C361" t="s">
        <v>559</v>
      </c>
      <c r="D361" t="s">
        <v>560</v>
      </c>
      <c r="E361" t="s">
        <v>26</v>
      </c>
      <c r="F361" t="s">
        <v>27</v>
      </c>
      <c r="G361" t="s">
        <v>28</v>
      </c>
      <c r="H361" t="s">
        <v>63</v>
      </c>
      <c r="I361" t="s">
        <v>64</v>
      </c>
      <c r="J361">
        <v>4</v>
      </c>
      <c r="K361">
        <v>2400</v>
      </c>
      <c r="L361">
        <v>0.05</v>
      </c>
      <c r="M361">
        <v>9120</v>
      </c>
      <c r="N361">
        <v>6600</v>
      </c>
      <c r="O361">
        <v>2520</v>
      </c>
    </row>
    <row r="362" spans="1:15" x14ac:dyDescent="0.25">
      <c r="A362" t="s">
        <v>951</v>
      </c>
      <c r="B362" s="2">
        <v>46018</v>
      </c>
      <c r="C362" t="s">
        <v>747</v>
      </c>
      <c r="D362" t="s">
        <v>748</v>
      </c>
      <c r="E362" t="s">
        <v>26</v>
      </c>
      <c r="F362" t="s">
        <v>46</v>
      </c>
      <c r="G362" t="s">
        <v>51</v>
      </c>
      <c r="H362" t="s">
        <v>21</v>
      </c>
      <c r="I362" t="s">
        <v>80</v>
      </c>
      <c r="J362">
        <v>5</v>
      </c>
      <c r="K362">
        <v>850</v>
      </c>
      <c r="L362">
        <v>0.1</v>
      </c>
      <c r="M362">
        <v>3825</v>
      </c>
      <c r="N362">
        <v>2800</v>
      </c>
      <c r="O362">
        <v>1025</v>
      </c>
    </row>
    <row r="363" spans="1:15" x14ac:dyDescent="0.25">
      <c r="A363" t="s">
        <v>952</v>
      </c>
      <c r="B363" s="2">
        <v>46019</v>
      </c>
      <c r="C363" t="s">
        <v>463</v>
      </c>
      <c r="D363" t="s">
        <v>464</v>
      </c>
      <c r="E363" t="s">
        <v>96</v>
      </c>
      <c r="F363" t="s">
        <v>200</v>
      </c>
      <c r="G363" t="s">
        <v>51</v>
      </c>
      <c r="H363" t="s">
        <v>52</v>
      </c>
      <c r="I363" t="s">
        <v>208</v>
      </c>
      <c r="J363">
        <v>1</v>
      </c>
      <c r="K363">
        <v>2800</v>
      </c>
      <c r="L363">
        <v>0.05</v>
      </c>
      <c r="M363">
        <v>2660</v>
      </c>
      <c r="N363">
        <v>1800</v>
      </c>
      <c r="O363">
        <v>860</v>
      </c>
    </row>
    <row r="364" spans="1:15" x14ac:dyDescent="0.25">
      <c r="A364" t="s">
        <v>953</v>
      </c>
      <c r="B364" s="2">
        <v>46020</v>
      </c>
      <c r="C364" t="s">
        <v>954</v>
      </c>
      <c r="D364" t="s">
        <v>955</v>
      </c>
      <c r="E364" t="s">
        <v>18</v>
      </c>
      <c r="F364" t="s">
        <v>19</v>
      </c>
      <c r="G364" t="s">
        <v>20</v>
      </c>
      <c r="H364" t="s">
        <v>84</v>
      </c>
      <c r="I364" t="s">
        <v>85</v>
      </c>
      <c r="J364">
        <v>1</v>
      </c>
      <c r="K364">
        <v>280</v>
      </c>
      <c r="L364">
        <v>0.25</v>
      </c>
      <c r="M364">
        <v>210</v>
      </c>
      <c r="N364">
        <v>160</v>
      </c>
      <c r="O364">
        <v>50</v>
      </c>
    </row>
    <row r="365" spans="1:15" x14ac:dyDescent="0.25">
      <c r="A365" t="s">
        <v>956</v>
      </c>
      <c r="B365" s="2">
        <v>46021</v>
      </c>
      <c r="C365" t="s">
        <v>957</v>
      </c>
      <c r="D365" t="s">
        <v>958</v>
      </c>
      <c r="E365" t="s">
        <v>39</v>
      </c>
      <c r="F365" t="s">
        <v>40</v>
      </c>
      <c r="G365" t="s">
        <v>20</v>
      </c>
      <c r="H365" t="s">
        <v>84</v>
      </c>
      <c r="I365" t="s">
        <v>210</v>
      </c>
      <c r="J365">
        <v>2</v>
      </c>
      <c r="K365">
        <v>300</v>
      </c>
      <c r="L365">
        <v>0.25</v>
      </c>
      <c r="M365">
        <v>450</v>
      </c>
      <c r="N365">
        <v>340</v>
      </c>
      <c r="O365">
        <v>110</v>
      </c>
    </row>
    <row r="366" spans="1:15" x14ac:dyDescent="0.25">
      <c r="A366" t="s">
        <v>959</v>
      </c>
      <c r="B366" s="2">
        <v>46022</v>
      </c>
      <c r="C366" t="s">
        <v>960</v>
      </c>
      <c r="D366" t="s">
        <v>961</v>
      </c>
      <c r="E366" t="s">
        <v>26</v>
      </c>
      <c r="F366" t="s">
        <v>128</v>
      </c>
      <c r="G366" t="s">
        <v>51</v>
      </c>
      <c r="H366" t="s">
        <v>52</v>
      </c>
      <c r="I366" t="s">
        <v>53</v>
      </c>
      <c r="J366">
        <v>3</v>
      </c>
      <c r="K366">
        <v>2200</v>
      </c>
      <c r="L366">
        <v>0.05</v>
      </c>
      <c r="M366">
        <v>6270</v>
      </c>
      <c r="N366">
        <v>4350</v>
      </c>
      <c r="O366">
        <v>1920</v>
      </c>
    </row>
    <row r="367" spans="1:15" x14ac:dyDescent="0.25">
      <c r="A367" t="s">
        <v>962</v>
      </c>
      <c r="B367" s="2">
        <v>46023</v>
      </c>
      <c r="C367" t="s">
        <v>390</v>
      </c>
      <c r="D367" t="s">
        <v>391</v>
      </c>
      <c r="E367" t="s">
        <v>18</v>
      </c>
      <c r="F367" t="s">
        <v>227</v>
      </c>
      <c r="G367" t="s">
        <v>57</v>
      </c>
      <c r="H367" t="s">
        <v>104</v>
      </c>
      <c r="I367" t="s">
        <v>105</v>
      </c>
      <c r="J367">
        <v>3</v>
      </c>
      <c r="K367">
        <v>7500</v>
      </c>
      <c r="L367">
        <v>0.2</v>
      </c>
      <c r="M367">
        <v>18000</v>
      </c>
      <c r="N367">
        <v>15600</v>
      </c>
      <c r="O367">
        <v>2400</v>
      </c>
    </row>
    <row r="368" spans="1:15" x14ac:dyDescent="0.25">
      <c r="A368" t="s">
        <v>963</v>
      </c>
      <c r="B368" s="2">
        <v>46024</v>
      </c>
      <c r="C368" t="s">
        <v>420</v>
      </c>
      <c r="D368" t="s">
        <v>421</v>
      </c>
      <c r="E368" t="s">
        <v>26</v>
      </c>
      <c r="F368" t="s">
        <v>204</v>
      </c>
      <c r="G368" t="s">
        <v>20</v>
      </c>
      <c r="H368" t="s">
        <v>84</v>
      </c>
      <c r="I368" t="s">
        <v>85</v>
      </c>
      <c r="J368">
        <v>1</v>
      </c>
      <c r="K368">
        <v>280</v>
      </c>
      <c r="L368">
        <v>0</v>
      </c>
      <c r="M368">
        <v>280</v>
      </c>
      <c r="N368">
        <v>160</v>
      </c>
      <c r="O368">
        <v>120</v>
      </c>
    </row>
    <row r="369" spans="1:15" x14ac:dyDescent="0.25">
      <c r="A369" t="s">
        <v>964</v>
      </c>
      <c r="B369" s="2">
        <v>46025</v>
      </c>
      <c r="C369" t="s">
        <v>256</v>
      </c>
      <c r="D369" t="s">
        <v>257</v>
      </c>
      <c r="E369" t="s">
        <v>26</v>
      </c>
      <c r="F369" t="s">
        <v>128</v>
      </c>
      <c r="G369" t="s">
        <v>20</v>
      </c>
      <c r="H369" t="s">
        <v>84</v>
      </c>
      <c r="I369" t="s">
        <v>210</v>
      </c>
      <c r="J369">
        <v>4</v>
      </c>
      <c r="K369">
        <v>300</v>
      </c>
      <c r="L369">
        <v>0.15</v>
      </c>
      <c r="M369">
        <v>1020</v>
      </c>
      <c r="N369">
        <v>680</v>
      </c>
      <c r="O369">
        <v>340</v>
      </c>
    </row>
    <row r="370" spans="1:15" x14ac:dyDescent="0.25">
      <c r="A370" t="s">
        <v>965</v>
      </c>
      <c r="B370" s="2">
        <v>46026</v>
      </c>
      <c r="C370" t="s">
        <v>966</v>
      </c>
      <c r="D370" t="s">
        <v>967</v>
      </c>
      <c r="E370" t="s">
        <v>39</v>
      </c>
      <c r="F370" t="s">
        <v>71</v>
      </c>
      <c r="G370" t="s">
        <v>57</v>
      </c>
      <c r="H370" t="s">
        <v>104</v>
      </c>
      <c r="I370" t="s">
        <v>105</v>
      </c>
      <c r="J370">
        <v>1</v>
      </c>
      <c r="K370">
        <v>7500</v>
      </c>
      <c r="L370">
        <v>0.15</v>
      </c>
      <c r="M370">
        <v>6375</v>
      </c>
      <c r="N370">
        <v>5200</v>
      </c>
      <c r="O370">
        <v>1175</v>
      </c>
    </row>
    <row r="371" spans="1:15" x14ac:dyDescent="0.25">
      <c r="A371" t="s">
        <v>968</v>
      </c>
      <c r="B371" s="2">
        <v>46027</v>
      </c>
      <c r="C371" t="s">
        <v>969</v>
      </c>
      <c r="D371" t="s">
        <v>970</v>
      </c>
      <c r="E371" t="s">
        <v>96</v>
      </c>
      <c r="F371" t="s">
        <v>120</v>
      </c>
      <c r="G371" t="s">
        <v>51</v>
      </c>
      <c r="H371" t="s">
        <v>89</v>
      </c>
      <c r="I371" t="s">
        <v>90</v>
      </c>
      <c r="J371">
        <v>5</v>
      </c>
      <c r="K371">
        <v>10500</v>
      </c>
      <c r="L371">
        <v>0.15</v>
      </c>
      <c r="M371">
        <v>44625</v>
      </c>
      <c r="N371">
        <v>38000</v>
      </c>
      <c r="O371">
        <v>6625</v>
      </c>
    </row>
    <row r="372" spans="1:15" x14ac:dyDescent="0.25">
      <c r="A372" t="s">
        <v>971</v>
      </c>
      <c r="B372" s="2">
        <v>46028</v>
      </c>
      <c r="C372" t="s">
        <v>527</v>
      </c>
      <c r="D372" t="s">
        <v>528</v>
      </c>
      <c r="E372" t="s">
        <v>18</v>
      </c>
      <c r="F372" t="s">
        <v>227</v>
      </c>
      <c r="G372" t="s">
        <v>20</v>
      </c>
      <c r="H372" t="s">
        <v>84</v>
      </c>
      <c r="I372" t="s">
        <v>85</v>
      </c>
      <c r="J372">
        <v>1</v>
      </c>
      <c r="K372">
        <v>280</v>
      </c>
      <c r="L372">
        <v>0.15</v>
      </c>
      <c r="M372">
        <v>238</v>
      </c>
      <c r="N372">
        <v>160</v>
      </c>
      <c r="O372">
        <v>78</v>
      </c>
    </row>
    <row r="373" spans="1:15" x14ac:dyDescent="0.25">
      <c r="A373" t="s">
        <v>972</v>
      </c>
      <c r="B373" s="2">
        <v>46029</v>
      </c>
      <c r="C373" t="s">
        <v>834</v>
      </c>
      <c r="D373" t="s">
        <v>835</v>
      </c>
      <c r="E373" t="s">
        <v>26</v>
      </c>
      <c r="F373" t="s">
        <v>128</v>
      </c>
      <c r="G373" t="s">
        <v>20</v>
      </c>
      <c r="H373" t="s">
        <v>41</v>
      </c>
      <c r="I373" t="s">
        <v>42</v>
      </c>
      <c r="J373">
        <v>5</v>
      </c>
      <c r="K373">
        <v>520</v>
      </c>
      <c r="L373">
        <v>0.15</v>
      </c>
      <c r="M373">
        <v>2210</v>
      </c>
      <c r="N373">
        <v>1650</v>
      </c>
      <c r="O373">
        <v>560</v>
      </c>
    </row>
    <row r="374" spans="1:15" x14ac:dyDescent="0.25">
      <c r="A374" t="s">
        <v>973</v>
      </c>
      <c r="B374" s="2">
        <v>46030</v>
      </c>
      <c r="C374" t="s">
        <v>974</v>
      </c>
      <c r="D374" t="s">
        <v>975</v>
      </c>
      <c r="E374" t="s">
        <v>96</v>
      </c>
      <c r="F374" t="s">
        <v>196</v>
      </c>
      <c r="G374" t="s">
        <v>20</v>
      </c>
      <c r="H374" t="s">
        <v>84</v>
      </c>
      <c r="I374" t="s">
        <v>169</v>
      </c>
      <c r="J374">
        <v>1</v>
      </c>
      <c r="K374">
        <v>450</v>
      </c>
      <c r="L374">
        <v>0.15</v>
      </c>
      <c r="M374">
        <v>382.5</v>
      </c>
      <c r="N374">
        <v>260</v>
      </c>
      <c r="O374">
        <v>122.5</v>
      </c>
    </row>
    <row r="375" spans="1:15" x14ac:dyDescent="0.25">
      <c r="A375" t="s">
        <v>976</v>
      </c>
      <c r="B375" s="2">
        <v>46031</v>
      </c>
      <c r="C375" t="s">
        <v>977</v>
      </c>
      <c r="D375" t="s">
        <v>978</v>
      </c>
      <c r="E375" t="s">
        <v>18</v>
      </c>
      <c r="F375" t="s">
        <v>94</v>
      </c>
      <c r="G375" t="s">
        <v>57</v>
      </c>
      <c r="H375" t="s">
        <v>58</v>
      </c>
      <c r="I375" t="s">
        <v>129</v>
      </c>
      <c r="J375">
        <v>5</v>
      </c>
      <c r="K375">
        <v>4800</v>
      </c>
      <c r="L375">
        <v>0.15</v>
      </c>
      <c r="M375">
        <v>20400</v>
      </c>
      <c r="N375">
        <v>16500</v>
      </c>
      <c r="O375">
        <v>3900</v>
      </c>
    </row>
    <row r="376" spans="1:15" x14ac:dyDescent="0.25">
      <c r="A376" t="s">
        <v>979</v>
      </c>
      <c r="B376" s="2">
        <v>46032</v>
      </c>
      <c r="C376" t="s">
        <v>980</v>
      </c>
      <c r="D376" t="s">
        <v>981</v>
      </c>
      <c r="E376" t="s">
        <v>26</v>
      </c>
      <c r="F376" t="s">
        <v>204</v>
      </c>
      <c r="G376" t="s">
        <v>20</v>
      </c>
      <c r="H376" t="s">
        <v>84</v>
      </c>
      <c r="I376" t="s">
        <v>169</v>
      </c>
      <c r="J376">
        <v>1</v>
      </c>
      <c r="K376">
        <v>450</v>
      </c>
      <c r="L376">
        <v>0.15</v>
      </c>
      <c r="M376">
        <v>382.5</v>
      </c>
      <c r="N376">
        <v>260</v>
      </c>
      <c r="O376">
        <v>122.5</v>
      </c>
    </row>
    <row r="377" spans="1:15" x14ac:dyDescent="0.25">
      <c r="A377" t="s">
        <v>982</v>
      </c>
      <c r="B377" s="2">
        <v>46033</v>
      </c>
      <c r="C377" t="s">
        <v>983</v>
      </c>
      <c r="D377" t="s">
        <v>984</v>
      </c>
      <c r="E377" t="s">
        <v>39</v>
      </c>
      <c r="F377" t="s">
        <v>40</v>
      </c>
      <c r="G377" t="s">
        <v>57</v>
      </c>
      <c r="H377" t="s">
        <v>58</v>
      </c>
      <c r="I377" t="s">
        <v>59</v>
      </c>
      <c r="J377">
        <v>3</v>
      </c>
      <c r="K377">
        <v>5600</v>
      </c>
      <c r="L377">
        <v>0.1</v>
      </c>
      <c r="M377">
        <v>15120</v>
      </c>
      <c r="N377">
        <v>11700</v>
      </c>
      <c r="O377">
        <v>3420</v>
      </c>
    </row>
    <row r="378" spans="1:15" x14ac:dyDescent="0.25">
      <c r="A378" t="s">
        <v>985</v>
      </c>
      <c r="B378" s="2">
        <v>46034</v>
      </c>
      <c r="C378" t="s">
        <v>986</v>
      </c>
      <c r="D378" t="s">
        <v>987</v>
      </c>
      <c r="E378" t="s">
        <v>39</v>
      </c>
      <c r="F378" t="s">
        <v>124</v>
      </c>
      <c r="G378" t="s">
        <v>28</v>
      </c>
      <c r="H378" t="s">
        <v>29</v>
      </c>
      <c r="I378" t="s">
        <v>47</v>
      </c>
      <c r="J378">
        <v>3</v>
      </c>
      <c r="K378">
        <v>6800</v>
      </c>
      <c r="L378">
        <v>0.05</v>
      </c>
      <c r="M378">
        <v>19380</v>
      </c>
      <c r="N378">
        <v>14100</v>
      </c>
      <c r="O378">
        <v>5280</v>
      </c>
    </row>
    <row r="379" spans="1:15" x14ac:dyDescent="0.25">
      <c r="A379" t="s">
        <v>988</v>
      </c>
      <c r="B379" s="2">
        <v>46035</v>
      </c>
      <c r="C379" t="s">
        <v>715</v>
      </c>
      <c r="D379" t="s">
        <v>716</v>
      </c>
      <c r="E379" t="s">
        <v>96</v>
      </c>
      <c r="F379" t="s">
        <v>196</v>
      </c>
      <c r="G379" t="s">
        <v>51</v>
      </c>
      <c r="H379" t="s">
        <v>89</v>
      </c>
      <c r="I379" t="s">
        <v>90</v>
      </c>
      <c r="J379">
        <v>3</v>
      </c>
      <c r="K379">
        <v>10500</v>
      </c>
      <c r="L379">
        <v>0.15</v>
      </c>
      <c r="M379">
        <v>26775</v>
      </c>
      <c r="N379">
        <v>22800</v>
      </c>
      <c r="O379">
        <v>3975</v>
      </c>
    </row>
    <row r="380" spans="1:15" x14ac:dyDescent="0.25">
      <c r="A380" t="s">
        <v>989</v>
      </c>
      <c r="B380" s="2">
        <v>46036</v>
      </c>
      <c r="C380" t="s">
        <v>990</v>
      </c>
      <c r="D380" t="s">
        <v>991</v>
      </c>
      <c r="E380" t="s">
        <v>39</v>
      </c>
      <c r="F380" t="s">
        <v>71</v>
      </c>
      <c r="G380" t="s">
        <v>57</v>
      </c>
      <c r="H380" t="s">
        <v>188</v>
      </c>
      <c r="I380" t="s">
        <v>189</v>
      </c>
      <c r="J380">
        <v>5</v>
      </c>
      <c r="K380">
        <v>6200</v>
      </c>
      <c r="L380">
        <v>0</v>
      </c>
      <c r="M380">
        <v>31000</v>
      </c>
      <c r="N380">
        <v>21500</v>
      </c>
      <c r="O380">
        <v>9500</v>
      </c>
    </row>
    <row r="381" spans="1:15" x14ac:dyDescent="0.25">
      <c r="A381" t="s">
        <v>992</v>
      </c>
      <c r="B381" s="2">
        <v>46037</v>
      </c>
      <c r="C381" t="s">
        <v>763</v>
      </c>
      <c r="D381" t="s">
        <v>764</v>
      </c>
      <c r="E381" t="s">
        <v>96</v>
      </c>
      <c r="F381" t="s">
        <v>97</v>
      </c>
      <c r="G381" t="s">
        <v>28</v>
      </c>
      <c r="H381" t="s">
        <v>29</v>
      </c>
      <c r="I381" t="s">
        <v>35</v>
      </c>
      <c r="J381">
        <v>1</v>
      </c>
      <c r="K381">
        <v>4200</v>
      </c>
      <c r="L381">
        <v>0.2</v>
      </c>
      <c r="M381">
        <v>3360</v>
      </c>
      <c r="N381">
        <v>2900</v>
      </c>
      <c r="O381">
        <v>460</v>
      </c>
    </row>
    <row r="382" spans="1:15" x14ac:dyDescent="0.25">
      <c r="A382" t="s">
        <v>993</v>
      </c>
      <c r="B382" s="2">
        <v>46038</v>
      </c>
      <c r="C382" t="s">
        <v>994</v>
      </c>
      <c r="D382" t="s">
        <v>995</v>
      </c>
      <c r="E382" t="s">
        <v>26</v>
      </c>
      <c r="F382" t="s">
        <v>46</v>
      </c>
      <c r="G382" t="s">
        <v>28</v>
      </c>
      <c r="H382" t="s">
        <v>63</v>
      </c>
      <c r="I382" t="s">
        <v>64</v>
      </c>
      <c r="J382">
        <v>2</v>
      </c>
      <c r="K382">
        <v>2400</v>
      </c>
      <c r="L382">
        <v>0.2</v>
      </c>
      <c r="M382">
        <v>3840</v>
      </c>
      <c r="N382">
        <v>3300</v>
      </c>
      <c r="O382">
        <v>540</v>
      </c>
    </row>
    <row r="383" spans="1:15" x14ac:dyDescent="0.25">
      <c r="A383" t="s">
        <v>996</v>
      </c>
      <c r="B383" s="2">
        <v>46039</v>
      </c>
      <c r="C383" t="s">
        <v>997</v>
      </c>
      <c r="D383" t="s">
        <v>998</v>
      </c>
      <c r="E383" t="s">
        <v>18</v>
      </c>
      <c r="F383" t="s">
        <v>94</v>
      </c>
      <c r="G383" t="s">
        <v>20</v>
      </c>
      <c r="H383" t="s">
        <v>84</v>
      </c>
      <c r="I383" t="s">
        <v>169</v>
      </c>
      <c r="J383">
        <v>1</v>
      </c>
      <c r="K383">
        <v>450</v>
      </c>
      <c r="L383">
        <v>0.1</v>
      </c>
      <c r="M383">
        <v>405</v>
      </c>
      <c r="N383">
        <v>260</v>
      </c>
      <c r="O383">
        <v>145</v>
      </c>
    </row>
    <row r="384" spans="1:15" x14ac:dyDescent="0.25">
      <c r="A384" t="s">
        <v>999</v>
      </c>
      <c r="B384" s="2">
        <v>46040</v>
      </c>
      <c r="C384" t="s">
        <v>1000</v>
      </c>
      <c r="D384" t="s">
        <v>1001</v>
      </c>
      <c r="E384" t="s">
        <v>26</v>
      </c>
      <c r="F384" t="s">
        <v>34</v>
      </c>
      <c r="G384" t="s">
        <v>51</v>
      </c>
      <c r="H384" t="s">
        <v>52</v>
      </c>
      <c r="I384" t="s">
        <v>208</v>
      </c>
      <c r="J384">
        <v>5</v>
      </c>
      <c r="K384">
        <v>2800</v>
      </c>
      <c r="L384">
        <v>0.1</v>
      </c>
      <c r="M384">
        <v>12600</v>
      </c>
      <c r="N384">
        <v>9000</v>
      </c>
      <c r="O384">
        <v>3600</v>
      </c>
    </row>
    <row r="385" spans="1:15" x14ac:dyDescent="0.25">
      <c r="A385" t="s">
        <v>1002</v>
      </c>
      <c r="B385" s="2">
        <v>46041</v>
      </c>
      <c r="C385" t="s">
        <v>1003</v>
      </c>
      <c r="D385" t="s">
        <v>1004</v>
      </c>
      <c r="E385" t="s">
        <v>18</v>
      </c>
      <c r="F385" t="s">
        <v>115</v>
      </c>
      <c r="G385" t="s">
        <v>20</v>
      </c>
      <c r="H385" t="s">
        <v>84</v>
      </c>
      <c r="I385" t="s">
        <v>85</v>
      </c>
      <c r="J385">
        <v>5</v>
      </c>
      <c r="K385">
        <v>280</v>
      </c>
      <c r="L385">
        <v>0.05</v>
      </c>
      <c r="M385">
        <v>1330</v>
      </c>
      <c r="N385">
        <v>800</v>
      </c>
      <c r="O385">
        <v>530</v>
      </c>
    </row>
    <row r="386" spans="1:15" x14ac:dyDescent="0.25">
      <c r="A386" t="s">
        <v>1005</v>
      </c>
      <c r="B386" s="2">
        <v>46042</v>
      </c>
      <c r="C386" t="s">
        <v>1006</v>
      </c>
      <c r="D386" t="s">
        <v>1007</v>
      </c>
      <c r="E386" t="s">
        <v>26</v>
      </c>
      <c r="F386" t="s">
        <v>27</v>
      </c>
      <c r="G386" t="s">
        <v>57</v>
      </c>
      <c r="H386" t="s">
        <v>58</v>
      </c>
      <c r="I386" t="s">
        <v>129</v>
      </c>
      <c r="J386">
        <v>2</v>
      </c>
      <c r="K386">
        <v>4800</v>
      </c>
      <c r="L386">
        <v>0.05</v>
      </c>
      <c r="M386">
        <v>9120</v>
      </c>
      <c r="N386">
        <v>6600</v>
      </c>
      <c r="O386">
        <v>2520</v>
      </c>
    </row>
    <row r="387" spans="1:15" x14ac:dyDescent="0.25">
      <c r="A387" t="s">
        <v>1008</v>
      </c>
      <c r="B387" s="2">
        <v>46043</v>
      </c>
      <c r="C387" t="s">
        <v>1009</v>
      </c>
      <c r="D387" t="s">
        <v>1010</v>
      </c>
      <c r="E387" t="s">
        <v>26</v>
      </c>
      <c r="F387" t="s">
        <v>34</v>
      </c>
      <c r="G387" t="s">
        <v>51</v>
      </c>
      <c r="H387" t="s">
        <v>89</v>
      </c>
      <c r="I387" t="s">
        <v>90</v>
      </c>
      <c r="J387">
        <v>2</v>
      </c>
      <c r="K387">
        <v>10500</v>
      </c>
      <c r="L387">
        <v>0.15</v>
      </c>
      <c r="M387">
        <v>17850</v>
      </c>
      <c r="N387">
        <v>15200</v>
      </c>
      <c r="O387">
        <v>2650</v>
      </c>
    </row>
    <row r="388" spans="1:15" x14ac:dyDescent="0.25">
      <c r="A388" t="s">
        <v>1011</v>
      </c>
      <c r="B388" s="2">
        <v>46044</v>
      </c>
      <c r="C388" t="s">
        <v>1012</v>
      </c>
      <c r="D388" t="s">
        <v>1013</v>
      </c>
      <c r="E388" t="s">
        <v>26</v>
      </c>
      <c r="F388" t="s">
        <v>34</v>
      </c>
      <c r="G388" t="s">
        <v>20</v>
      </c>
      <c r="H388" t="s">
        <v>84</v>
      </c>
      <c r="I388" t="s">
        <v>85</v>
      </c>
      <c r="J388">
        <v>2</v>
      </c>
      <c r="K388">
        <v>280</v>
      </c>
      <c r="L388">
        <v>0.1</v>
      </c>
      <c r="M388">
        <v>504</v>
      </c>
      <c r="N388">
        <v>320</v>
      </c>
      <c r="O388">
        <v>184</v>
      </c>
    </row>
    <row r="389" spans="1:15" x14ac:dyDescent="0.25">
      <c r="A389" t="s">
        <v>1014</v>
      </c>
      <c r="B389" s="2">
        <v>46045</v>
      </c>
      <c r="C389" t="s">
        <v>102</v>
      </c>
      <c r="D389" t="s">
        <v>103</v>
      </c>
      <c r="E389" t="s">
        <v>39</v>
      </c>
      <c r="F389" t="s">
        <v>40</v>
      </c>
      <c r="G389" t="s">
        <v>57</v>
      </c>
      <c r="H389" t="s">
        <v>104</v>
      </c>
      <c r="I389" t="s">
        <v>105</v>
      </c>
      <c r="J389">
        <v>1</v>
      </c>
      <c r="K389">
        <v>7500</v>
      </c>
      <c r="L389">
        <v>0.05</v>
      </c>
      <c r="M389">
        <v>7125</v>
      </c>
      <c r="N389">
        <v>5200</v>
      </c>
      <c r="O389">
        <v>1925</v>
      </c>
    </row>
    <row r="390" spans="1:15" x14ac:dyDescent="0.25">
      <c r="A390" t="s">
        <v>1015</v>
      </c>
      <c r="B390" s="2">
        <v>46046</v>
      </c>
      <c r="C390" t="s">
        <v>433</v>
      </c>
      <c r="D390" t="s">
        <v>434</v>
      </c>
      <c r="E390" t="s">
        <v>39</v>
      </c>
      <c r="F390" t="s">
        <v>71</v>
      </c>
      <c r="G390" t="s">
        <v>28</v>
      </c>
      <c r="H390" t="s">
        <v>63</v>
      </c>
      <c r="I390" t="s">
        <v>64</v>
      </c>
      <c r="J390">
        <v>2</v>
      </c>
      <c r="K390">
        <v>2400</v>
      </c>
      <c r="L390">
        <v>0.1</v>
      </c>
      <c r="M390">
        <v>4320</v>
      </c>
      <c r="N390">
        <v>3300</v>
      </c>
      <c r="O390">
        <v>1020</v>
      </c>
    </row>
    <row r="391" spans="1:15" x14ac:dyDescent="0.25">
      <c r="A391" t="s">
        <v>1016</v>
      </c>
      <c r="B391" s="2">
        <v>46047</v>
      </c>
      <c r="C391" t="s">
        <v>926</v>
      </c>
      <c r="D391" t="s">
        <v>927</v>
      </c>
      <c r="E391" t="s">
        <v>18</v>
      </c>
      <c r="F391" t="s">
        <v>227</v>
      </c>
      <c r="G391" t="s">
        <v>51</v>
      </c>
      <c r="H391" t="s">
        <v>21</v>
      </c>
      <c r="I391" t="s">
        <v>116</v>
      </c>
      <c r="J391">
        <v>3</v>
      </c>
      <c r="K391">
        <v>1400</v>
      </c>
      <c r="L391">
        <v>0.1</v>
      </c>
      <c r="M391">
        <v>3780</v>
      </c>
      <c r="N391">
        <v>2700</v>
      </c>
      <c r="O391">
        <v>1080</v>
      </c>
    </row>
    <row r="392" spans="1:15" x14ac:dyDescent="0.25">
      <c r="A392" t="s">
        <v>1017</v>
      </c>
      <c r="B392" s="2">
        <v>46048</v>
      </c>
      <c r="C392" t="s">
        <v>278</v>
      </c>
      <c r="D392" t="s">
        <v>279</v>
      </c>
      <c r="E392" t="s">
        <v>26</v>
      </c>
      <c r="F392" t="s">
        <v>27</v>
      </c>
      <c r="G392" t="s">
        <v>28</v>
      </c>
      <c r="H392" t="s">
        <v>29</v>
      </c>
      <c r="I392" t="s">
        <v>30</v>
      </c>
      <c r="J392">
        <v>2</v>
      </c>
      <c r="K392">
        <v>1900</v>
      </c>
      <c r="L392">
        <v>0.1</v>
      </c>
      <c r="M392">
        <v>3420</v>
      </c>
      <c r="N392">
        <v>2500</v>
      </c>
      <c r="O392">
        <v>920</v>
      </c>
    </row>
    <row r="393" spans="1:15" x14ac:dyDescent="0.25">
      <c r="A393" t="s">
        <v>1018</v>
      </c>
      <c r="B393" s="2">
        <v>46049</v>
      </c>
      <c r="C393" t="s">
        <v>1019</v>
      </c>
      <c r="D393" t="s">
        <v>1020</v>
      </c>
      <c r="E393" t="s">
        <v>26</v>
      </c>
      <c r="F393" t="s">
        <v>34</v>
      </c>
      <c r="G393" t="s">
        <v>28</v>
      </c>
      <c r="H393" t="s">
        <v>29</v>
      </c>
      <c r="I393" t="s">
        <v>35</v>
      </c>
      <c r="J393">
        <v>5</v>
      </c>
      <c r="K393">
        <v>4200</v>
      </c>
      <c r="L393">
        <v>0.2</v>
      </c>
      <c r="M393">
        <v>16800</v>
      </c>
      <c r="N393">
        <v>14500</v>
      </c>
      <c r="O393">
        <v>2300</v>
      </c>
    </row>
    <row r="394" spans="1:15" x14ac:dyDescent="0.25">
      <c r="A394" t="s">
        <v>1021</v>
      </c>
      <c r="B394" s="2">
        <v>46050</v>
      </c>
      <c r="C394" t="s">
        <v>1022</v>
      </c>
      <c r="D394" t="s">
        <v>1023</v>
      </c>
      <c r="E394" t="s">
        <v>26</v>
      </c>
      <c r="F394" t="s">
        <v>46</v>
      </c>
      <c r="G394" t="s">
        <v>28</v>
      </c>
      <c r="H394" t="s">
        <v>63</v>
      </c>
      <c r="I394" t="s">
        <v>64</v>
      </c>
      <c r="J394">
        <v>4</v>
      </c>
      <c r="K394">
        <v>2400</v>
      </c>
      <c r="L394">
        <v>0</v>
      </c>
      <c r="M394">
        <v>9600</v>
      </c>
      <c r="N394">
        <v>6600</v>
      </c>
      <c r="O394">
        <v>3000</v>
      </c>
    </row>
    <row r="395" spans="1:15" x14ac:dyDescent="0.25">
      <c r="A395" t="s">
        <v>1024</v>
      </c>
      <c r="B395" s="2">
        <v>46051</v>
      </c>
      <c r="C395" t="s">
        <v>1025</v>
      </c>
      <c r="D395" t="s">
        <v>1026</v>
      </c>
      <c r="E395" t="s">
        <v>26</v>
      </c>
      <c r="F395" t="s">
        <v>204</v>
      </c>
      <c r="G395" t="s">
        <v>51</v>
      </c>
      <c r="H395" t="s">
        <v>89</v>
      </c>
      <c r="I395" t="s">
        <v>90</v>
      </c>
      <c r="J395">
        <v>5</v>
      </c>
      <c r="K395">
        <v>10500</v>
      </c>
      <c r="L395">
        <v>0.05</v>
      </c>
      <c r="M395">
        <v>49875</v>
      </c>
      <c r="N395">
        <v>38000</v>
      </c>
      <c r="O395">
        <v>11875</v>
      </c>
    </row>
    <row r="396" spans="1:15" x14ac:dyDescent="0.25">
      <c r="A396" t="s">
        <v>1027</v>
      </c>
      <c r="B396" s="2">
        <v>46052</v>
      </c>
      <c r="C396" t="s">
        <v>941</v>
      </c>
      <c r="D396" t="s">
        <v>942</v>
      </c>
      <c r="E396" t="s">
        <v>39</v>
      </c>
      <c r="F396" t="s">
        <v>76</v>
      </c>
      <c r="G396" t="s">
        <v>28</v>
      </c>
      <c r="H396" t="s">
        <v>29</v>
      </c>
      <c r="I396" t="s">
        <v>47</v>
      </c>
      <c r="J396">
        <v>4</v>
      </c>
      <c r="K396">
        <v>6800</v>
      </c>
      <c r="L396">
        <v>0.2</v>
      </c>
      <c r="M396">
        <v>21760</v>
      </c>
      <c r="N396">
        <v>18800</v>
      </c>
      <c r="O396">
        <v>2960</v>
      </c>
    </row>
    <row r="397" spans="1:15" x14ac:dyDescent="0.25">
      <c r="A397" t="s">
        <v>1028</v>
      </c>
      <c r="B397" s="2">
        <v>46053</v>
      </c>
      <c r="C397" t="s">
        <v>588</v>
      </c>
      <c r="D397" t="s">
        <v>589</v>
      </c>
      <c r="E397" t="s">
        <v>26</v>
      </c>
      <c r="F397" t="s">
        <v>204</v>
      </c>
      <c r="G397" t="s">
        <v>51</v>
      </c>
      <c r="H397" t="s">
        <v>21</v>
      </c>
      <c r="I397" t="s">
        <v>116</v>
      </c>
      <c r="J397">
        <v>3</v>
      </c>
      <c r="K397">
        <v>1400</v>
      </c>
      <c r="L397">
        <v>0.15</v>
      </c>
      <c r="M397">
        <v>3570</v>
      </c>
      <c r="N397">
        <v>2700</v>
      </c>
      <c r="O397">
        <v>870</v>
      </c>
    </row>
    <row r="398" spans="1:15" x14ac:dyDescent="0.25">
      <c r="A398" t="s">
        <v>1029</v>
      </c>
      <c r="B398" s="2">
        <v>46054</v>
      </c>
      <c r="C398" t="s">
        <v>619</v>
      </c>
      <c r="D398" t="s">
        <v>620</v>
      </c>
      <c r="E398" t="s">
        <v>26</v>
      </c>
      <c r="F398" t="s">
        <v>46</v>
      </c>
      <c r="G398" t="s">
        <v>28</v>
      </c>
      <c r="H398" t="s">
        <v>29</v>
      </c>
      <c r="I398" t="s">
        <v>30</v>
      </c>
      <c r="J398">
        <v>3</v>
      </c>
      <c r="K398">
        <v>1900</v>
      </c>
      <c r="L398">
        <v>0.1</v>
      </c>
      <c r="M398">
        <v>5130</v>
      </c>
      <c r="N398">
        <v>3750</v>
      </c>
      <c r="O398">
        <v>1380</v>
      </c>
    </row>
    <row r="399" spans="1:15" x14ac:dyDescent="0.25">
      <c r="A399" t="s">
        <v>1030</v>
      </c>
      <c r="B399" s="2">
        <v>46055</v>
      </c>
      <c r="C399" t="s">
        <v>1031</v>
      </c>
      <c r="D399" t="s">
        <v>1032</v>
      </c>
      <c r="E399" t="s">
        <v>39</v>
      </c>
      <c r="F399" t="s">
        <v>71</v>
      </c>
      <c r="G399" t="s">
        <v>57</v>
      </c>
      <c r="H399" t="s">
        <v>104</v>
      </c>
      <c r="I399" t="s">
        <v>105</v>
      </c>
      <c r="J399">
        <v>5</v>
      </c>
      <c r="K399">
        <v>7500</v>
      </c>
      <c r="L399">
        <v>0.05</v>
      </c>
      <c r="M399">
        <v>35625</v>
      </c>
      <c r="N399">
        <v>26000</v>
      </c>
      <c r="O399">
        <v>9625</v>
      </c>
    </row>
    <row r="400" spans="1:15" x14ac:dyDescent="0.25">
      <c r="A400" t="s">
        <v>1033</v>
      </c>
      <c r="B400" s="2">
        <v>46056</v>
      </c>
      <c r="C400" t="s">
        <v>1034</v>
      </c>
      <c r="D400" t="s">
        <v>1035</v>
      </c>
      <c r="E400" t="s">
        <v>39</v>
      </c>
      <c r="F400" t="s">
        <v>40</v>
      </c>
      <c r="G400" t="s">
        <v>51</v>
      </c>
      <c r="H400" t="s">
        <v>89</v>
      </c>
      <c r="I400" t="s">
        <v>90</v>
      </c>
      <c r="J400">
        <v>5</v>
      </c>
      <c r="K400">
        <v>10500</v>
      </c>
      <c r="L400">
        <v>0.25</v>
      </c>
      <c r="M400">
        <v>39375</v>
      </c>
      <c r="N400">
        <v>38000</v>
      </c>
      <c r="O400">
        <v>1375</v>
      </c>
    </row>
    <row r="401" spans="1:15" x14ac:dyDescent="0.25">
      <c r="A401" t="s">
        <v>1036</v>
      </c>
      <c r="B401" s="2">
        <v>46057</v>
      </c>
      <c r="C401" t="s">
        <v>1037</v>
      </c>
      <c r="D401" t="s">
        <v>1038</v>
      </c>
      <c r="E401" t="s">
        <v>26</v>
      </c>
      <c r="F401" t="s">
        <v>204</v>
      </c>
      <c r="G401" t="s">
        <v>20</v>
      </c>
      <c r="H401" t="s">
        <v>21</v>
      </c>
      <c r="I401" t="s">
        <v>22</v>
      </c>
      <c r="J401">
        <v>5</v>
      </c>
      <c r="K401">
        <v>650</v>
      </c>
      <c r="L401">
        <v>0.05</v>
      </c>
      <c r="M401">
        <v>3087.5</v>
      </c>
      <c r="N401">
        <v>1950</v>
      </c>
      <c r="O401">
        <v>1137.5</v>
      </c>
    </row>
    <row r="402" spans="1:15" x14ac:dyDescent="0.25">
      <c r="A402" t="s">
        <v>1039</v>
      </c>
      <c r="B402" s="2">
        <v>46058</v>
      </c>
      <c r="C402" t="s">
        <v>1040</v>
      </c>
      <c r="D402" t="s">
        <v>1041</v>
      </c>
      <c r="E402" t="s">
        <v>26</v>
      </c>
      <c r="F402" t="s">
        <v>204</v>
      </c>
      <c r="G402" t="s">
        <v>51</v>
      </c>
      <c r="H402" t="s">
        <v>89</v>
      </c>
      <c r="I402" t="s">
        <v>90</v>
      </c>
      <c r="J402">
        <v>1</v>
      </c>
      <c r="K402">
        <v>10500</v>
      </c>
      <c r="L402">
        <v>0.05</v>
      </c>
      <c r="M402">
        <v>9975</v>
      </c>
      <c r="N402">
        <v>7600</v>
      </c>
      <c r="O402">
        <v>2375</v>
      </c>
    </row>
    <row r="403" spans="1:15" x14ac:dyDescent="0.25">
      <c r="A403" t="s">
        <v>1042</v>
      </c>
      <c r="B403" s="2">
        <v>46059</v>
      </c>
      <c r="C403" t="s">
        <v>420</v>
      </c>
      <c r="D403" t="s">
        <v>421</v>
      </c>
      <c r="E403" t="s">
        <v>26</v>
      </c>
      <c r="F403" t="s">
        <v>128</v>
      </c>
      <c r="G403" t="s">
        <v>20</v>
      </c>
      <c r="H403" t="s">
        <v>21</v>
      </c>
      <c r="I403" t="s">
        <v>22</v>
      </c>
      <c r="J403">
        <v>4</v>
      </c>
      <c r="K403">
        <v>650</v>
      </c>
      <c r="L403">
        <v>0.25</v>
      </c>
      <c r="M403">
        <v>1950</v>
      </c>
      <c r="N403">
        <v>1560</v>
      </c>
      <c r="O403">
        <v>390</v>
      </c>
    </row>
    <row r="404" spans="1:15" x14ac:dyDescent="0.25">
      <c r="A404" t="s">
        <v>1043</v>
      </c>
      <c r="B404" s="2">
        <v>46060</v>
      </c>
      <c r="C404" t="s">
        <v>158</v>
      </c>
      <c r="D404" t="s">
        <v>159</v>
      </c>
      <c r="E404" t="s">
        <v>26</v>
      </c>
      <c r="F404" t="s">
        <v>27</v>
      </c>
      <c r="G404" t="s">
        <v>57</v>
      </c>
      <c r="H404" t="s">
        <v>58</v>
      </c>
      <c r="I404" t="s">
        <v>129</v>
      </c>
      <c r="J404">
        <v>5</v>
      </c>
      <c r="K404">
        <v>4800</v>
      </c>
      <c r="L404">
        <v>0.15</v>
      </c>
      <c r="M404">
        <v>20400</v>
      </c>
      <c r="N404">
        <v>16500</v>
      </c>
      <c r="O404">
        <v>3900</v>
      </c>
    </row>
    <row r="405" spans="1:15" x14ac:dyDescent="0.25">
      <c r="A405" t="s">
        <v>1044</v>
      </c>
      <c r="B405" s="2">
        <v>46061</v>
      </c>
      <c r="C405" t="s">
        <v>974</v>
      </c>
      <c r="D405" t="s">
        <v>975</v>
      </c>
      <c r="E405" t="s">
        <v>26</v>
      </c>
      <c r="F405" t="s">
        <v>204</v>
      </c>
      <c r="G405" t="s">
        <v>20</v>
      </c>
      <c r="H405" t="s">
        <v>84</v>
      </c>
      <c r="I405" t="s">
        <v>85</v>
      </c>
      <c r="J405">
        <v>3</v>
      </c>
      <c r="K405">
        <v>280</v>
      </c>
      <c r="L405">
        <v>0.15</v>
      </c>
      <c r="M405">
        <v>714</v>
      </c>
      <c r="N405">
        <v>480</v>
      </c>
      <c r="O405">
        <v>234</v>
      </c>
    </row>
    <row r="406" spans="1:15" x14ac:dyDescent="0.25">
      <c r="A406" t="s">
        <v>1045</v>
      </c>
      <c r="B406" s="2">
        <v>46062</v>
      </c>
      <c r="C406" t="s">
        <v>1046</v>
      </c>
      <c r="D406" t="s">
        <v>1047</v>
      </c>
      <c r="E406" t="s">
        <v>18</v>
      </c>
      <c r="F406" t="s">
        <v>19</v>
      </c>
      <c r="G406" t="s">
        <v>20</v>
      </c>
      <c r="H406" t="s">
        <v>84</v>
      </c>
      <c r="I406" t="s">
        <v>169</v>
      </c>
      <c r="J406">
        <v>3</v>
      </c>
      <c r="K406">
        <v>450</v>
      </c>
      <c r="L406">
        <v>0</v>
      </c>
      <c r="M406">
        <v>1350</v>
      </c>
      <c r="N406">
        <v>780</v>
      </c>
      <c r="O406">
        <v>570</v>
      </c>
    </row>
    <row r="407" spans="1:15" x14ac:dyDescent="0.25">
      <c r="A407" t="s">
        <v>1048</v>
      </c>
      <c r="B407" s="2">
        <v>46063</v>
      </c>
      <c r="C407" t="s">
        <v>1049</v>
      </c>
      <c r="D407" t="s">
        <v>1050</v>
      </c>
      <c r="E407" t="s">
        <v>26</v>
      </c>
      <c r="F407" t="s">
        <v>46</v>
      </c>
      <c r="G407" t="s">
        <v>51</v>
      </c>
      <c r="H407" t="s">
        <v>21</v>
      </c>
      <c r="I407" t="s">
        <v>72</v>
      </c>
      <c r="J407">
        <v>4</v>
      </c>
      <c r="K407">
        <v>1800</v>
      </c>
      <c r="L407">
        <v>0.15</v>
      </c>
      <c r="M407">
        <v>6120</v>
      </c>
      <c r="N407">
        <v>4400</v>
      </c>
      <c r="O407">
        <v>1720</v>
      </c>
    </row>
    <row r="408" spans="1:15" x14ac:dyDescent="0.25">
      <c r="A408" t="s">
        <v>1051</v>
      </c>
      <c r="B408" s="2">
        <v>46064</v>
      </c>
      <c r="C408" t="s">
        <v>497</v>
      </c>
      <c r="D408" t="s">
        <v>498</v>
      </c>
      <c r="E408" t="s">
        <v>96</v>
      </c>
      <c r="F408" t="s">
        <v>200</v>
      </c>
      <c r="G408" t="s">
        <v>20</v>
      </c>
      <c r="H408" t="s">
        <v>21</v>
      </c>
      <c r="I408" t="s">
        <v>22</v>
      </c>
      <c r="J408">
        <v>1</v>
      </c>
      <c r="K408">
        <v>650</v>
      </c>
      <c r="L408">
        <v>0.15</v>
      </c>
      <c r="M408">
        <v>552.5</v>
      </c>
      <c r="N408">
        <v>390</v>
      </c>
      <c r="O408">
        <v>162.5</v>
      </c>
    </row>
    <row r="409" spans="1:15" x14ac:dyDescent="0.25">
      <c r="A409" t="s">
        <v>1052</v>
      </c>
      <c r="B409" s="2">
        <v>46065</v>
      </c>
      <c r="C409" t="s">
        <v>868</v>
      </c>
      <c r="D409" t="s">
        <v>869</v>
      </c>
      <c r="E409" t="s">
        <v>39</v>
      </c>
      <c r="F409" t="s">
        <v>76</v>
      </c>
      <c r="G409" t="s">
        <v>51</v>
      </c>
      <c r="H409" t="s">
        <v>21</v>
      </c>
      <c r="I409" t="s">
        <v>72</v>
      </c>
      <c r="J409">
        <v>4</v>
      </c>
      <c r="K409">
        <v>1800</v>
      </c>
      <c r="L409">
        <v>0.15</v>
      </c>
      <c r="M409">
        <v>6120</v>
      </c>
      <c r="N409">
        <v>4400</v>
      </c>
      <c r="O409">
        <v>1720</v>
      </c>
    </row>
    <row r="410" spans="1:15" x14ac:dyDescent="0.25">
      <c r="A410" t="s">
        <v>1053</v>
      </c>
      <c r="B410" s="2">
        <v>46066</v>
      </c>
      <c r="C410" t="s">
        <v>1054</v>
      </c>
      <c r="D410" t="s">
        <v>1055</v>
      </c>
      <c r="E410" t="s">
        <v>26</v>
      </c>
      <c r="F410" t="s">
        <v>46</v>
      </c>
      <c r="G410" t="s">
        <v>20</v>
      </c>
      <c r="H410" t="s">
        <v>84</v>
      </c>
      <c r="I410" t="s">
        <v>85</v>
      </c>
      <c r="J410">
        <v>5</v>
      </c>
      <c r="K410">
        <v>280</v>
      </c>
      <c r="L410">
        <v>0.1</v>
      </c>
      <c r="M410">
        <v>1260</v>
      </c>
      <c r="N410">
        <v>800</v>
      </c>
      <c r="O410">
        <v>460</v>
      </c>
    </row>
    <row r="411" spans="1:15" x14ac:dyDescent="0.25">
      <c r="A411" t="s">
        <v>1056</v>
      </c>
      <c r="B411" s="2">
        <v>46067</v>
      </c>
      <c r="C411" t="s">
        <v>420</v>
      </c>
      <c r="D411" t="s">
        <v>421</v>
      </c>
      <c r="E411" t="s">
        <v>26</v>
      </c>
      <c r="F411" t="s">
        <v>34</v>
      </c>
      <c r="G411" t="s">
        <v>51</v>
      </c>
      <c r="H411" t="s">
        <v>52</v>
      </c>
      <c r="I411" t="s">
        <v>53</v>
      </c>
      <c r="J411">
        <v>1</v>
      </c>
      <c r="K411">
        <v>2200</v>
      </c>
      <c r="L411">
        <v>0.2</v>
      </c>
      <c r="M411">
        <v>1760</v>
      </c>
      <c r="N411">
        <v>1450</v>
      </c>
      <c r="O411">
        <v>310</v>
      </c>
    </row>
    <row r="412" spans="1:15" x14ac:dyDescent="0.25">
      <c r="A412" t="s">
        <v>1057</v>
      </c>
      <c r="B412" s="2">
        <v>46068</v>
      </c>
      <c r="C412" t="s">
        <v>977</v>
      </c>
      <c r="D412" t="s">
        <v>978</v>
      </c>
      <c r="E412" t="s">
        <v>26</v>
      </c>
      <c r="F412" t="s">
        <v>34</v>
      </c>
      <c r="G412" t="s">
        <v>51</v>
      </c>
      <c r="H412" t="s">
        <v>52</v>
      </c>
      <c r="I412" t="s">
        <v>208</v>
      </c>
      <c r="J412">
        <v>4</v>
      </c>
      <c r="K412">
        <v>2800</v>
      </c>
      <c r="L412">
        <v>0.05</v>
      </c>
      <c r="M412">
        <v>10640</v>
      </c>
      <c r="N412">
        <v>7200</v>
      </c>
      <c r="O412">
        <v>3440</v>
      </c>
    </row>
    <row r="413" spans="1:15" x14ac:dyDescent="0.25">
      <c r="A413" t="s">
        <v>1058</v>
      </c>
      <c r="B413" s="2">
        <v>46069</v>
      </c>
      <c r="C413" t="s">
        <v>1059</v>
      </c>
      <c r="D413" t="s">
        <v>1060</v>
      </c>
      <c r="E413" t="s">
        <v>26</v>
      </c>
      <c r="F413" t="s">
        <v>204</v>
      </c>
      <c r="G413" t="s">
        <v>51</v>
      </c>
      <c r="H413" t="s">
        <v>52</v>
      </c>
      <c r="I413" t="s">
        <v>53</v>
      </c>
      <c r="J413">
        <v>4</v>
      </c>
      <c r="K413">
        <v>2200</v>
      </c>
      <c r="L413">
        <v>0</v>
      </c>
      <c r="M413">
        <v>8800</v>
      </c>
      <c r="N413">
        <v>5800</v>
      </c>
      <c r="O413">
        <v>3000</v>
      </c>
    </row>
    <row r="414" spans="1:15" x14ac:dyDescent="0.25">
      <c r="A414" t="s">
        <v>1061</v>
      </c>
      <c r="B414" s="2">
        <v>46070</v>
      </c>
      <c r="C414" t="s">
        <v>469</v>
      </c>
      <c r="D414" t="s">
        <v>470</v>
      </c>
      <c r="E414" t="s">
        <v>26</v>
      </c>
      <c r="F414" t="s">
        <v>204</v>
      </c>
      <c r="G414" t="s">
        <v>20</v>
      </c>
      <c r="H414" t="s">
        <v>84</v>
      </c>
      <c r="I414" t="s">
        <v>210</v>
      </c>
      <c r="J414">
        <v>2</v>
      </c>
      <c r="K414">
        <v>300</v>
      </c>
      <c r="L414">
        <v>0.05</v>
      </c>
      <c r="M414">
        <v>570</v>
      </c>
      <c r="N414">
        <v>340</v>
      </c>
      <c r="O414">
        <v>230</v>
      </c>
    </row>
    <row r="415" spans="1:15" x14ac:dyDescent="0.25">
      <c r="A415" t="s">
        <v>1062</v>
      </c>
      <c r="B415" s="2">
        <v>46071</v>
      </c>
      <c r="C415" t="s">
        <v>597</v>
      </c>
      <c r="D415" t="s">
        <v>598</v>
      </c>
      <c r="E415" t="s">
        <v>26</v>
      </c>
      <c r="F415" t="s">
        <v>27</v>
      </c>
      <c r="G415" t="s">
        <v>20</v>
      </c>
      <c r="H415" t="s">
        <v>84</v>
      </c>
      <c r="I415" t="s">
        <v>169</v>
      </c>
      <c r="J415">
        <v>5</v>
      </c>
      <c r="K415">
        <v>450</v>
      </c>
      <c r="L415">
        <v>0.15</v>
      </c>
      <c r="M415">
        <v>1912.5</v>
      </c>
      <c r="N415">
        <v>1300</v>
      </c>
      <c r="O415">
        <v>612.5</v>
      </c>
    </row>
    <row r="416" spans="1:15" x14ac:dyDescent="0.25">
      <c r="A416" t="s">
        <v>1063</v>
      </c>
      <c r="B416" s="2">
        <v>46072</v>
      </c>
      <c r="C416" t="s">
        <v>1064</v>
      </c>
      <c r="D416" t="s">
        <v>1065</v>
      </c>
      <c r="E416" t="s">
        <v>18</v>
      </c>
      <c r="F416" t="s">
        <v>19</v>
      </c>
      <c r="G416" t="s">
        <v>20</v>
      </c>
      <c r="H416" t="s">
        <v>21</v>
      </c>
      <c r="I416" t="s">
        <v>22</v>
      </c>
      <c r="J416">
        <v>4</v>
      </c>
      <c r="K416">
        <v>650</v>
      </c>
      <c r="L416">
        <v>0.2</v>
      </c>
      <c r="M416">
        <v>2080</v>
      </c>
      <c r="N416">
        <v>1560</v>
      </c>
      <c r="O416">
        <v>520</v>
      </c>
    </row>
    <row r="417" spans="1:15" x14ac:dyDescent="0.25">
      <c r="A417" t="s">
        <v>1066</v>
      </c>
      <c r="B417" s="2">
        <v>46073</v>
      </c>
      <c r="C417" t="s">
        <v>1067</v>
      </c>
      <c r="D417" t="s">
        <v>1068</v>
      </c>
      <c r="E417" t="s">
        <v>18</v>
      </c>
      <c r="F417" t="s">
        <v>115</v>
      </c>
      <c r="G417" t="s">
        <v>51</v>
      </c>
      <c r="H417" t="s">
        <v>52</v>
      </c>
      <c r="I417" t="s">
        <v>53</v>
      </c>
      <c r="J417">
        <v>2</v>
      </c>
      <c r="K417">
        <v>2200</v>
      </c>
      <c r="L417">
        <v>0.05</v>
      </c>
      <c r="M417">
        <v>4180</v>
      </c>
      <c r="N417">
        <v>2900</v>
      </c>
      <c r="O417">
        <v>1280</v>
      </c>
    </row>
    <row r="418" spans="1:15" x14ac:dyDescent="0.25">
      <c r="A418" t="s">
        <v>1069</v>
      </c>
      <c r="B418" s="2">
        <v>46074</v>
      </c>
      <c r="C418" t="s">
        <v>831</v>
      </c>
      <c r="D418" t="s">
        <v>832</v>
      </c>
      <c r="E418" t="s">
        <v>18</v>
      </c>
      <c r="F418" t="s">
        <v>115</v>
      </c>
      <c r="G418" t="s">
        <v>57</v>
      </c>
      <c r="H418" t="s">
        <v>58</v>
      </c>
      <c r="I418" t="s">
        <v>59</v>
      </c>
      <c r="J418">
        <v>3</v>
      </c>
      <c r="K418">
        <v>5600</v>
      </c>
      <c r="L418">
        <v>0</v>
      </c>
      <c r="M418">
        <v>16800</v>
      </c>
      <c r="N418">
        <v>11700</v>
      </c>
      <c r="O418">
        <v>5100</v>
      </c>
    </row>
    <row r="419" spans="1:15" x14ac:dyDescent="0.25">
      <c r="A419" t="s">
        <v>1070</v>
      </c>
      <c r="B419" s="2">
        <v>46075</v>
      </c>
      <c r="C419" t="s">
        <v>1071</v>
      </c>
      <c r="D419" t="s">
        <v>1072</v>
      </c>
      <c r="E419" t="s">
        <v>18</v>
      </c>
      <c r="F419" t="s">
        <v>19</v>
      </c>
      <c r="G419" t="s">
        <v>57</v>
      </c>
      <c r="H419" t="s">
        <v>188</v>
      </c>
      <c r="I419" t="s">
        <v>189</v>
      </c>
      <c r="J419">
        <v>5</v>
      </c>
      <c r="K419">
        <v>6200</v>
      </c>
      <c r="L419">
        <v>0.05</v>
      </c>
      <c r="M419">
        <v>29450</v>
      </c>
      <c r="N419">
        <v>21500</v>
      </c>
      <c r="O419">
        <v>7950</v>
      </c>
    </row>
    <row r="420" spans="1:15" x14ac:dyDescent="0.25">
      <c r="A420" t="s">
        <v>1073</v>
      </c>
      <c r="B420" s="2">
        <v>46076</v>
      </c>
      <c r="C420" t="s">
        <v>733</v>
      </c>
      <c r="D420" t="s">
        <v>734</v>
      </c>
      <c r="E420" t="s">
        <v>39</v>
      </c>
      <c r="F420" t="s">
        <v>124</v>
      </c>
      <c r="G420" t="s">
        <v>51</v>
      </c>
      <c r="H420" t="s">
        <v>21</v>
      </c>
      <c r="I420" t="s">
        <v>72</v>
      </c>
      <c r="J420">
        <v>1</v>
      </c>
      <c r="K420">
        <v>1800</v>
      </c>
      <c r="L420">
        <v>0.1</v>
      </c>
      <c r="M420">
        <v>1620</v>
      </c>
      <c r="N420">
        <v>1100</v>
      </c>
      <c r="O420">
        <v>520</v>
      </c>
    </row>
    <row r="421" spans="1:15" x14ac:dyDescent="0.25">
      <c r="A421" t="s">
        <v>1074</v>
      </c>
      <c r="B421" s="2">
        <v>46077</v>
      </c>
      <c r="C421" t="s">
        <v>1075</v>
      </c>
      <c r="D421" t="s">
        <v>1076</v>
      </c>
      <c r="E421" t="s">
        <v>96</v>
      </c>
      <c r="F421" t="s">
        <v>200</v>
      </c>
      <c r="G421" t="s">
        <v>51</v>
      </c>
      <c r="H421" t="s">
        <v>21</v>
      </c>
      <c r="I421" t="s">
        <v>80</v>
      </c>
      <c r="J421">
        <v>4</v>
      </c>
      <c r="K421">
        <v>850</v>
      </c>
      <c r="L421">
        <v>0.2</v>
      </c>
      <c r="M421">
        <v>2720</v>
      </c>
      <c r="N421">
        <v>2240</v>
      </c>
      <c r="O421">
        <v>480</v>
      </c>
    </row>
    <row r="422" spans="1:15" x14ac:dyDescent="0.25">
      <c r="A422" t="s">
        <v>1077</v>
      </c>
      <c r="B422" s="2">
        <v>46078</v>
      </c>
      <c r="C422" t="s">
        <v>456</v>
      </c>
      <c r="D422" t="s">
        <v>457</v>
      </c>
      <c r="E422" t="s">
        <v>39</v>
      </c>
      <c r="F422" t="s">
        <v>124</v>
      </c>
      <c r="G422" t="s">
        <v>57</v>
      </c>
      <c r="H422" t="s">
        <v>188</v>
      </c>
      <c r="I422" t="s">
        <v>189</v>
      </c>
      <c r="J422">
        <v>4</v>
      </c>
      <c r="K422">
        <v>6200</v>
      </c>
      <c r="L422">
        <v>0.2</v>
      </c>
      <c r="M422">
        <v>19840</v>
      </c>
      <c r="N422">
        <v>17200</v>
      </c>
      <c r="O422">
        <v>2640</v>
      </c>
    </row>
    <row r="423" spans="1:15" x14ac:dyDescent="0.25">
      <c r="A423" t="s">
        <v>1078</v>
      </c>
      <c r="B423" s="2">
        <v>46079</v>
      </c>
      <c r="C423" t="s">
        <v>1079</v>
      </c>
      <c r="D423" t="s">
        <v>1080</v>
      </c>
      <c r="E423" t="s">
        <v>26</v>
      </c>
      <c r="F423" t="s">
        <v>34</v>
      </c>
      <c r="G423" t="s">
        <v>20</v>
      </c>
      <c r="H423" t="s">
        <v>21</v>
      </c>
      <c r="I423" t="s">
        <v>22</v>
      </c>
      <c r="J423">
        <v>2</v>
      </c>
      <c r="K423">
        <v>650</v>
      </c>
      <c r="L423">
        <v>0.15</v>
      </c>
      <c r="M423">
        <v>1105</v>
      </c>
      <c r="N423">
        <v>780</v>
      </c>
      <c r="O423">
        <v>325</v>
      </c>
    </row>
    <row r="424" spans="1:15" x14ac:dyDescent="0.25">
      <c r="A424" t="s">
        <v>1081</v>
      </c>
      <c r="B424" s="2">
        <v>46080</v>
      </c>
      <c r="C424" t="s">
        <v>444</v>
      </c>
      <c r="D424" t="s">
        <v>445</v>
      </c>
      <c r="E424" t="s">
        <v>26</v>
      </c>
      <c r="F424" t="s">
        <v>27</v>
      </c>
      <c r="G424" t="s">
        <v>57</v>
      </c>
      <c r="H424" t="s">
        <v>188</v>
      </c>
      <c r="I424" t="s">
        <v>189</v>
      </c>
      <c r="J424">
        <v>3</v>
      </c>
      <c r="K424">
        <v>6200</v>
      </c>
      <c r="L424">
        <v>0.25</v>
      </c>
      <c r="M424">
        <v>13950</v>
      </c>
      <c r="N424">
        <v>12900</v>
      </c>
      <c r="O424">
        <v>1050</v>
      </c>
    </row>
    <row r="425" spans="1:15" x14ac:dyDescent="0.25">
      <c r="A425" t="s">
        <v>1082</v>
      </c>
      <c r="B425" s="2">
        <v>46081</v>
      </c>
      <c r="C425" t="s">
        <v>484</v>
      </c>
      <c r="D425" t="s">
        <v>485</v>
      </c>
      <c r="E425" t="s">
        <v>96</v>
      </c>
      <c r="F425" t="s">
        <v>97</v>
      </c>
      <c r="G425" t="s">
        <v>28</v>
      </c>
      <c r="H425" t="s">
        <v>29</v>
      </c>
      <c r="I425" t="s">
        <v>47</v>
      </c>
      <c r="J425">
        <v>2</v>
      </c>
      <c r="K425">
        <v>6800</v>
      </c>
      <c r="L425">
        <v>0.2</v>
      </c>
      <c r="M425">
        <v>10880</v>
      </c>
      <c r="N425">
        <v>9400</v>
      </c>
      <c r="O425">
        <v>1480</v>
      </c>
    </row>
    <row r="426" spans="1:15" x14ac:dyDescent="0.25">
      <c r="A426" t="s">
        <v>1083</v>
      </c>
      <c r="B426" s="2">
        <v>46082</v>
      </c>
      <c r="C426" t="s">
        <v>174</v>
      </c>
      <c r="D426" t="s">
        <v>175</v>
      </c>
      <c r="E426" t="s">
        <v>96</v>
      </c>
      <c r="F426" t="s">
        <v>200</v>
      </c>
      <c r="G426" t="s">
        <v>57</v>
      </c>
      <c r="H426" t="s">
        <v>58</v>
      </c>
      <c r="I426" t="s">
        <v>59</v>
      </c>
      <c r="J426">
        <v>1</v>
      </c>
      <c r="K426">
        <v>5600</v>
      </c>
      <c r="L426">
        <v>0.1</v>
      </c>
      <c r="M426">
        <v>5040</v>
      </c>
      <c r="N426">
        <v>3900</v>
      </c>
      <c r="O426">
        <v>1140</v>
      </c>
    </row>
    <row r="427" spans="1:15" x14ac:dyDescent="0.25">
      <c r="A427" t="s">
        <v>1084</v>
      </c>
      <c r="B427" s="2">
        <v>46083</v>
      </c>
      <c r="C427" t="s">
        <v>1085</v>
      </c>
      <c r="D427" t="s">
        <v>1086</v>
      </c>
      <c r="E427" t="s">
        <v>26</v>
      </c>
      <c r="F427" t="s">
        <v>128</v>
      </c>
      <c r="G427" t="s">
        <v>28</v>
      </c>
      <c r="H427" t="s">
        <v>29</v>
      </c>
      <c r="I427" t="s">
        <v>35</v>
      </c>
      <c r="J427">
        <v>4</v>
      </c>
      <c r="K427">
        <v>4200</v>
      </c>
      <c r="L427">
        <v>0.05</v>
      </c>
      <c r="M427">
        <v>15960</v>
      </c>
      <c r="N427">
        <v>11600</v>
      </c>
      <c r="O427">
        <v>4360</v>
      </c>
    </row>
    <row r="428" spans="1:15" x14ac:dyDescent="0.25">
      <c r="A428" t="s">
        <v>1087</v>
      </c>
      <c r="B428" s="2">
        <v>46084</v>
      </c>
      <c r="C428" t="s">
        <v>853</v>
      </c>
      <c r="D428" t="s">
        <v>854</v>
      </c>
      <c r="E428" t="s">
        <v>26</v>
      </c>
      <c r="F428" t="s">
        <v>128</v>
      </c>
      <c r="G428" t="s">
        <v>51</v>
      </c>
      <c r="H428" t="s">
        <v>52</v>
      </c>
      <c r="I428" t="s">
        <v>53</v>
      </c>
      <c r="J428">
        <v>1</v>
      </c>
      <c r="K428">
        <v>2200</v>
      </c>
      <c r="L428">
        <v>0.2</v>
      </c>
      <c r="M428">
        <v>1760</v>
      </c>
      <c r="N428">
        <v>1450</v>
      </c>
      <c r="O428">
        <v>310</v>
      </c>
    </row>
    <row r="429" spans="1:15" x14ac:dyDescent="0.25">
      <c r="A429" t="s">
        <v>1088</v>
      </c>
      <c r="B429" s="2">
        <v>46085</v>
      </c>
      <c r="C429" t="s">
        <v>1089</v>
      </c>
      <c r="D429" t="s">
        <v>1090</v>
      </c>
      <c r="E429" t="s">
        <v>26</v>
      </c>
      <c r="F429" t="s">
        <v>128</v>
      </c>
      <c r="G429" t="s">
        <v>57</v>
      </c>
      <c r="H429" t="s">
        <v>58</v>
      </c>
      <c r="I429" t="s">
        <v>59</v>
      </c>
      <c r="J429">
        <v>3</v>
      </c>
      <c r="K429">
        <v>5600</v>
      </c>
      <c r="L429">
        <v>0.1</v>
      </c>
      <c r="M429">
        <v>15120</v>
      </c>
      <c r="N429">
        <v>11700</v>
      </c>
      <c r="O429">
        <v>3420</v>
      </c>
    </row>
    <row r="430" spans="1:15" x14ac:dyDescent="0.25">
      <c r="A430" t="s">
        <v>1091</v>
      </c>
      <c r="B430" s="2">
        <v>46086</v>
      </c>
      <c r="C430" t="s">
        <v>1092</v>
      </c>
      <c r="D430" t="s">
        <v>1093</v>
      </c>
      <c r="E430" t="s">
        <v>26</v>
      </c>
      <c r="F430" t="s">
        <v>27</v>
      </c>
      <c r="G430" t="s">
        <v>57</v>
      </c>
      <c r="H430" t="s">
        <v>188</v>
      </c>
      <c r="I430" t="s">
        <v>189</v>
      </c>
      <c r="J430">
        <v>2</v>
      </c>
      <c r="K430">
        <v>6200</v>
      </c>
      <c r="L430">
        <v>0.1</v>
      </c>
      <c r="M430">
        <v>11160</v>
      </c>
      <c r="N430">
        <v>8600</v>
      </c>
      <c r="O430">
        <v>2560</v>
      </c>
    </row>
    <row r="431" spans="1:15" x14ac:dyDescent="0.25">
      <c r="A431" t="s">
        <v>1094</v>
      </c>
      <c r="B431" s="2">
        <v>46087</v>
      </c>
      <c r="C431" t="s">
        <v>1095</v>
      </c>
      <c r="D431" t="s">
        <v>1096</v>
      </c>
      <c r="E431" t="s">
        <v>18</v>
      </c>
      <c r="F431" t="s">
        <v>227</v>
      </c>
      <c r="G431" t="s">
        <v>20</v>
      </c>
      <c r="H431" t="s">
        <v>84</v>
      </c>
      <c r="I431" t="s">
        <v>85</v>
      </c>
      <c r="J431">
        <v>4</v>
      </c>
      <c r="K431">
        <v>280</v>
      </c>
      <c r="L431">
        <v>0.2</v>
      </c>
      <c r="M431">
        <v>896</v>
      </c>
      <c r="N431">
        <v>640</v>
      </c>
      <c r="O431">
        <v>256</v>
      </c>
    </row>
    <row r="432" spans="1:15" x14ac:dyDescent="0.25">
      <c r="A432" t="s">
        <v>1097</v>
      </c>
      <c r="B432" s="2">
        <v>46088</v>
      </c>
      <c r="C432" t="s">
        <v>126</v>
      </c>
      <c r="D432" t="s">
        <v>127</v>
      </c>
      <c r="E432" t="s">
        <v>39</v>
      </c>
      <c r="F432" t="s">
        <v>76</v>
      </c>
      <c r="G432" t="s">
        <v>20</v>
      </c>
      <c r="H432" t="s">
        <v>84</v>
      </c>
      <c r="I432" t="s">
        <v>85</v>
      </c>
      <c r="J432">
        <v>5</v>
      </c>
      <c r="K432">
        <v>280</v>
      </c>
      <c r="L432">
        <v>0.05</v>
      </c>
      <c r="M432">
        <v>1330</v>
      </c>
      <c r="N432">
        <v>800</v>
      </c>
      <c r="O432">
        <v>530</v>
      </c>
    </row>
    <row r="433" spans="1:15" x14ac:dyDescent="0.25">
      <c r="A433" t="s">
        <v>1098</v>
      </c>
      <c r="B433" s="2">
        <v>46089</v>
      </c>
      <c r="C433" t="s">
        <v>647</v>
      </c>
      <c r="D433" t="s">
        <v>648</v>
      </c>
      <c r="E433" t="s">
        <v>26</v>
      </c>
      <c r="F433" t="s">
        <v>204</v>
      </c>
      <c r="G433" t="s">
        <v>28</v>
      </c>
      <c r="H433" t="s">
        <v>29</v>
      </c>
      <c r="I433" t="s">
        <v>35</v>
      </c>
      <c r="J433">
        <v>4</v>
      </c>
      <c r="K433">
        <v>4200</v>
      </c>
      <c r="L433">
        <v>0.05</v>
      </c>
      <c r="M433">
        <v>15960</v>
      </c>
      <c r="N433">
        <v>11600</v>
      </c>
      <c r="O433">
        <v>4360</v>
      </c>
    </row>
    <row r="434" spans="1:15" x14ac:dyDescent="0.25">
      <c r="A434" t="s">
        <v>1099</v>
      </c>
      <c r="B434" s="2">
        <v>46090</v>
      </c>
      <c r="C434" t="s">
        <v>1022</v>
      </c>
      <c r="D434" t="s">
        <v>1023</v>
      </c>
      <c r="E434" t="s">
        <v>96</v>
      </c>
      <c r="F434" t="s">
        <v>200</v>
      </c>
      <c r="G434" t="s">
        <v>28</v>
      </c>
      <c r="H434" t="s">
        <v>29</v>
      </c>
      <c r="I434" t="s">
        <v>30</v>
      </c>
      <c r="J434">
        <v>3</v>
      </c>
      <c r="K434">
        <v>1900</v>
      </c>
      <c r="L434">
        <v>0.2</v>
      </c>
      <c r="M434">
        <v>4560</v>
      </c>
      <c r="N434">
        <v>3750</v>
      </c>
      <c r="O434">
        <v>810</v>
      </c>
    </row>
    <row r="435" spans="1:15" x14ac:dyDescent="0.25">
      <c r="A435" t="s">
        <v>1100</v>
      </c>
      <c r="B435" s="2">
        <v>46091</v>
      </c>
      <c r="C435" t="s">
        <v>630</v>
      </c>
      <c r="D435" t="s">
        <v>631</v>
      </c>
      <c r="E435" t="s">
        <v>39</v>
      </c>
      <c r="F435" t="s">
        <v>71</v>
      </c>
      <c r="G435" t="s">
        <v>28</v>
      </c>
      <c r="H435" t="s">
        <v>63</v>
      </c>
      <c r="I435" t="s">
        <v>64</v>
      </c>
      <c r="J435">
        <v>5</v>
      </c>
      <c r="K435">
        <v>2400</v>
      </c>
      <c r="L435">
        <v>0.1</v>
      </c>
      <c r="M435">
        <v>10800</v>
      </c>
      <c r="N435">
        <v>8250</v>
      </c>
      <c r="O435">
        <v>2550</v>
      </c>
    </row>
    <row r="436" spans="1:15" x14ac:dyDescent="0.25">
      <c r="A436" t="s">
        <v>1101</v>
      </c>
      <c r="B436" s="2">
        <v>46092</v>
      </c>
      <c r="C436" t="s">
        <v>475</v>
      </c>
      <c r="D436" t="s">
        <v>476</v>
      </c>
      <c r="E436" t="s">
        <v>26</v>
      </c>
      <c r="F436" t="s">
        <v>128</v>
      </c>
      <c r="G436" t="s">
        <v>28</v>
      </c>
      <c r="H436" t="s">
        <v>63</v>
      </c>
      <c r="I436" t="s">
        <v>64</v>
      </c>
      <c r="J436">
        <v>2</v>
      </c>
      <c r="K436">
        <v>2400</v>
      </c>
      <c r="L436">
        <v>0</v>
      </c>
      <c r="M436">
        <v>4800</v>
      </c>
      <c r="N436">
        <v>3300</v>
      </c>
      <c r="O436">
        <v>1500</v>
      </c>
    </row>
    <row r="437" spans="1:15" x14ac:dyDescent="0.25">
      <c r="A437" t="s">
        <v>1102</v>
      </c>
      <c r="B437" s="2">
        <v>46093</v>
      </c>
      <c r="C437" t="s">
        <v>994</v>
      </c>
      <c r="D437" t="s">
        <v>995</v>
      </c>
      <c r="E437" t="s">
        <v>26</v>
      </c>
      <c r="F437" t="s">
        <v>27</v>
      </c>
      <c r="G437" t="s">
        <v>20</v>
      </c>
      <c r="H437" t="s">
        <v>84</v>
      </c>
      <c r="I437" t="s">
        <v>85</v>
      </c>
      <c r="J437">
        <v>3</v>
      </c>
      <c r="K437">
        <v>280</v>
      </c>
      <c r="L437">
        <v>0.2</v>
      </c>
      <c r="M437">
        <v>672</v>
      </c>
      <c r="N437">
        <v>480</v>
      </c>
      <c r="O437">
        <v>192</v>
      </c>
    </row>
    <row r="438" spans="1:15" x14ac:dyDescent="0.25">
      <c r="A438" t="s">
        <v>1103</v>
      </c>
      <c r="B438" s="2">
        <v>46094</v>
      </c>
      <c r="C438" t="s">
        <v>1104</v>
      </c>
      <c r="D438" t="s">
        <v>1105</v>
      </c>
      <c r="E438" t="s">
        <v>26</v>
      </c>
      <c r="F438" t="s">
        <v>46</v>
      </c>
      <c r="G438" t="s">
        <v>57</v>
      </c>
      <c r="H438" t="s">
        <v>188</v>
      </c>
      <c r="I438" t="s">
        <v>189</v>
      </c>
      <c r="J438">
        <v>4</v>
      </c>
      <c r="K438">
        <v>6200</v>
      </c>
      <c r="L438">
        <v>0.15</v>
      </c>
      <c r="M438">
        <v>21080</v>
      </c>
      <c r="N438">
        <v>17200</v>
      </c>
      <c r="O438">
        <v>3880</v>
      </c>
    </row>
    <row r="439" spans="1:15" x14ac:dyDescent="0.25">
      <c r="A439" t="s">
        <v>1106</v>
      </c>
      <c r="B439" s="2">
        <v>46095</v>
      </c>
      <c r="C439" t="s">
        <v>585</v>
      </c>
      <c r="D439" t="s">
        <v>586</v>
      </c>
      <c r="E439" t="s">
        <v>96</v>
      </c>
      <c r="F439" t="s">
        <v>120</v>
      </c>
      <c r="G439" t="s">
        <v>51</v>
      </c>
      <c r="H439" t="s">
        <v>52</v>
      </c>
      <c r="I439" t="s">
        <v>208</v>
      </c>
      <c r="J439">
        <v>1</v>
      </c>
      <c r="K439">
        <v>2800</v>
      </c>
      <c r="L439">
        <v>0.2</v>
      </c>
      <c r="M439">
        <v>2240</v>
      </c>
      <c r="N439">
        <v>1800</v>
      </c>
      <c r="O439">
        <v>440</v>
      </c>
    </row>
    <row r="440" spans="1:15" x14ac:dyDescent="0.25">
      <c r="A440" t="s">
        <v>1107</v>
      </c>
      <c r="B440" s="2">
        <v>46096</v>
      </c>
      <c r="C440" t="s">
        <v>1108</v>
      </c>
      <c r="D440" t="s">
        <v>1109</v>
      </c>
      <c r="E440" t="s">
        <v>39</v>
      </c>
      <c r="F440" t="s">
        <v>71</v>
      </c>
      <c r="G440" t="s">
        <v>28</v>
      </c>
      <c r="H440" t="s">
        <v>29</v>
      </c>
      <c r="I440" t="s">
        <v>30</v>
      </c>
      <c r="J440">
        <v>4</v>
      </c>
      <c r="K440">
        <v>1900</v>
      </c>
      <c r="L440">
        <v>0.15</v>
      </c>
      <c r="M440">
        <v>6460</v>
      </c>
      <c r="N440">
        <v>5000</v>
      </c>
      <c r="O440">
        <v>1460</v>
      </c>
    </row>
    <row r="441" spans="1:15" x14ac:dyDescent="0.25">
      <c r="A441" t="s">
        <v>1110</v>
      </c>
      <c r="B441" s="2">
        <v>46097</v>
      </c>
      <c r="C441" t="s">
        <v>1111</v>
      </c>
      <c r="D441" t="s">
        <v>1112</v>
      </c>
      <c r="E441" t="s">
        <v>96</v>
      </c>
      <c r="F441" t="s">
        <v>120</v>
      </c>
      <c r="G441" t="s">
        <v>51</v>
      </c>
      <c r="H441" t="s">
        <v>52</v>
      </c>
      <c r="I441" t="s">
        <v>208</v>
      </c>
      <c r="J441">
        <v>4</v>
      </c>
      <c r="K441">
        <v>2800</v>
      </c>
      <c r="L441">
        <v>0.2</v>
      </c>
      <c r="M441">
        <v>8960</v>
      </c>
      <c r="N441">
        <v>7200</v>
      </c>
      <c r="O441">
        <v>1760</v>
      </c>
    </row>
    <row r="442" spans="1:15" x14ac:dyDescent="0.25">
      <c r="A442" t="s">
        <v>1113</v>
      </c>
      <c r="B442" s="2">
        <v>46098</v>
      </c>
      <c r="C442" t="s">
        <v>821</v>
      </c>
      <c r="D442" t="s">
        <v>822</v>
      </c>
      <c r="E442" t="s">
        <v>39</v>
      </c>
      <c r="F442" t="s">
        <v>124</v>
      </c>
      <c r="G442" t="s">
        <v>20</v>
      </c>
      <c r="H442" t="s">
        <v>21</v>
      </c>
      <c r="I442" t="s">
        <v>22</v>
      </c>
      <c r="J442">
        <v>3</v>
      </c>
      <c r="K442">
        <v>650</v>
      </c>
      <c r="L442">
        <v>0.15</v>
      </c>
      <c r="M442">
        <v>1657.5</v>
      </c>
      <c r="N442">
        <v>1170</v>
      </c>
      <c r="O442">
        <v>487.5</v>
      </c>
    </row>
    <row r="443" spans="1:15" x14ac:dyDescent="0.25">
      <c r="A443" t="s">
        <v>1114</v>
      </c>
      <c r="B443" s="2">
        <v>46099</v>
      </c>
      <c r="C443" t="s">
        <v>1108</v>
      </c>
      <c r="D443" t="s">
        <v>1109</v>
      </c>
      <c r="E443" t="s">
        <v>39</v>
      </c>
      <c r="F443" t="s">
        <v>71</v>
      </c>
      <c r="G443" t="s">
        <v>57</v>
      </c>
      <c r="H443" t="s">
        <v>188</v>
      </c>
      <c r="I443" t="s">
        <v>189</v>
      </c>
      <c r="J443">
        <v>3</v>
      </c>
      <c r="K443">
        <v>6200</v>
      </c>
      <c r="L443">
        <v>0.15</v>
      </c>
      <c r="M443">
        <v>15810</v>
      </c>
      <c r="N443">
        <v>12900</v>
      </c>
      <c r="O443">
        <v>2910</v>
      </c>
    </row>
    <row r="444" spans="1:15" x14ac:dyDescent="0.25">
      <c r="A444" t="s">
        <v>1115</v>
      </c>
      <c r="B444" s="2">
        <v>46100</v>
      </c>
      <c r="C444" t="s">
        <v>284</v>
      </c>
      <c r="D444" t="s">
        <v>285</v>
      </c>
      <c r="E444" t="s">
        <v>96</v>
      </c>
      <c r="F444" t="s">
        <v>120</v>
      </c>
      <c r="G444" t="s">
        <v>20</v>
      </c>
      <c r="H444" t="s">
        <v>84</v>
      </c>
      <c r="I444" t="s">
        <v>85</v>
      </c>
      <c r="J444">
        <v>4</v>
      </c>
      <c r="K444">
        <v>280</v>
      </c>
      <c r="L444">
        <v>0.2</v>
      </c>
      <c r="M444">
        <v>896</v>
      </c>
      <c r="N444">
        <v>640</v>
      </c>
      <c r="O444">
        <v>256</v>
      </c>
    </row>
    <row r="445" spans="1:15" x14ac:dyDescent="0.25">
      <c r="A445" t="s">
        <v>1116</v>
      </c>
      <c r="B445" s="2">
        <v>46101</v>
      </c>
      <c r="C445" t="s">
        <v>1117</v>
      </c>
      <c r="D445" t="s">
        <v>1118</v>
      </c>
      <c r="E445" t="s">
        <v>18</v>
      </c>
      <c r="F445" t="s">
        <v>94</v>
      </c>
      <c r="G445" t="s">
        <v>51</v>
      </c>
      <c r="H445" t="s">
        <v>52</v>
      </c>
      <c r="I445" t="s">
        <v>53</v>
      </c>
      <c r="J445">
        <v>1</v>
      </c>
      <c r="K445">
        <v>2200</v>
      </c>
      <c r="L445">
        <v>0.1</v>
      </c>
      <c r="M445">
        <v>1980</v>
      </c>
      <c r="N445">
        <v>1450</v>
      </c>
      <c r="O445">
        <v>530</v>
      </c>
    </row>
    <row r="446" spans="1:15" x14ac:dyDescent="0.25">
      <c r="A446" t="s">
        <v>1119</v>
      </c>
      <c r="B446" s="2">
        <v>46102</v>
      </c>
      <c r="C446" t="s">
        <v>954</v>
      </c>
      <c r="D446" t="s">
        <v>955</v>
      </c>
      <c r="E446" t="s">
        <v>26</v>
      </c>
      <c r="F446" t="s">
        <v>27</v>
      </c>
      <c r="G446" t="s">
        <v>51</v>
      </c>
      <c r="H446" t="s">
        <v>21</v>
      </c>
      <c r="I446" t="s">
        <v>116</v>
      </c>
      <c r="J446">
        <v>1</v>
      </c>
      <c r="K446">
        <v>1400</v>
      </c>
      <c r="L446">
        <v>0.05</v>
      </c>
      <c r="M446">
        <v>1330</v>
      </c>
      <c r="N446">
        <v>900</v>
      </c>
      <c r="O446">
        <v>430</v>
      </c>
    </row>
    <row r="447" spans="1:15" x14ac:dyDescent="0.25">
      <c r="A447" t="s">
        <v>1120</v>
      </c>
      <c r="B447" s="2">
        <v>46103</v>
      </c>
      <c r="C447" t="s">
        <v>846</v>
      </c>
      <c r="D447" t="s">
        <v>847</v>
      </c>
      <c r="E447" t="s">
        <v>39</v>
      </c>
      <c r="F447" t="s">
        <v>71</v>
      </c>
      <c r="G447" t="s">
        <v>51</v>
      </c>
      <c r="H447" t="s">
        <v>52</v>
      </c>
      <c r="I447" t="s">
        <v>208</v>
      </c>
      <c r="J447">
        <v>3</v>
      </c>
      <c r="K447">
        <v>2800</v>
      </c>
      <c r="L447">
        <v>0</v>
      </c>
      <c r="M447">
        <v>8400</v>
      </c>
      <c r="N447">
        <v>5400</v>
      </c>
      <c r="O447">
        <v>3000</v>
      </c>
    </row>
    <row r="448" spans="1:15" x14ac:dyDescent="0.25">
      <c r="A448" t="s">
        <v>1121</v>
      </c>
      <c r="B448" s="2">
        <v>46104</v>
      </c>
      <c r="C448" t="s">
        <v>611</v>
      </c>
      <c r="D448" t="s">
        <v>612</v>
      </c>
      <c r="E448" t="s">
        <v>39</v>
      </c>
      <c r="F448" t="s">
        <v>71</v>
      </c>
      <c r="G448" t="s">
        <v>20</v>
      </c>
      <c r="H448" t="s">
        <v>41</v>
      </c>
      <c r="I448" t="s">
        <v>42</v>
      </c>
      <c r="J448">
        <v>4</v>
      </c>
      <c r="K448">
        <v>520</v>
      </c>
      <c r="L448">
        <v>0.25</v>
      </c>
      <c r="M448">
        <v>1560</v>
      </c>
      <c r="N448">
        <v>1320</v>
      </c>
      <c r="O448">
        <v>240</v>
      </c>
    </row>
    <row r="449" spans="1:15" x14ac:dyDescent="0.25">
      <c r="A449" t="s">
        <v>1122</v>
      </c>
      <c r="B449" s="2">
        <v>46105</v>
      </c>
      <c r="C449" t="s">
        <v>453</v>
      </c>
      <c r="D449" t="s">
        <v>454</v>
      </c>
      <c r="E449" t="s">
        <v>26</v>
      </c>
      <c r="F449" t="s">
        <v>128</v>
      </c>
      <c r="G449" t="s">
        <v>28</v>
      </c>
      <c r="H449" t="s">
        <v>29</v>
      </c>
      <c r="I449" t="s">
        <v>47</v>
      </c>
      <c r="J449">
        <v>2</v>
      </c>
      <c r="K449">
        <v>6800</v>
      </c>
      <c r="L449">
        <v>0.1</v>
      </c>
      <c r="M449">
        <v>12240</v>
      </c>
      <c r="N449">
        <v>9400</v>
      </c>
      <c r="O449">
        <v>2840</v>
      </c>
    </row>
    <row r="450" spans="1:15" x14ac:dyDescent="0.25">
      <c r="A450" t="s">
        <v>1123</v>
      </c>
      <c r="B450" s="2">
        <v>46106</v>
      </c>
      <c r="C450" t="s">
        <v>1124</v>
      </c>
      <c r="D450" t="s">
        <v>1125</v>
      </c>
      <c r="E450" t="s">
        <v>96</v>
      </c>
      <c r="F450" t="s">
        <v>120</v>
      </c>
      <c r="G450" t="s">
        <v>51</v>
      </c>
      <c r="H450" t="s">
        <v>89</v>
      </c>
      <c r="I450" t="s">
        <v>90</v>
      </c>
      <c r="J450">
        <v>3</v>
      </c>
      <c r="K450">
        <v>10500</v>
      </c>
      <c r="L450">
        <v>0.1</v>
      </c>
      <c r="M450">
        <v>28350</v>
      </c>
      <c r="N450">
        <v>22800</v>
      </c>
      <c r="O450">
        <v>5550</v>
      </c>
    </row>
    <row r="451" spans="1:15" x14ac:dyDescent="0.25">
      <c r="A451" t="s">
        <v>1126</v>
      </c>
      <c r="B451" s="2">
        <v>46107</v>
      </c>
      <c r="C451" t="s">
        <v>1127</v>
      </c>
      <c r="D451" t="s">
        <v>1128</v>
      </c>
      <c r="E451" t="s">
        <v>26</v>
      </c>
      <c r="F451" t="s">
        <v>27</v>
      </c>
      <c r="G451" t="s">
        <v>51</v>
      </c>
      <c r="H451" t="s">
        <v>52</v>
      </c>
      <c r="I451" t="s">
        <v>208</v>
      </c>
      <c r="J451">
        <v>1</v>
      </c>
      <c r="K451">
        <v>2800</v>
      </c>
      <c r="L451">
        <v>0.2</v>
      </c>
      <c r="M451">
        <v>2240</v>
      </c>
      <c r="N451">
        <v>1800</v>
      </c>
      <c r="O451">
        <v>440</v>
      </c>
    </row>
    <row r="452" spans="1:15" x14ac:dyDescent="0.25">
      <c r="A452" t="s">
        <v>1129</v>
      </c>
      <c r="B452" s="2">
        <v>46108</v>
      </c>
      <c r="C452" t="s">
        <v>1130</v>
      </c>
      <c r="D452" t="s">
        <v>1131</v>
      </c>
      <c r="E452" t="s">
        <v>96</v>
      </c>
      <c r="F452" t="s">
        <v>120</v>
      </c>
      <c r="G452" t="s">
        <v>57</v>
      </c>
      <c r="H452" t="s">
        <v>104</v>
      </c>
      <c r="I452" t="s">
        <v>105</v>
      </c>
      <c r="J452">
        <v>3</v>
      </c>
      <c r="K452">
        <v>7500</v>
      </c>
      <c r="L452">
        <v>0</v>
      </c>
      <c r="M452">
        <v>22500</v>
      </c>
      <c r="N452">
        <v>15600</v>
      </c>
      <c r="O452">
        <v>6900</v>
      </c>
    </row>
    <row r="453" spans="1:15" x14ac:dyDescent="0.25">
      <c r="A453" t="s">
        <v>1132</v>
      </c>
      <c r="B453" s="2">
        <v>46109</v>
      </c>
      <c r="C453" t="s">
        <v>487</v>
      </c>
      <c r="D453" t="s">
        <v>488</v>
      </c>
      <c r="E453" t="s">
        <v>18</v>
      </c>
      <c r="F453" t="s">
        <v>115</v>
      </c>
      <c r="G453" t="s">
        <v>57</v>
      </c>
      <c r="H453" t="s">
        <v>58</v>
      </c>
      <c r="I453" t="s">
        <v>129</v>
      </c>
      <c r="J453">
        <v>3</v>
      </c>
      <c r="K453">
        <v>4800</v>
      </c>
      <c r="L453">
        <v>0.15</v>
      </c>
      <c r="M453">
        <v>12240</v>
      </c>
      <c r="N453">
        <v>9900</v>
      </c>
      <c r="O453">
        <v>2340</v>
      </c>
    </row>
    <row r="454" spans="1:15" x14ac:dyDescent="0.25">
      <c r="A454" t="s">
        <v>1133</v>
      </c>
      <c r="B454" s="2">
        <v>46110</v>
      </c>
      <c r="C454" t="s">
        <v>491</v>
      </c>
      <c r="D454" t="s">
        <v>492</v>
      </c>
      <c r="E454" t="s">
        <v>18</v>
      </c>
      <c r="F454" t="s">
        <v>94</v>
      </c>
      <c r="G454" t="s">
        <v>57</v>
      </c>
      <c r="H454" t="s">
        <v>188</v>
      </c>
      <c r="I454" t="s">
        <v>189</v>
      </c>
      <c r="J454">
        <v>3</v>
      </c>
      <c r="K454">
        <v>6200</v>
      </c>
      <c r="L454">
        <v>0.2</v>
      </c>
      <c r="M454">
        <v>14880</v>
      </c>
      <c r="N454">
        <v>12900</v>
      </c>
      <c r="O454">
        <v>1980</v>
      </c>
    </row>
    <row r="455" spans="1:15" x14ac:dyDescent="0.25">
      <c r="A455" t="s">
        <v>1134</v>
      </c>
      <c r="B455" s="2">
        <v>46111</v>
      </c>
      <c r="C455" t="s">
        <v>360</v>
      </c>
      <c r="D455" t="s">
        <v>361</v>
      </c>
      <c r="E455" t="s">
        <v>39</v>
      </c>
      <c r="F455" t="s">
        <v>76</v>
      </c>
      <c r="G455" t="s">
        <v>51</v>
      </c>
      <c r="H455" t="s">
        <v>52</v>
      </c>
      <c r="I455" t="s">
        <v>53</v>
      </c>
      <c r="J455">
        <v>2</v>
      </c>
      <c r="K455">
        <v>2200</v>
      </c>
      <c r="L455">
        <v>0.1</v>
      </c>
      <c r="M455">
        <v>3960</v>
      </c>
      <c r="N455">
        <v>2900</v>
      </c>
      <c r="O455">
        <v>1060</v>
      </c>
    </row>
    <row r="456" spans="1:15" x14ac:dyDescent="0.25">
      <c r="A456" t="s">
        <v>1135</v>
      </c>
      <c r="B456" s="2">
        <v>46112</v>
      </c>
      <c r="C456" t="s">
        <v>439</v>
      </c>
      <c r="D456" t="s">
        <v>440</v>
      </c>
      <c r="E456" t="s">
        <v>96</v>
      </c>
      <c r="F456" t="s">
        <v>97</v>
      </c>
      <c r="G456" t="s">
        <v>51</v>
      </c>
      <c r="H456" t="s">
        <v>21</v>
      </c>
      <c r="I456" t="s">
        <v>72</v>
      </c>
      <c r="J456">
        <v>3</v>
      </c>
      <c r="K456">
        <v>1800</v>
      </c>
      <c r="L456">
        <v>0.1</v>
      </c>
      <c r="M456">
        <v>4860</v>
      </c>
      <c r="N456">
        <v>3300</v>
      </c>
      <c r="O456">
        <v>1560</v>
      </c>
    </row>
    <row r="457" spans="1:15" x14ac:dyDescent="0.25">
      <c r="A457" t="s">
        <v>1136</v>
      </c>
      <c r="B457" s="2">
        <v>46113</v>
      </c>
      <c r="C457" t="s">
        <v>865</v>
      </c>
      <c r="D457" t="s">
        <v>866</v>
      </c>
      <c r="E457" t="s">
        <v>18</v>
      </c>
      <c r="F457" t="s">
        <v>94</v>
      </c>
      <c r="G457" t="s">
        <v>51</v>
      </c>
      <c r="H457" t="s">
        <v>89</v>
      </c>
      <c r="I457" t="s">
        <v>90</v>
      </c>
      <c r="J457">
        <v>3</v>
      </c>
      <c r="K457">
        <v>10500</v>
      </c>
      <c r="L457">
        <v>0.1</v>
      </c>
      <c r="M457">
        <v>28350</v>
      </c>
      <c r="N457">
        <v>22800</v>
      </c>
      <c r="O457">
        <v>5550</v>
      </c>
    </row>
    <row r="458" spans="1:15" x14ac:dyDescent="0.25">
      <c r="A458" t="s">
        <v>1137</v>
      </c>
      <c r="B458" s="2">
        <v>46114</v>
      </c>
      <c r="C458" t="s">
        <v>1138</v>
      </c>
      <c r="D458" t="s">
        <v>1139</v>
      </c>
      <c r="E458" t="s">
        <v>26</v>
      </c>
      <c r="F458" t="s">
        <v>128</v>
      </c>
      <c r="G458" t="s">
        <v>28</v>
      </c>
      <c r="H458" t="s">
        <v>29</v>
      </c>
      <c r="I458" t="s">
        <v>30</v>
      </c>
      <c r="J458">
        <v>3</v>
      </c>
      <c r="K458">
        <v>1900</v>
      </c>
      <c r="L458">
        <v>0</v>
      </c>
      <c r="M458">
        <v>5700</v>
      </c>
      <c r="N458">
        <v>3750</v>
      </c>
      <c r="O458">
        <v>1950</v>
      </c>
    </row>
    <row r="459" spans="1:15" x14ac:dyDescent="0.25">
      <c r="A459" t="s">
        <v>1140</v>
      </c>
      <c r="B459" s="2">
        <v>46115</v>
      </c>
      <c r="C459" t="s">
        <v>640</v>
      </c>
      <c r="D459" t="s">
        <v>641</v>
      </c>
      <c r="E459" t="s">
        <v>39</v>
      </c>
      <c r="F459" t="s">
        <v>76</v>
      </c>
      <c r="G459" t="s">
        <v>51</v>
      </c>
      <c r="H459" t="s">
        <v>21</v>
      </c>
      <c r="I459" t="s">
        <v>72</v>
      </c>
      <c r="J459">
        <v>2</v>
      </c>
      <c r="K459">
        <v>1800</v>
      </c>
      <c r="L459">
        <v>0.1</v>
      </c>
      <c r="M459">
        <v>3240</v>
      </c>
      <c r="N459">
        <v>2200</v>
      </c>
      <c r="O459">
        <v>1040</v>
      </c>
    </row>
    <row r="460" spans="1:15" x14ac:dyDescent="0.25">
      <c r="A460" t="s">
        <v>1141</v>
      </c>
      <c r="B460" s="2">
        <v>46116</v>
      </c>
      <c r="C460" t="s">
        <v>164</v>
      </c>
      <c r="D460" t="s">
        <v>165</v>
      </c>
      <c r="E460" t="s">
        <v>96</v>
      </c>
      <c r="F460" t="s">
        <v>196</v>
      </c>
      <c r="G460" t="s">
        <v>51</v>
      </c>
      <c r="H460" t="s">
        <v>21</v>
      </c>
      <c r="I460" t="s">
        <v>72</v>
      </c>
      <c r="J460">
        <v>2</v>
      </c>
      <c r="K460">
        <v>1800</v>
      </c>
      <c r="L460">
        <v>0.2</v>
      </c>
      <c r="M460">
        <v>2880</v>
      </c>
      <c r="N460">
        <v>2200</v>
      </c>
      <c r="O460">
        <v>680</v>
      </c>
    </row>
    <row r="461" spans="1:15" x14ac:dyDescent="0.25">
      <c r="A461" t="s">
        <v>1142</v>
      </c>
      <c r="B461" s="2">
        <v>46117</v>
      </c>
      <c r="C461" t="s">
        <v>688</v>
      </c>
      <c r="D461" t="s">
        <v>689</v>
      </c>
      <c r="E461" t="s">
        <v>39</v>
      </c>
      <c r="F461" t="s">
        <v>76</v>
      </c>
      <c r="G461" t="s">
        <v>51</v>
      </c>
      <c r="H461" t="s">
        <v>89</v>
      </c>
      <c r="I461" t="s">
        <v>90</v>
      </c>
      <c r="J461">
        <v>5</v>
      </c>
      <c r="K461">
        <v>10500</v>
      </c>
      <c r="L461">
        <v>0.15</v>
      </c>
      <c r="M461">
        <v>44625</v>
      </c>
      <c r="N461">
        <v>38000</v>
      </c>
      <c r="O461">
        <v>6625</v>
      </c>
    </row>
    <row r="462" spans="1:15" x14ac:dyDescent="0.25">
      <c r="A462" t="s">
        <v>1143</v>
      </c>
      <c r="B462" s="2">
        <v>46118</v>
      </c>
      <c r="C462" t="s">
        <v>578</v>
      </c>
      <c r="D462" t="s">
        <v>579</v>
      </c>
      <c r="E462" t="s">
        <v>26</v>
      </c>
      <c r="F462" t="s">
        <v>128</v>
      </c>
      <c r="G462" t="s">
        <v>20</v>
      </c>
      <c r="H462" t="s">
        <v>84</v>
      </c>
      <c r="I462" t="s">
        <v>85</v>
      </c>
      <c r="J462">
        <v>3</v>
      </c>
      <c r="K462">
        <v>280</v>
      </c>
      <c r="L462">
        <v>0.25</v>
      </c>
      <c r="M462">
        <v>630</v>
      </c>
      <c r="N462">
        <v>480</v>
      </c>
      <c r="O462">
        <v>150</v>
      </c>
    </row>
    <row r="463" spans="1:15" x14ac:dyDescent="0.25">
      <c r="A463" t="s">
        <v>1144</v>
      </c>
      <c r="B463" s="2">
        <v>46119</v>
      </c>
      <c r="C463" t="s">
        <v>1145</v>
      </c>
      <c r="D463" t="s">
        <v>1146</v>
      </c>
      <c r="E463" t="s">
        <v>39</v>
      </c>
      <c r="F463" t="s">
        <v>40</v>
      </c>
      <c r="G463" t="s">
        <v>57</v>
      </c>
      <c r="H463" t="s">
        <v>58</v>
      </c>
      <c r="I463" t="s">
        <v>129</v>
      </c>
      <c r="J463">
        <v>2</v>
      </c>
      <c r="K463">
        <v>4800</v>
      </c>
      <c r="L463">
        <v>0.1</v>
      </c>
      <c r="M463">
        <v>8640</v>
      </c>
      <c r="N463">
        <v>6600</v>
      </c>
      <c r="O463">
        <v>2040</v>
      </c>
    </row>
    <row r="464" spans="1:15" x14ac:dyDescent="0.25">
      <c r="A464" t="s">
        <v>1147</v>
      </c>
      <c r="B464" s="2">
        <v>46120</v>
      </c>
      <c r="C464" t="s">
        <v>399</v>
      </c>
      <c r="D464" t="s">
        <v>400</v>
      </c>
      <c r="E464" t="s">
        <v>18</v>
      </c>
      <c r="F464" t="s">
        <v>227</v>
      </c>
      <c r="G464" t="s">
        <v>57</v>
      </c>
      <c r="H464" t="s">
        <v>188</v>
      </c>
      <c r="I464" t="s">
        <v>189</v>
      </c>
      <c r="J464">
        <v>3</v>
      </c>
      <c r="K464">
        <v>6200</v>
      </c>
      <c r="L464">
        <v>0.1</v>
      </c>
      <c r="M464">
        <v>16740</v>
      </c>
      <c r="N464">
        <v>12900</v>
      </c>
      <c r="O464">
        <v>3840</v>
      </c>
    </row>
    <row r="465" spans="1:15" x14ac:dyDescent="0.25">
      <c r="A465" t="s">
        <v>1148</v>
      </c>
      <c r="B465" s="2">
        <v>46121</v>
      </c>
      <c r="C465" t="s">
        <v>1149</v>
      </c>
      <c r="D465" t="s">
        <v>1150</v>
      </c>
      <c r="E465" t="s">
        <v>39</v>
      </c>
      <c r="F465" t="s">
        <v>124</v>
      </c>
      <c r="G465" t="s">
        <v>57</v>
      </c>
      <c r="H465" t="s">
        <v>188</v>
      </c>
      <c r="I465" t="s">
        <v>189</v>
      </c>
      <c r="J465">
        <v>1</v>
      </c>
      <c r="K465">
        <v>6200</v>
      </c>
      <c r="L465">
        <v>0.05</v>
      </c>
      <c r="M465">
        <v>5890</v>
      </c>
      <c r="N465">
        <v>4300</v>
      </c>
      <c r="O465">
        <v>1590</v>
      </c>
    </row>
    <row r="466" spans="1:15" x14ac:dyDescent="0.25">
      <c r="A466" t="s">
        <v>1151</v>
      </c>
      <c r="B466" s="2">
        <v>46122</v>
      </c>
      <c r="C466" t="s">
        <v>1152</v>
      </c>
      <c r="D466" t="s">
        <v>1153</v>
      </c>
      <c r="E466" t="s">
        <v>39</v>
      </c>
      <c r="F466" t="s">
        <v>76</v>
      </c>
      <c r="G466" t="s">
        <v>57</v>
      </c>
      <c r="H466" t="s">
        <v>58</v>
      </c>
      <c r="I466" t="s">
        <v>59</v>
      </c>
      <c r="J466">
        <v>4</v>
      </c>
      <c r="K466">
        <v>5600</v>
      </c>
      <c r="L466">
        <v>0.15</v>
      </c>
      <c r="M466">
        <v>19040</v>
      </c>
      <c r="N466">
        <v>15600</v>
      </c>
      <c r="O466">
        <v>3440</v>
      </c>
    </row>
    <row r="467" spans="1:15" x14ac:dyDescent="0.25">
      <c r="A467" t="s">
        <v>1154</v>
      </c>
      <c r="B467" s="2">
        <v>46123</v>
      </c>
      <c r="C467" t="s">
        <v>1049</v>
      </c>
      <c r="D467" t="s">
        <v>1050</v>
      </c>
      <c r="E467" t="s">
        <v>18</v>
      </c>
      <c r="F467" t="s">
        <v>94</v>
      </c>
      <c r="G467" t="s">
        <v>57</v>
      </c>
      <c r="H467" t="s">
        <v>104</v>
      </c>
      <c r="I467" t="s">
        <v>105</v>
      </c>
      <c r="J467">
        <v>3</v>
      </c>
      <c r="K467">
        <v>7500</v>
      </c>
      <c r="L467">
        <v>0.2</v>
      </c>
      <c r="M467">
        <v>18000</v>
      </c>
      <c r="N467">
        <v>15600</v>
      </c>
      <c r="O467">
        <v>2400</v>
      </c>
    </row>
    <row r="468" spans="1:15" x14ac:dyDescent="0.25">
      <c r="A468" t="s">
        <v>1155</v>
      </c>
      <c r="B468" s="2">
        <v>46124</v>
      </c>
      <c r="C468" t="s">
        <v>375</v>
      </c>
      <c r="D468" t="s">
        <v>376</v>
      </c>
      <c r="E468" t="s">
        <v>39</v>
      </c>
      <c r="F468" t="s">
        <v>124</v>
      </c>
      <c r="G468" t="s">
        <v>57</v>
      </c>
      <c r="H468" t="s">
        <v>104</v>
      </c>
      <c r="I468" t="s">
        <v>105</v>
      </c>
      <c r="J468">
        <v>4</v>
      </c>
      <c r="K468">
        <v>7500</v>
      </c>
      <c r="L468">
        <v>0.2</v>
      </c>
      <c r="M468">
        <v>24000</v>
      </c>
      <c r="N468">
        <v>20800</v>
      </c>
      <c r="O468">
        <v>3200</v>
      </c>
    </row>
    <row r="469" spans="1:15" x14ac:dyDescent="0.25">
      <c r="A469" t="s">
        <v>1156</v>
      </c>
      <c r="B469" s="2">
        <v>46125</v>
      </c>
      <c r="C469" t="s">
        <v>1157</v>
      </c>
      <c r="D469" t="s">
        <v>1158</v>
      </c>
      <c r="E469" t="s">
        <v>18</v>
      </c>
      <c r="F469" t="s">
        <v>227</v>
      </c>
      <c r="G469" t="s">
        <v>57</v>
      </c>
      <c r="H469" t="s">
        <v>188</v>
      </c>
      <c r="I469" t="s">
        <v>189</v>
      </c>
      <c r="J469">
        <v>5</v>
      </c>
      <c r="K469">
        <v>6200</v>
      </c>
      <c r="L469">
        <v>0</v>
      </c>
      <c r="M469">
        <v>31000</v>
      </c>
      <c r="N469">
        <v>21500</v>
      </c>
      <c r="O469">
        <v>9500</v>
      </c>
    </row>
    <row r="470" spans="1:15" x14ac:dyDescent="0.25">
      <c r="A470" t="s">
        <v>1159</v>
      </c>
      <c r="B470" s="2">
        <v>46126</v>
      </c>
      <c r="C470" t="s">
        <v>1095</v>
      </c>
      <c r="D470" t="s">
        <v>1096</v>
      </c>
      <c r="E470" t="s">
        <v>96</v>
      </c>
      <c r="F470" t="s">
        <v>196</v>
      </c>
      <c r="G470" t="s">
        <v>51</v>
      </c>
      <c r="H470" t="s">
        <v>21</v>
      </c>
      <c r="I470" t="s">
        <v>116</v>
      </c>
      <c r="J470">
        <v>3</v>
      </c>
      <c r="K470">
        <v>1400</v>
      </c>
      <c r="L470">
        <v>0.05</v>
      </c>
      <c r="M470">
        <v>3990</v>
      </c>
      <c r="N470">
        <v>2700</v>
      </c>
      <c r="O470">
        <v>1290</v>
      </c>
    </row>
    <row r="471" spans="1:15" x14ac:dyDescent="0.25">
      <c r="A471" t="s">
        <v>1160</v>
      </c>
      <c r="B471" s="2">
        <v>46127</v>
      </c>
      <c r="C471" t="s">
        <v>459</v>
      </c>
      <c r="D471" t="s">
        <v>460</v>
      </c>
      <c r="E471" t="s">
        <v>39</v>
      </c>
      <c r="F471" t="s">
        <v>76</v>
      </c>
      <c r="G471" t="s">
        <v>28</v>
      </c>
      <c r="H471" t="s">
        <v>63</v>
      </c>
      <c r="I471" t="s">
        <v>64</v>
      </c>
      <c r="J471">
        <v>3</v>
      </c>
      <c r="K471">
        <v>2400</v>
      </c>
      <c r="L471">
        <v>0</v>
      </c>
      <c r="M471">
        <v>7200</v>
      </c>
      <c r="N471">
        <v>4950</v>
      </c>
      <c r="O471">
        <v>2250</v>
      </c>
    </row>
    <row r="472" spans="1:15" x14ac:dyDescent="0.25">
      <c r="A472" t="s">
        <v>1161</v>
      </c>
      <c r="B472" s="2">
        <v>46128</v>
      </c>
      <c r="C472" t="s">
        <v>433</v>
      </c>
      <c r="D472" t="s">
        <v>434</v>
      </c>
      <c r="E472" t="s">
        <v>26</v>
      </c>
      <c r="F472" t="s">
        <v>27</v>
      </c>
      <c r="G472" t="s">
        <v>51</v>
      </c>
      <c r="H472" t="s">
        <v>52</v>
      </c>
      <c r="I472" t="s">
        <v>53</v>
      </c>
      <c r="J472">
        <v>1</v>
      </c>
      <c r="K472">
        <v>2200</v>
      </c>
      <c r="L472">
        <v>0.1</v>
      </c>
      <c r="M472">
        <v>1980</v>
      </c>
      <c r="N472">
        <v>1450</v>
      </c>
      <c r="O472">
        <v>530</v>
      </c>
    </row>
    <row r="473" spans="1:15" x14ac:dyDescent="0.25">
      <c r="A473" t="s">
        <v>1162</v>
      </c>
      <c r="B473" s="2">
        <v>46129</v>
      </c>
      <c r="C473" t="s">
        <v>685</v>
      </c>
      <c r="D473" t="s">
        <v>686</v>
      </c>
      <c r="E473" t="s">
        <v>96</v>
      </c>
      <c r="F473" t="s">
        <v>196</v>
      </c>
      <c r="G473" t="s">
        <v>20</v>
      </c>
      <c r="H473" t="s">
        <v>84</v>
      </c>
      <c r="I473" t="s">
        <v>169</v>
      </c>
      <c r="J473">
        <v>5</v>
      </c>
      <c r="K473">
        <v>450</v>
      </c>
      <c r="L473">
        <v>0.05</v>
      </c>
      <c r="M473">
        <v>2137.5</v>
      </c>
      <c r="N473">
        <v>1300</v>
      </c>
      <c r="O473">
        <v>837.5</v>
      </c>
    </row>
    <row r="474" spans="1:15" x14ac:dyDescent="0.25">
      <c r="A474" t="s">
        <v>1163</v>
      </c>
      <c r="B474" s="2">
        <v>46130</v>
      </c>
      <c r="C474" t="s">
        <v>1164</v>
      </c>
      <c r="D474" t="s">
        <v>1165</v>
      </c>
      <c r="E474" t="s">
        <v>96</v>
      </c>
      <c r="F474" t="s">
        <v>196</v>
      </c>
      <c r="G474" t="s">
        <v>51</v>
      </c>
      <c r="H474" t="s">
        <v>21</v>
      </c>
      <c r="I474" t="s">
        <v>80</v>
      </c>
      <c r="J474">
        <v>1</v>
      </c>
      <c r="K474">
        <v>850</v>
      </c>
      <c r="L474">
        <v>0.05</v>
      </c>
      <c r="M474">
        <v>807.5</v>
      </c>
      <c r="N474">
        <v>560</v>
      </c>
      <c r="O474">
        <v>247.5</v>
      </c>
    </row>
    <row r="475" spans="1:15" x14ac:dyDescent="0.25">
      <c r="A475" t="s">
        <v>1166</v>
      </c>
      <c r="B475" s="2">
        <v>46131</v>
      </c>
      <c r="C475" t="s">
        <v>1167</v>
      </c>
      <c r="D475" t="s">
        <v>1168</v>
      </c>
      <c r="E475" t="s">
        <v>26</v>
      </c>
      <c r="F475" t="s">
        <v>27</v>
      </c>
      <c r="G475" t="s">
        <v>28</v>
      </c>
      <c r="H475" t="s">
        <v>29</v>
      </c>
      <c r="I475" t="s">
        <v>30</v>
      </c>
      <c r="J475">
        <v>4</v>
      </c>
      <c r="K475">
        <v>1900</v>
      </c>
      <c r="L475">
        <v>0.05</v>
      </c>
      <c r="M475">
        <v>7220</v>
      </c>
      <c r="N475">
        <v>5000</v>
      </c>
      <c r="O475">
        <v>2220</v>
      </c>
    </row>
    <row r="476" spans="1:15" x14ac:dyDescent="0.25">
      <c r="A476" t="s">
        <v>1169</v>
      </c>
      <c r="B476" s="2">
        <v>46132</v>
      </c>
      <c r="C476" t="s">
        <v>957</v>
      </c>
      <c r="D476" t="s">
        <v>958</v>
      </c>
      <c r="E476" t="s">
        <v>18</v>
      </c>
      <c r="F476" t="s">
        <v>94</v>
      </c>
      <c r="G476" t="s">
        <v>28</v>
      </c>
      <c r="H476" t="s">
        <v>29</v>
      </c>
      <c r="I476" t="s">
        <v>47</v>
      </c>
      <c r="J476">
        <v>3</v>
      </c>
      <c r="K476">
        <v>6800</v>
      </c>
      <c r="L476">
        <v>0.1</v>
      </c>
      <c r="M476">
        <v>18360</v>
      </c>
      <c r="N476">
        <v>14100</v>
      </c>
      <c r="O476">
        <v>4260</v>
      </c>
    </row>
    <row r="477" spans="1:15" x14ac:dyDescent="0.25">
      <c r="A477" t="s">
        <v>1170</v>
      </c>
      <c r="B477" s="2">
        <v>46133</v>
      </c>
      <c r="C477" t="s">
        <v>126</v>
      </c>
      <c r="D477" t="s">
        <v>127</v>
      </c>
      <c r="E477" t="s">
        <v>96</v>
      </c>
      <c r="F477" t="s">
        <v>97</v>
      </c>
      <c r="G477" t="s">
        <v>28</v>
      </c>
      <c r="H477" t="s">
        <v>29</v>
      </c>
      <c r="I477" t="s">
        <v>30</v>
      </c>
      <c r="J477">
        <v>1</v>
      </c>
      <c r="K477">
        <v>1900</v>
      </c>
      <c r="L477">
        <v>0.2</v>
      </c>
      <c r="M477">
        <v>1520</v>
      </c>
      <c r="N477">
        <v>1250</v>
      </c>
      <c r="O477">
        <v>270</v>
      </c>
    </row>
    <row r="478" spans="1:15" x14ac:dyDescent="0.25">
      <c r="A478" t="s">
        <v>1171</v>
      </c>
      <c r="B478" s="2">
        <v>46134</v>
      </c>
      <c r="C478" t="s">
        <v>544</v>
      </c>
      <c r="D478" t="s">
        <v>545</v>
      </c>
      <c r="E478" t="s">
        <v>26</v>
      </c>
      <c r="F478" t="s">
        <v>204</v>
      </c>
      <c r="G478" t="s">
        <v>51</v>
      </c>
      <c r="H478" t="s">
        <v>52</v>
      </c>
      <c r="I478" t="s">
        <v>53</v>
      </c>
      <c r="J478">
        <v>4</v>
      </c>
      <c r="K478">
        <v>2200</v>
      </c>
      <c r="L478">
        <v>0</v>
      </c>
      <c r="M478">
        <v>8800</v>
      </c>
      <c r="N478">
        <v>5800</v>
      </c>
      <c r="O478">
        <v>3000</v>
      </c>
    </row>
    <row r="479" spans="1:15" x14ac:dyDescent="0.25">
      <c r="A479" t="s">
        <v>1172</v>
      </c>
      <c r="B479" s="2">
        <v>46135</v>
      </c>
      <c r="C479" t="s">
        <v>456</v>
      </c>
      <c r="D479" t="s">
        <v>457</v>
      </c>
      <c r="E479" t="s">
        <v>18</v>
      </c>
      <c r="F479" t="s">
        <v>227</v>
      </c>
      <c r="G479" t="s">
        <v>20</v>
      </c>
      <c r="H479" t="s">
        <v>21</v>
      </c>
      <c r="I479" t="s">
        <v>22</v>
      </c>
      <c r="J479">
        <v>2</v>
      </c>
      <c r="K479">
        <v>650</v>
      </c>
      <c r="L479">
        <v>0.2</v>
      </c>
      <c r="M479">
        <v>1040</v>
      </c>
      <c r="N479">
        <v>780</v>
      </c>
      <c r="O479">
        <v>260</v>
      </c>
    </row>
    <row r="480" spans="1:15" x14ac:dyDescent="0.25">
      <c r="A480" t="s">
        <v>1173</v>
      </c>
      <c r="B480" s="2">
        <v>46136</v>
      </c>
      <c r="C480" t="s">
        <v>180</v>
      </c>
      <c r="D480" t="s">
        <v>181</v>
      </c>
      <c r="E480" t="s">
        <v>96</v>
      </c>
      <c r="F480" t="s">
        <v>200</v>
      </c>
      <c r="G480" t="s">
        <v>51</v>
      </c>
      <c r="H480" t="s">
        <v>21</v>
      </c>
      <c r="I480" t="s">
        <v>80</v>
      </c>
      <c r="J480">
        <v>5</v>
      </c>
      <c r="K480">
        <v>850</v>
      </c>
      <c r="L480">
        <v>0.25</v>
      </c>
      <c r="M480">
        <v>3187.5</v>
      </c>
      <c r="N480">
        <v>2800</v>
      </c>
      <c r="O480">
        <v>387.5</v>
      </c>
    </row>
    <row r="481" spans="1:15" x14ac:dyDescent="0.25">
      <c r="A481" t="s">
        <v>1174</v>
      </c>
      <c r="B481" s="2">
        <v>46137</v>
      </c>
      <c r="C481" t="s">
        <v>456</v>
      </c>
      <c r="D481" t="s">
        <v>457</v>
      </c>
      <c r="E481" t="s">
        <v>26</v>
      </c>
      <c r="F481" t="s">
        <v>46</v>
      </c>
      <c r="G481" t="s">
        <v>51</v>
      </c>
      <c r="H481" t="s">
        <v>21</v>
      </c>
      <c r="I481" t="s">
        <v>116</v>
      </c>
      <c r="J481">
        <v>4</v>
      </c>
      <c r="K481">
        <v>1400</v>
      </c>
      <c r="L481">
        <v>0.2</v>
      </c>
      <c r="M481">
        <v>4480</v>
      </c>
      <c r="N481">
        <v>3600</v>
      </c>
      <c r="O481">
        <v>880</v>
      </c>
    </row>
    <row r="482" spans="1:15" x14ac:dyDescent="0.25">
      <c r="A482" t="s">
        <v>1175</v>
      </c>
      <c r="B482" s="2">
        <v>46138</v>
      </c>
      <c r="C482" t="s">
        <v>1176</v>
      </c>
      <c r="D482" t="s">
        <v>1177</v>
      </c>
      <c r="E482" t="s">
        <v>39</v>
      </c>
      <c r="F482" t="s">
        <v>71</v>
      </c>
      <c r="G482" t="s">
        <v>57</v>
      </c>
      <c r="H482" t="s">
        <v>188</v>
      </c>
      <c r="I482" t="s">
        <v>189</v>
      </c>
      <c r="J482">
        <v>2</v>
      </c>
      <c r="K482">
        <v>6200</v>
      </c>
      <c r="L482">
        <v>0.15</v>
      </c>
      <c r="M482">
        <v>10540</v>
      </c>
      <c r="N482">
        <v>8600</v>
      </c>
      <c r="O482">
        <v>1940</v>
      </c>
    </row>
    <row r="483" spans="1:15" x14ac:dyDescent="0.25">
      <c r="A483" t="s">
        <v>1178</v>
      </c>
      <c r="B483" s="2">
        <v>46139</v>
      </c>
      <c r="C483" t="s">
        <v>896</v>
      </c>
      <c r="D483" t="s">
        <v>897</v>
      </c>
      <c r="E483" t="s">
        <v>39</v>
      </c>
      <c r="F483" t="s">
        <v>76</v>
      </c>
      <c r="G483" t="s">
        <v>57</v>
      </c>
      <c r="H483" t="s">
        <v>58</v>
      </c>
      <c r="I483" t="s">
        <v>59</v>
      </c>
      <c r="J483">
        <v>5</v>
      </c>
      <c r="K483">
        <v>5600</v>
      </c>
      <c r="L483">
        <v>0.15</v>
      </c>
      <c r="M483">
        <v>23800</v>
      </c>
      <c r="N483">
        <v>19500</v>
      </c>
      <c r="O483">
        <v>4300</v>
      </c>
    </row>
    <row r="484" spans="1:15" x14ac:dyDescent="0.25">
      <c r="A484" t="s">
        <v>1179</v>
      </c>
      <c r="B484" s="2">
        <v>46140</v>
      </c>
      <c r="C484" t="s">
        <v>1180</v>
      </c>
      <c r="D484" t="s">
        <v>1181</v>
      </c>
      <c r="E484" t="s">
        <v>26</v>
      </c>
      <c r="F484" t="s">
        <v>128</v>
      </c>
      <c r="G484" t="s">
        <v>51</v>
      </c>
      <c r="H484" t="s">
        <v>52</v>
      </c>
      <c r="I484" t="s">
        <v>208</v>
      </c>
      <c r="J484">
        <v>1</v>
      </c>
      <c r="K484">
        <v>2800</v>
      </c>
      <c r="L484">
        <v>0.1</v>
      </c>
      <c r="M484">
        <v>2520</v>
      </c>
      <c r="N484">
        <v>1800</v>
      </c>
      <c r="O484">
        <v>720</v>
      </c>
    </row>
    <row r="485" spans="1:15" x14ac:dyDescent="0.25">
      <c r="A485" t="s">
        <v>1182</v>
      </c>
      <c r="B485" s="2">
        <v>46141</v>
      </c>
      <c r="C485" t="s">
        <v>1183</v>
      </c>
      <c r="D485" t="s">
        <v>1184</v>
      </c>
      <c r="E485" t="s">
        <v>18</v>
      </c>
      <c r="F485" t="s">
        <v>227</v>
      </c>
      <c r="G485" t="s">
        <v>51</v>
      </c>
      <c r="H485" t="s">
        <v>21</v>
      </c>
      <c r="I485" t="s">
        <v>72</v>
      </c>
      <c r="J485">
        <v>1</v>
      </c>
      <c r="K485">
        <v>1800</v>
      </c>
      <c r="L485">
        <v>0.1</v>
      </c>
      <c r="M485">
        <v>1620</v>
      </c>
      <c r="N485">
        <v>1100</v>
      </c>
      <c r="O485">
        <v>520</v>
      </c>
    </row>
    <row r="486" spans="1:15" x14ac:dyDescent="0.25">
      <c r="A486" t="s">
        <v>1185</v>
      </c>
      <c r="B486" s="2">
        <v>46142</v>
      </c>
      <c r="C486" t="s">
        <v>1186</v>
      </c>
      <c r="D486" t="s">
        <v>1187</v>
      </c>
      <c r="E486" t="s">
        <v>26</v>
      </c>
      <c r="F486" t="s">
        <v>128</v>
      </c>
      <c r="G486" t="s">
        <v>20</v>
      </c>
      <c r="H486" t="s">
        <v>84</v>
      </c>
      <c r="I486" t="s">
        <v>85</v>
      </c>
      <c r="J486">
        <v>5</v>
      </c>
      <c r="K486">
        <v>280</v>
      </c>
      <c r="L486">
        <v>0.15</v>
      </c>
      <c r="M486">
        <v>1190</v>
      </c>
      <c r="N486">
        <v>800</v>
      </c>
      <c r="O486">
        <v>390</v>
      </c>
    </row>
    <row r="487" spans="1:15" x14ac:dyDescent="0.25">
      <c r="A487" t="s">
        <v>1188</v>
      </c>
      <c r="B487" s="2">
        <v>46143</v>
      </c>
      <c r="C487" t="s">
        <v>796</v>
      </c>
      <c r="D487" t="s">
        <v>797</v>
      </c>
      <c r="E487" t="s">
        <v>26</v>
      </c>
      <c r="F487" t="s">
        <v>204</v>
      </c>
      <c r="G487" t="s">
        <v>51</v>
      </c>
      <c r="H487" t="s">
        <v>52</v>
      </c>
      <c r="I487" t="s">
        <v>53</v>
      </c>
      <c r="J487">
        <v>2</v>
      </c>
      <c r="K487">
        <v>2200</v>
      </c>
      <c r="L487">
        <v>0.15</v>
      </c>
      <c r="M487">
        <v>3740</v>
      </c>
      <c r="N487">
        <v>2900</v>
      </c>
      <c r="O487">
        <v>840</v>
      </c>
    </row>
    <row r="488" spans="1:15" x14ac:dyDescent="0.25">
      <c r="A488" t="s">
        <v>1189</v>
      </c>
      <c r="B488" s="2">
        <v>46144</v>
      </c>
      <c r="C488" t="s">
        <v>1190</v>
      </c>
      <c r="D488" t="s">
        <v>1191</v>
      </c>
      <c r="E488" t="s">
        <v>96</v>
      </c>
      <c r="F488" t="s">
        <v>97</v>
      </c>
      <c r="G488" t="s">
        <v>28</v>
      </c>
      <c r="H488" t="s">
        <v>29</v>
      </c>
      <c r="I488" t="s">
        <v>35</v>
      </c>
      <c r="J488">
        <v>4</v>
      </c>
      <c r="K488">
        <v>4200</v>
      </c>
      <c r="L488">
        <v>0.15</v>
      </c>
      <c r="M488">
        <v>14280</v>
      </c>
      <c r="N488">
        <v>11600</v>
      </c>
      <c r="O488">
        <v>2680</v>
      </c>
    </row>
    <row r="489" spans="1:15" x14ac:dyDescent="0.25">
      <c r="A489" t="s">
        <v>1192</v>
      </c>
      <c r="B489" s="2">
        <v>46145</v>
      </c>
      <c r="C489" t="s">
        <v>1193</v>
      </c>
      <c r="D489" t="s">
        <v>1194</v>
      </c>
      <c r="E489" t="s">
        <v>26</v>
      </c>
      <c r="F489" t="s">
        <v>46</v>
      </c>
      <c r="G489" t="s">
        <v>20</v>
      </c>
      <c r="H489" t="s">
        <v>84</v>
      </c>
      <c r="I489" t="s">
        <v>210</v>
      </c>
      <c r="J489">
        <v>3</v>
      </c>
      <c r="K489">
        <v>300</v>
      </c>
      <c r="L489">
        <v>0.1</v>
      </c>
      <c r="M489">
        <v>810</v>
      </c>
      <c r="N489">
        <v>510</v>
      </c>
      <c r="O489">
        <v>300</v>
      </c>
    </row>
    <row r="490" spans="1:15" x14ac:dyDescent="0.25">
      <c r="A490" t="s">
        <v>1195</v>
      </c>
      <c r="B490" s="2">
        <v>46146</v>
      </c>
      <c r="C490" t="s">
        <v>532</v>
      </c>
      <c r="D490" t="s">
        <v>533</v>
      </c>
      <c r="E490" t="s">
        <v>96</v>
      </c>
      <c r="F490" t="s">
        <v>200</v>
      </c>
      <c r="G490" t="s">
        <v>57</v>
      </c>
      <c r="H490" t="s">
        <v>104</v>
      </c>
      <c r="I490" t="s">
        <v>105</v>
      </c>
      <c r="J490">
        <v>3</v>
      </c>
      <c r="K490">
        <v>7500</v>
      </c>
      <c r="L490">
        <v>0.15</v>
      </c>
      <c r="M490">
        <v>19125</v>
      </c>
      <c r="N490">
        <v>15600</v>
      </c>
      <c r="O490">
        <v>3525</v>
      </c>
    </row>
    <row r="491" spans="1:15" x14ac:dyDescent="0.25">
      <c r="A491" t="s">
        <v>1196</v>
      </c>
      <c r="B491" s="2">
        <v>46147</v>
      </c>
      <c r="C491" t="s">
        <v>1022</v>
      </c>
      <c r="D491" t="s">
        <v>1023</v>
      </c>
      <c r="E491" t="s">
        <v>18</v>
      </c>
      <c r="F491" t="s">
        <v>115</v>
      </c>
      <c r="G491" t="s">
        <v>51</v>
      </c>
      <c r="H491" t="s">
        <v>21</v>
      </c>
      <c r="I491" t="s">
        <v>72</v>
      </c>
      <c r="J491">
        <v>3</v>
      </c>
      <c r="K491">
        <v>1800</v>
      </c>
      <c r="L491">
        <v>0.05</v>
      </c>
      <c r="M491">
        <v>5130</v>
      </c>
      <c r="N491">
        <v>3300</v>
      </c>
      <c r="O491">
        <v>1830</v>
      </c>
    </row>
    <row r="492" spans="1:15" x14ac:dyDescent="0.25">
      <c r="A492" t="s">
        <v>1197</v>
      </c>
      <c r="B492" s="2">
        <v>46148</v>
      </c>
      <c r="C492" t="s">
        <v>340</v>
      </c>
      <c r="D492" t="s">
        <v>341</v>
      </c>
      <c r="E492" t="s">
        <v>39</v>
      </c>
      <c r="F492" t="s">
        <v>76</v>
      </c>
      <c r="G492" t="s">
        <v>51</v>
      </c>
      <c r="H492" t="s">
        <v>89</v>
      </c>
      <c r="I492" t="s">
        <v>90</v>
      </c>
      <c r="J492">
        <v>5</v>
      </c>
      <c r="K492">
        <v>10500</v>
      </c>
      <c r="L492">
        <v>0</v>
      </c>
      <c r="M492">
        <v>52500</v>
      </c>
      <c r="N492">
        <v>38000</v>
      </c>
      <c r="O492">
        <v>14500</v>
      </c>
    </row>
    <row r="493" spans="1:15" x14ac:dyDescent="0.25">
      <c r="A493" t="s">
        <v>1198</v>
      </c>
      <c r="B493" s="2">
        <v>46149</v>
      </c>
      <c r="C493" t="s">
        <v>519</v>
      </c>
      <c r="D493" t="s">
        <v>520</v>
      </c>
      <c r="E493" t="s">
        <v>39</v>
      </c>
      <c r="F493" t="s">
        <v>124</v>
      </c>
      <c r="G493" t="s">
        <v>20</v>
      </c>
      <c r="H493" t="s">
        <v>41</v>
      </c>
      <c r="I493" t="s">
        <v>42</v>
      </c>
      <c r="J493">
        <v>1</v>
      </c>
      <c r="K493">
        <v>520</v>
      </c>
      <c r="L493">
        <v>0.05</v>
      </c>
      <c r="M493">
        <v>494</v>
      </c>
      <c r="N493">
        <v>330</v>
      </c>
      <c r="O493">
        <v>164</v>
      </c>
    </row>
    <row r="494" spans="1:15" x14ac:dyDescent="0.25">
      <c r="A494" t="s">
        <v>1199</v>
      </c>
      <c r="B494" s="2">
        <v>46150</v>
      </c>
      <c r="C494" t="s">
        <v>652</v>
      </c>
      <c r="D494" t="s">
        <v>653</v>
      </c>
      <c r="E494" t="s">
        <v>26</v>
      </c>
      <c r="F494" t="s">
        <v>34</v>
      </c>
      <c r="G494" t="s">
        <v>20</v>
      </c>
      <c r="H494" t="s">
        <v>41</v>
      </c>
      <c r="I494" t="s">
        <v>42</v>
      </c>
      <c r="J494">
        <v>4</v>
      </c>
      <c r="K494">
        <v>520</v>
      </c>
      <c r="L494">
        <v>0.25</v>
      </c>
      <c r="M494">
        <v>1560</v>
      </c>
      <c r="N494">
        <v>1320</v>
      </c>
      <c r="O494">
        <v>240</v>
      </c>
    </row>
    <row r="495" spans="1:15" x14ac:dyDescent="0.25">
      <c r="A495" t="s">
        <v>1200</v>
      </c>
      <c r="B495" s="2">
        <v>46151</v>
      </c>
      <c r="C495" t="s">
        <v>1201</v>
      </c>
      <c r="D495" t="s">
        <v>1202</v>
      </c>
      <c r="E495" t="s">
        <v>26</v>
      </c>
      <c r="F495" t="s">
        <v>204</v>
      </c>
      <c r="G495" t="s">
        <v>57</v>
      </c>
      <c r="H495" t="s">
        <v>104</v>
      </c>
      <c r="I495" t="s">
        <v>105</v>
      </c>
      <c r="J495">
        <v>4</v>
      </c>
      <c r="K495">
        <v>7500</v>
      </c>
      <c r="L495">
        <v>0.25</v>
      </c>
      <c r="M495">
        <v>22500</v>
      </c>
      <c r="N495">
        <v>20800</v>
      </c>
      <c r="O495">
        <v>1700</v>
      </c>
    </row>
    <row r="496" spans="1:15" x14ac:dyDescent="0.25">
      <c r="A496" t="s">
        <v>1203</v>
      </c>
      <c r="B496" s="2">
        <v>46152</v>
      </c>
      <c r="C496" t="s">
        <v>1204</v>
      </c>
      <c r="D496" t="s">
        <v>1205</v>
      </c>
      <c r="E496" t="s">
        <v>26</v>
      </c>
      <c r="F496" t="s">
        <v>27</v>
      </c>
      <c r="G496" t="s">
        <v>28</v>
      </c>
      <c r="H496" t="s">
        <v>29</v>
      </c>
      <c r="I496" t="s">
        <v>30</v>
      </c>
      <c r="J496">
        <v>4</v>
      </c>
      <c r="K496">
        <v>1900</v>
      </c>
      <c r="L496">
        <v>0.1</v>
      </c>
      <c r="M496">
        <v>6840</v>
      </c>
      <c r="N496">
        <v>5000</v>
      </c>
      <c r="O496">
        <v>1840</v>
      </c>
    </row>
    <row r="497" spans="1:15" x14ac:dyDescent="0.25">
      <c r="A497" t="s">
        <v>1206</v>
      </c>
      <c r="B497" s="2">
        <v>46153</v>
      </c>
      <c r="C497" t="s">
        <v>1207</v>
      </c>
      <c r="D497" t="s">
        <v>1208</v>
      </c>
      <c r="E497" t="s">
        <v>18</v>
      </c>
      <c r="F497" t="s">
        <v>227</v>
      </c>
      <c r="G497" t="s">
        <v>57</v>
      </c>
      <c r="H497" t="s">
        <v>58</v>
      </c>
      <c r="I497" t="s">
        <v>59</v>
      </c>
      <c r="J497">
        <v>3</v>
      </c>
      <c r="K497">
        <v>5600</v>
      </c>
      <c r="L497">
        <v>0.05</v>
      </c>
      <c r="M497">
        <v>15960</v>
      </c>
      <c r="N497">
        <v>11700</v>
      </c>
      <c r="O497">
        <v>4260</v>
      </c>
    </row>
    <row r="498" spans="1:15" x14ac:dyDescent="0.25">
      <c r="A498" t="s">
        <v>1209</v>
      </c>
      <c r="B498" s="2">
        <v>46154</v>
      </c>
      <c r="C498" t="s">
        <v>1210</v>
      </c>
      <c r="D498" t="s">
        <v>1211</v>
      </c>
      <c r="E498" t="s">
        <v>39</v>
      </c>
      <c r="F498" t="s">
        <v>71</v>
      </c>
      <c r="G498" t="s">
        <v>28</v>
      </c>
      <c r="H498" t="s">
        <v>29</v>
      </c>
      <c r="I498" t="s">
        <v>47</v>
      </c>
      <c r="J498">
        <v>3</v>
      </c>
      <c r="K498">
        <v>6800</v>
      </c>
      <c r="L498">
        <v>0.15</v>
      </c>
      <c r="M498">
        <v>17340</v>
      </c>
      <c r="N498">
        <v>14100</v>
      </c>
      <c r="O498">
        <v>3240</v>
      </c>
    </row>
    <row r="499" spans="1:15" x14ac:dyDescent="0.25">
      <c r="A499" t="s">
        <v>1212</v>
      </c>
      <c r="B499" s="2">
        <v>46155</v>
      </c>
      <c r="C499" t="s">
        <v>1213</v>
      </c>
      <c r="D499" t="s">
        <v>1214</v>
      </c>
      <c r="E499" t="s">
        <v>96</v>
      </c>
      <c r="F499" t="s">
        <v>200</v>
      </c>
      <c r="G499" t="s">
        <v>51</v>
      </c>
      <c r="H499" t="s">
        <v>21</v>
      </c>
      <c r="I499" t="s">
        <v>116</v>
      </c>
      <c r="J499">
        <v>4</v>
      </c>
      <c r="K499">
        <v>1400</v>
      </c>
      <c r="L499">
        <v>0</v>
      </c>
      <c r="M499">
        <v>5600</v>
      </c>
      <c r="N499">
        <v>3600</v>
      </c>
      <c r="O499">
        <v>2000</v>
      </c>
    </row>
    <row r="500" spans="1:15" x14ac:dyDescent="0.25">
      <c r="A500" t="s">
        <v>1215</v>
      </c>
      <c r="B500" s="2">
        <v>46156</v>
      </c>
      <c r="C500" t="s">
        <v>934</v>
      </c>
      <c r="D500" t="s">
        <v>935</v>
      </c>
      <c r="E500" t="s">
        <v>96</v>
      </c>
      <c r="F500" t="s">
        <v>200</v>
      </c>
      <c r="G500" t="s">
        <v>57</v>
      </c>
      <c r="H500" t="s">
        <v>104</v>
      </c>
      <c r="I500" t="s">
        <v>105</v>
      </c>
      <c r="J500">
        <v>3</v>
      </c>
      <c r="K500">
        <v>7500</v>
      </c>
      <c r="L500">
        <v>0.1</v>
      </c>
      <c r="M500">
        <v>20250</v>
      </c>
      <c r="N500">
        <v>15600</v>
      </c>
      <c r="O500">
        <v>4650</v>
      </c>
    </row>
    <row r="501" spans="1:15" x14ac:dyDescent="0.25">
      <c r="A501" t="s">
        <v>1216</v>
      </c>
      <c r="B501" s="2">
        <v>46157</v>
      </c>
      <c r="C501" t="s">
        <v>1085</v>
      </c>
      <c r="D501" t="s">
        <v>1086</v>
      </c>
      <c r="E501" t="s">
        <v>26</v>
      </c>
      <c r="F501" t="s">
        <v>128</v>
      </c>
      <c r="G501" t="s">
        <v>51</v>
      </c>
      <c r="H501" t="s">
        <v>21</v>
      </c>
      <c r="I501" t="s">
        <v>80</v>
      </c>
      <c r="J501">
        <v>4</v>
      </c>
      <c r="K501">
        <v>850</v>
      </c>
      <c r="L501">
        <v>0</v>
      </c>
      <c r="M501">
        <v>3400</v>
      </c>
      <c r="N501">
        <v>2240</v>
      </c>
      <c r="O501">
        <v>1160</v>
      </c>
    </row>
    <row r="502" spans="1:15" x14ac:dyDescent="0.25">
      <c r="A502" t="s">
        <v>1217</v>
      </c>
      <c r="B502" s="2">
        <v>46158</v>
      </c>
      <c r="C502" t="s">
        <v>1138</v>
      </c>
      <c r="D502" t="s">
        <v>1139</v>
      </c>
      <c r="E502" t="s">
        <v>96</v>
      </c>
      <c r="F502" t="s">
        <v>97</v>
      </c>
      <c r="G502" t="s">
        <v>20</v>
      </c>
      <c r="H502" t="s">
        <v>84</v>
      </c>
      <c r="I502" t="s">
        <v>169</v>
      </c>
      <c r="J502">
        <v>4</v>
      </c>
      <c r="K502">
        <v>450</v>
      </c>
      <c r="L502">
        <v>0.25</v>
      </c>
      <c r="M502">
        <v>1350</v>
      </c>
      <c r="N502">
        <v>1040</v>
      </c>
      <c r="O502">
        <v>310</v>
      </c>
    </row>
    <row r="503" spans="1:15" x14ac:dyDescent="0.25">
      <c r="A503" t="s">
        <v>1218</v>
      </c>
      <c r="B503" s="2">
        <v>46159</v>
      </c>
      <c r="C503" t="s">
        <v>357</v>
      </c>
      <c r="D503" t="s">
        <v>358</v>
      </c>
      <c r="E503" t="s">
        <v>39</v>
      </c>
      <c r="F503" t="s">
        <v>76</v>
      </c>
      <c r="G503" t="s">
        <v>20</v>
      </c>
      <c r="H503" t="s">
        <v>41</v>
      </c>
      <c r="I503" t="s">
        <v>42</v>
      </c>
      <c r="J503">
        <v>5</v>
      </c>
      <c r="K503">
        <v>520</v>
      </c>
      <c r="L503">
        <v>0</v>
      </c>
      <c r="M503">
        <v>2600</v>
      </c>
      <c r="N503">
        <v>1650</v>
      </c>
      <c r="O503">
        <v>950</v>
      </c>
    </row>
    <row r="504" spans="1:15" x14ac:dyDescent="0.25">
      <c r="A504" t="s">
        <v>1219</v>
      </c>
      <c r="B504" s="2">
        <v>46160</v>
      </c>
      <c r="C504" t="s">
        <v>1220</v>
      </c>
      <c r="D504" t="s">
        <v>1221</v>
      </c>
      <c r="E504" t="s">
        <v>39</v>
      </c>
      <c r="F504" t="s">
        <v>124</v>
      </c>
      <c r="G504" t="s">
        <v>51</v>
      </c>
      <c r="H504" t="s">
        <v>52</v>
      </c>
      <c r="I504" t="s">
        <v>53</v>
      </c>
      <c r="J504">
        <v>3</v>
      </c>
      <c r="K504">
        <v>2200</v>
      </c>
      <c r="L504">
        <v>0</v>
      </c>
      <c r="M504">
        <v>6600</v>
      </c>
      <c r="N504">
        <v>4350</v>
      </c>
      <c r="O504">
        <v>2250</v>
      </c>
    </row>
    <row r="505" spans="1:15" x14ac:dyDescent="0.25">
      <c r="A505" t="s">
        <v>1222</v>
      </c>
      <c r="B505" s="2">
        <v>46161</v>
      </c>
      <c r="C505" t="s">
        <v>1223</v>
      </c>
      <c r="D505" t="s">
        <v>1224</v>
      </c>
      <c r="E505" t="s">
        <v>26</v>
      </c>
      <c r="F505" t="s">
        <v>46</v>
      </c>
      <c r="G505" t="s">
        <v>20</v>
      </c>
      <c r="H505" t="s">
        <v>21</v>
      </c>
      <c r="I505" t="s">
        <v>22</v>
      </c>
      <c r="J505">
        <v>5</v>
      </c>
      <c r="K505">
        <v>650</v>
      </c>
      <c r="L505">
        <v>0.15</v>
      </c>
      <c r="M505">
        <v>2762.5</v>
      </c>
      <c r="N505">
        <v>1950</v>
      </c>
      <c r="O505">
        <v>812.5</v>
      </c>
    </row>
    <row r="506" spans="1:15" x14ac:dyDescent="0.25">
      <c r="A506" t="s">
        <v>1225</v>
      </c>
      <c r="B506" s="2">
        <v>46162</v>
      </c>
      <c r="C506" t="s">
        <v>1220</v>
      </c>
      <c r="D506" t="s">
        <v>1221</v>
      </c>
      <c r="E506" t="s">
        <v>39</v>
      </c>
      <c r="F506" t="s">
        <v>40</v>
      </c>
      <c r="G506" t="s">
        <v>20</v>
      </c>
      <c r="H506" t="s">
        <v>41</v>
      </c>
      <c r="I506" t="s">
        <v>42</v>
      </c>
      <c r="J506">
        <v>3</v>
      </c>
      <c r="K506">
        <v>520</v>
      </c>
      <c r="L506">
        <v>0.1</v>
      </c>
      <c r="M506">
        <v>1404</v>
      </c>
      <c r="N506">
        <v>990</v>
      </c>
      <c r="O506">
        <v>414</v>
      </c>
    </row>
    <row r="507" spans="1:15" x14ac:dyDescent="0.25">
      <c r="A507" t="s">
        <v>1226</v>
      </c>
      <c r="B507" s="2">
        <v>46163</v>
      </c>
      <c r="C507" t="s">
        <v>1227</v>
      </c>
      <c r="D507" t="s">
        <v>1228</v>
      </c>
      <c r="E507" t="s">
        <v>18</v>
      </c>
      <c r="F507" t="s">
        <v>19</v>
      </c>
      <c r="G507" t="s">
        <v>28</v>
      </c>
      <c r="H507" t="s">
        <v>29</v>
      </c>
      <c r="I507" t="s">
        <v>35</v>
      </c>
      <c r="J507">
        <v>1</v>
      </c>
      <c r="K507">
        <v>4200</v>
      </c>
      <c r="L507">
        <v>0.15</v>
      </c>
      <c r="M507">
        <v>3570</v>
      </c>
      <c r="N507">
        <v>2900</v>
      </c>
      <c r="O507">
        <v>670</v>
      </c>
    </row>
    <row r="508" spans="1:15" x14ac:dyDescent="0.25">
      <c r="A508" t="s">
        <v>1229</v>
      </c>
      <c r="B508" s="2">
        <v>46164</v>
      </c>
      <c r="C508" t="s">
        <v>1089</v>
      </c>
      <c r="D508" t="s">
        <v>1090</v>
      </c>
      <c r="E508" t="s">
        <v>96</v>
      </c>
      <c r="F508" t="s">
        <v>200</v>
      </c>
      <c r="G508" t="s">
        <v>51</v>
      </c>
      <c r="H508" t="s">
        <v>52</v>
      </c>
      <c r="I508" t="s">
        <v>53</v>
      </c>
      <c r="J508">
        <v>2</v>
      </c>
      <c r="K508">
        <v>2200</v>
      </c>
      <c r="L508">
        <v>0.15</v>
      </c>
      <c r="M508">
        <v>3740</v>
      </c>
      <c r="N508">
        <v>2900</v>
      </c>
      <c r="O508">
        <v>840</v>
      </c>
    </row>
    <row r="509" spans="1:15" x14ac:dyDescent="0.25">
      <c r="A509" t="s">
        <v>1230</v>
      </c>
      <c r="B509" s="2">
        <v>46165</v>
      </c>
      <c r="C509" t="s">
        <v>1231</v>
      </c>
      <c r="D509" t="s">
        <v>1232</v>
      </c>
      <c r="E509" t="s">
        <v>18</v>
      </c>
      <c r="F509" t="s">
        <v>94</v>
      </c>
      <c r="G509" t="s">
        <v>28</v>
      </c>
      <c r="H509" t="s">
        <v>29</v>
      </c>
      <c r="I509" t="s">
        <v>35</v>
      </c>
      <c r="J509">
        <v>4</v>
      </c>
      <c r="K509">
        <v>4200</v>
      </c>
      <c r="L509">
        <v>0.15</v>
      </c>
      <c r="M509">
        <v>14280</v>
      </c>
      <c r="N509">
        <v>11600</v>
      </c>
      <c r="O509">
        <v>2680</v>
      </c>
    </row>
    <row r="510" spans="1:15" x14ac:dyDescent="0.25">
      <c r="A510" t="s">
        <v>1233</v>
      </c>
      <c r="B510" s="2">
        <v>46166</v>
      </c>
      <c r="C510" t="s">
        <v>871</v>
      </c>
      <c r="D510" t="s">
        <v>872</v>
      </c>
      <c r="E510" t="s">
        <v>39</v>
      </c>
      <c r="F510" t="s">
        <v>76</v>
      </c>
      <c r="G510" t="s">
        <v>51</v>
      </c>
      <c r="H510" t="s">
        <v>21</v>
      </c>
      <c r="I510" t="s">
        <v>116</v>
      </c>
      <c r="J510">
        <v>5</v>
      </c>
      <c r="K510">
        <v>1400</v>
      </c>
      <c r="L510">
        <v>0.15</v>
      </c>
      <c r="M510">
        <v>5950</v>
      </c>
      <c r="N510">
        <v>4500</v>
      </c>
      <c r="O510">
        <v>1450</v>
      </c>
    </row>
    <row r="511" spans="1:15" x14ac:dyDescent="0.25">
      <c r="A511" t="s">
        <v>1234</v>
      </c>
      <c r="B511" s="2">
        <v>46167</v>
      </c>
      <c r="C511" t="s">
        <v>803</v>
      </c>
      <c r="D511" t="s">
        <v>804</v>
      </c>
      <c r="E511" t="s">
        <v>39</v>
      </c>
      <c r="F511" t="s">
        <v>71</v>
      </c>
      <c r="G511" t="s">
        <v>20</v>
      </c>
      <c r="H511" t="s">
        <v>84</v>
      </c>
      <c r="I511" t="s">
        <v>210</v>
      </c>
      <c r="J511">
        <v>1</v>
      </c>
      <c r="K511">
        <v>300</v>
      </c>
      <c r="L511">
        <v>0</v>
      </c>
      <c r="M511">
        <v>300</v>
      </c>
      <c r="N511">
        <v>170</v>
      </c>
      <c r="O511">
        <v>130</v>
      </c>
    </row>
    <row r="512" spans="1:15" x14ac:dyDescent="0.25">
      <c r="A512" t="s">
        <v>1235</v>
      </c>
      <c r="B512" s="2">
        <v>46168</v>
      </c>
      <c r="C512" t="s">
        <v>478</v>
      </c>
      <c r="D512" t="s">
        <v>479</v>
      </c>
      <c r="E512" t="s">
        <v>39</v>
      </c>
      <c r="F512" t="s">
        <v>76</v>
      </c>
      <c r="G512" t="s">
        <v>20</v>
      </c>
      <c r="H512" t="s">
        <v>41</v>
      </c>
      <c r="I512" t="s">
        <v>42</v>
      </c>
      <c r="J512">
        <v>3</v>
      </c>
      <c r="K512">
        <v>520</v>
      </c>
      <c r="L512">
        <v>0.25</v>
      </c>
      <c r="M512">
        <v>1170</v>
      </c>
      <c r="N512">
        <v>990</v>
      </c>
      <c r="O512">
        <v>180</v>
      </c>
    </row>
    <row r="513" spans="1:15" x14ac:dyDescent="0.25">
      <c r="A513" t="s">
        <v>1236</v>
      </c>
      <c r="B513" s="2">
        <v>46169</v>
      </c>
      <c r="C513" t="s">
        <v>1237</v>
      </c>
      <c r="D513" t="s">
        <v>1238</v>
      </c>
      <c r="E513" t="s">
        <v>18</v>
      </c>
      <c r="F513" t="s">
        <v>94</v>
      </c>
      <c r="G513" t="s">
        <v>51</v>
      </c>
      <c r="H513" t="s">
        <v>21</v>
      </c>
      <c r="I513" t="s">
        <v>72</v>
      </c>
      <c r="J513">
        <v>3</v>
      </c>
      <c r="K513">
        <v>1800</v>
      </c>
      <c r="L513">
        <v>0</v>
      </c>
      <c r="M513">
        <v>5400</v>
      </c>
      <c r="N513">
        <v>3300</v>
      </c>
      <c r="O513">
        <v>2100</v>
      </c>
    </row>
    <row r="514" spans="1:15" x14ac:dyDescent="0.25">
      <c r="A514" t="s">
        <v>1239</v>
      </c>
      <c r="B514" s="2">
        <v>46170</v>
      </c>
      <c r="C514" t="s">
        <v>1240</v>
      </c>
      <c r="D514" t="s">
        <v>1241</v>
      </c>
      <c r="E514" t="s">
        <v>18</v>
      </c>
      <c r="F514" t="s">
        <v>94</v>
      </c>
      <c r="G514" t="s">
        <v>51</v>
      </c>
      <c r="H514" t="s">
        <v>52</v>
      </c>
      <c r="I514" t="s">
        <v>208</v>
      </c>
      <c r="J514">
        <v>4</v>
      </c>
      <c r="K514">
        <v>2800</v>
      </c>
      <c r="L514">
        <v>0.1</v>
      </c>
      <c r="M514">
        <v>10080</v>
      </c>
      <c r="N514">
        <v>7200</v>
      </c>
      <c r="O514">
        <v>2880</v>
      </c>
    </row>
    <row r="515" spans="1:15" x14ac:dyDescent="0.25">
      <c r="A515" t="s">
        <v>1242</v>
      </c>
      <c r="B515" s="2">
        <v>46171</v>
      </c>
      <c r="C515" t="s">
        <v>1243</v>
      </c>
      <c r="D515" t="s">
        <v>1244</v>
      </c>
      <c r="E515" t="s">
        <v>18</v>
      </c>
      <c r="F515" t="s">
        <v>227</v>
      </c>
      <c r="G515" t="s">
        <v>51</v>
      </c>
      <c r="H515" t="s">
        <v>21</v>
      </c>
      <c r="I515" t="s">
        <v>116</v>
      </c>
      <c r="J515">
        <v>5</v>
      </c>
      <c r="K515">
        <v>1400</v>
      </c>
      <c r="L515">
        <v>0.15</v>
      </c>
      <c r="M515">
        <v>5950</v>
      </c>
      <c r="N515">
        <v>4500</v>
      </c>
      <c r="O515">
        <v>1450</v>
      </c>
    </row>
    <row r="516" spans="1:15" x14ac:dyDescent="0.25">
      <c r="A516" t="s">
        <v>1245</v>
      </c>
      <c r="B516" s="2">
        <v>46172</v>
      </c>
      <c r="C516" t="s">
        <v>1246</v>
      </c>
      <c r="D516" t="s">
        <v>1247</v>
      </c>
      <c r="E516" t="s">
        <v>18</v>
      </c>
      <c r="F516" t="s">
        <v>94</v>
      </c>
      <c r="G516" t="s">
        <v>51</v>
      </c>
      <c r="H516" t="s">
        <v>21</v>
      </c>
      <c r="I516" t="s">
        <v>80</v>
      </c>
      <c r="J516">
        <v>4</v>
      </c>
      <c r="K516">
        <v>850</v>
      </c>
      <c r="L516">
        <v>0.1</v>
      </c>
      <c r="M516">
        <v>3060</v>
      </c>
      <c r="N516">
        <v>2240</v>
      </c>
      <c r="O516">
        <v>820</v>
      </c>
    </row>
    <row r="517" spans="1:15" x14ac:dyDescent="0.25">
      <c r="A517" t="s">
        <v>1248</v>
      </c>
      <c r="B517" s="2">
        <v>46173</v>
      </c>
      <c r="C517" t="s">
        <v>562</v>
      </c>
      <c r="D517" t="s">
        <v>563</v>
      </c>
      <c r="E517" t="s">
        <v>26</v>
      </c>
      <c r="F517" t="s">
        <v>27</v>
      </c>
      <c r="G517" t="s">
        <v>51</v>
      </c>
      <c r="H517" t="s">
        <v>89</v>
      </c>
      <c r="I517" t="s">
        <v>90</v>
      </c>
      <c r="J517">
        <v>3</v>
      </c>
      <c r="K517">
        <v>10500</v>
      </c>
      <c r="L517">
        <v>0.05</v>
      </c>
      <c r="M517">
        <v>29925</v>
      </c>
      <c r="N517">
        <v>22800</v>
      </c>
      <c r="O517">
        <v>7125</v>
      </c>
    </row>
    <row r="518" spans="1:15" x14ac:dyDescent="0.25">
      <c r="A518" t="s">
        <v>1249</v>
      </c>
      <c r="B518" s="2">
        <v>46174</v>
      </c>
      <c r="C518" t="s">
        <v>627</v>
      </c>
      <c r="D518" t="s">
        <v>628</v>
      </c>
      <c r="E518" t="s">
        <v>26</v>
      </c>
      <c r="F518" t="s">
        <v>204</v>
      </c>
      <c r="G518" t="s">
        <v>51</v>
      </c>
      <c r="H518" t="s">
        <v>21</v>
      </c>
      <c r="I518" t="s">
        <v>72</v>
      </c>
      <c r="J518">
        <v>1</v>
      </c>
      <c r="K518">
        <v>1800</v>
      </c>
      <c r="L518">
        <v>0.1</v>
      </c>
      <c r="M518">
        <v>1620</v>
      </c>
      <c r="N518">
        <v>1100</v>
      </c>
      <c r="O518">
        <v>520</v>
      </c>
    </row>
    <row r="519" spans="1:15" x14ac:dyDescent="0.25">
      <c r="A519" t="s">
        <v>1250</v>
      </c>
      <c r="B519" s="2">
        <v>46175</v>
      </c>
      <c r="C519" t="s">
        <v>16</v>
      </c>
      <c r="D519" t="s">
        <v>17</v>
      </c>
      <c r="E519" t="s">
        <v>96</v>
      </c>
      <c r="F519" t="s">
        <v>120</v>
      </c>
      <c r="G519" t="s">
        <v>51</v>
      </c>
      <c r="H519" t="s">
        <v>21</v>
      </c>
      <c r="I519" t="s">
        <v>80</v>
      </c>
      <c r="J519">
        <v>4</v>
      </c>
      <c r="K519">
        <v>850</v>
      </c>
      <c r="L519">
        <v>0.05</v>
      </c>
      <c r="M519">
        <v>3230</v>
      </c>
      <c r="N519">
        <v>2240</v>
      </c>
      <c r="O519">
        <v>990</v>
      </c>
    </row>
    <row r="520" spans="1:15" x14ac:dyDescent="0.25">
      <c r="A520" t="s">
        <v>1251</v>
      </c>
      <c r="B520" s="2">
        <v>46176</v>
      </c>
      <c r="C520" t="s">
        <v>828</v>
      </c>
      <c r="D520" t="s">
        <v>829</v>
      </c>
      <c r="E520" t="s">
        <v>39</v>
      </c>
      <c r="F520" t="s">
        <v>124</v>
      </c>
      <c r="G520" t="s">
        <v>51</v>
      </c>
      <c r="H520" t="s">
        <v>89</v>
      </c>
      <c r="I520" t="s">
        <v>90</v>
      </c>
      <c r="J520">
        <v>1</v>
      </c>
      <c r="K520">
        <v>10500</v>
      </c>
      <c r="L520">
        <v>0.15</v>
      </c>
      <c r="M520">
        <v>8925</v>
      </c>
      <c r="N520">
        <v>7600</v>
      </c>
      <c r="O520">
        <v>1325</v>
      </c>
    </row>
    <row r="521" spans="1:15" x14ac:dyDescent="0.25">
      <c r="A521" t="s">
        <v>1252</v>
      </c>
      <c r="B521" s="2">
        <v>46177</v>
      </c>
      <c r="C521" t="s">
        <v>1253</v>
      </c>
      <c r="D521" t="s">
        <v>1254</v>
      </c>
      <c r="E521" t="s">
        <v>96</v>
      </c>
      <c r="F521" t="s">
        <v>196</v>
      </c>
      <c r="G521" t="s">
        <v>51</v>
      </c>
      <c r="H521" t="s">
        <v>52</v>
      </c>
      <c r="I521" t="s">
        <v>53</v>
      </c>
      <c r="J521">
        <v>3</v>
      </c>
      <c r="K521">
        <v>2200</v>
      </c>
      <c r="L521">
        <v>0.2</v>
      </c>
      <c r="M521">
        <v>5280</v>
      </c>
      <c r="N521">
        <v>4350</v>
      </c>
      <c r="O521">
        <v>930</v>
      </c>
    </row>
    <row r="522" spans="1:15" x14ac:dyDescent="0.25">
      <c r="A522" t="s">
        <v>1255</v>
      </c>
      <c r="B522" s="2">
        <v>46178</v>
      </c>
      <c r="C522" t="s">
        <v>1256</v>
      </c>
      <c r="D522" t="s">
        <v>1257</v>
      </c>
      <c r="E522" t="s">
        <v>26</v>
      </c>
      <c r="F522" t="s">
        <v>27</v>
      </c>
      <c r="G522" t="s">
        <v>20</v>
      </c>
      <c r="H522" t="s">
        <v>84</v>
      </c>
      <c r="I522" t="s">
        <v>85</v>
      </c>
      <c r="J522">
        <v>5</v>
      </c>
      <c r="K522">
        <v>280</v>
      </c>
      <c r="L522">
        <v>0.2</v>
      </c>
      <c r="M522">
        <v>1120</v>
      </c>
      <c r="N522">
        <v>800</v>
      </c>
      <c r="O522">
        <v>320</v>
      </c>
    </row>
    <row r="523" spans="1:15" x14ac:dyDescent="0.25">
      <c r="A523" t="s">
        <v>1258</v>
      </c>
      <c r="B523" s="2">
        <v>46179</v>
      </c>
      <c r="C523" t="s">
        <v>1259</v>
      </c>
      <c r="D523" t="s">
        <v>1260</v>
      </c>
      <c r="E523" t="s">
        <v>39</v>
      </c>
      <c r="F523" t="s">
        <v>71</v>
      </c>
      <c r="G523" t="s">
        <v>57</v>
      </c>
      <c r="H523" t="s">
        <v>104</v>
      </c>
      <c r="I523" t="s">
        <v>105</v>
      </c>
      <c r="J523">
        <v>5</v>
      </c>
      <c r="K523">
        <v>7500</v>
      </c>
      <c r="L523">
        <v>0.2</v>
      </c>
      <c r="M523">
        <v>30000</v>
      </c>
      <c r="N523">
        <v>26000</v>
      </c>
      <c r="O523">
        <v>4000</v>
      </c>
    </row>
    <row r="524" spans="1:15" x14ac:dyDescent="0.25">
      <c r="A524" t="s">
        <v>1261</v>
      </c>
      <c r="B524" s="2">
        <v>46180</v>
      </c>
      <c r="C524" t="s">
        <v>491</v>
      </c>
      <c r="D524" t="s">
        <v>492</v>
      </c>
      <c r="E524" t="s">
        <v>26</v>
      </c>
      <c r="F524" t="s">
        <v>27</v>
      </c>
      <c r="G524" t="s">
        <v>20</v>
      </c>
      <c r="H524" t="s">
        <v>21</v>
      </c>
      <c r="I524" t="s">
        <v>22</v>
      </c>
      <c r="J524">
        <v>3</v>
      </c>
      <c r="K524">
        <v>650</v>
      </c>
      <c r="L524">
        <v>0.15</v>
      </c>
      <c r="M524">
        <v>1657.5</v>
      </c>
      <c r="N524">
        <v>1170</v>
      </c>
      <c r="O524">
        <v>487.5</v>
      </c>
    </row>
    <row r="525" spans="1:15" x14ac:dyDescent="0.25">
      <c r="A525" t="s">
        <v>1262</v>
      </c>
      <c r="B525" s="2">
        <v>46181</v>
      </c>
      <c r="C525" t="s">
        <v>1075</v>
      </c>
      <c r="D525" t="s">
        <v>1076</v>
      </c>
      <c r="E525" t="s">
        <v>26</v>
      </c>
      <c r="F525" t="s">
        <v>204</v>
      </c>
      <c r="G525" t="s">
        <v>20</v>
      </c>
      <c r="H525" t="s">
        <v>21</v>
      </c>
      <c r="I525" t="s">
        <v>22</v>
      </c>
      <c r="J525">
        <v>3</v>
      </c>
      <c r="K525">
        <v>650</v>
      </c>
      <c r="L525">
        <v>0.1</v>
      </c>
      <c r="M525">
        <v>1755</v>
      </c>
      <c r="N525">
        <v>1170</v>
      </c>
      <c r="O525">
        <v>585</v>
      </c>
    </row>
    <row r="526" spans="1:15" x14ac:dyDescent="0.25">
      <c r="A526" t="s">
        <v>1263</v>
      </c>
      <c r="B526" s="2">
        <v>46182</v>
      </c>
      <c r="C526" t="s">
        <v>1092</v>
      </c>
      <c r="D526" t="s">
        <v>1093</v>
      </c>
      <c r="E526" t="s">
        <v>26</v>
      </c>
      <c r="F526" t="s">
        <v>204</v>
      </c>
      <c r="G526" t="s">
        <v>57</v>
      </c>
      <c r="H526" t="s">
        <v>58</v>
      </c>
      <c r="I526" t="s">
        <v>59</v>
      </c>
      <c r="J526">
        <v>1</v>
      </c>
      <c r="K526">
        <v>5600</v>
      </c>
      <c r="L526">
        <v>0.05</v>
      </c>
      <c r="M526">
        <v>5320</v>
      </c>
      <c r="N526">
        <v>3900</v>
      </c>
      <c r="O526">
        <v>1420</v>
      </c>
    </row>
    <row r="527" spans="1:15" x14ac:dyDescent="0.25">
      <c r="A527" t="s">
        <v>1264</v>
      </c>
      <c r="B527" s="2">
        <v>46183</v>
      </c>
      <c r="C527" t="s">
        <v>838</v>
      </c>
      <c r="D527" t="s">
        <v>839</v>
      </c>
      <c r="E527" t="s">
        <v>96</v>
      </c>
      <c r="F527" t="s">
        <v>196</v>
      </c>
      <c r="G527" t="s">
        <v>57</v>
      </c>
      <c r="H527" t="s">
        <v>58</v>
      </c>
      <c r="I527" t="s">
        <v>59</v>
      </c>
      <c r="J527">
        <v>3</v>
      </c>
      <c r="K527">
        <v>5600</v>
      </c>
      <c r="L527">
        <v>0.05</v>
      </c>
      <c r="M527">
        <v>15960</v>
      </c>
      <c r="N527">
        <v>11700</v>
      </c>
      <c r="O527">
        <v>4260</v>
      </c>
    </row>
    <row r="528" spans="1:15" x14ac:dyDescent="0.25">
      <c r="A528" t="s">
        <v>1265</v>
      </c>
      <c r="B528" s="2">
        <v>46184</v>
      </c>
      <c r="C528" t="s">
        <v>1025</v>
      </c>
      <c r="D528" t="s">
        <v>1026</v>
      </c>
      <c r="E528" t="s">
        <v>96</v>
      </c>
      <c r="F528" t="s">
        <v>97</v>
      </c>
      <c r="G528" t="s">
        <v>51</v>
      </c>
      <c r="H528" t="s">
        <v>21</v>
      </c>
      <c r="I528" t="s">
        <v>116</v>
      </c>
      <c r="J528">
        <v>4</v>
      </c>
      <c r="K528">
        <v>1400</v>
      </c>
      <c r="L528">
        <v>0.25</v>
      </c>
      <c r="M528">
        <v>4200</v>
      </c>
      <c r="N528">
        <v>3600</v>
      </c>
      <c r="O528">
        <v>600</v>
      </c>
    </row>
    <row r="529" spans="1:15" x14ac:dyDescent="0.25">
      <c r="A529" t="s">
        <v>1266</v>
      </c>
      <c r="B529" s="2">
        <v>46185</v>
      </c>
      <c r="C529" t="s">
        <v>1138</v>
      </c>
      <c r="D529" t="s">
        <v>1139</v>
      </c>
      <c r="E529" t="s">
        <v>26</v>
      </c>
      <c r="F529" t="s">
        <v>27</v>
      </c>
      <c r="G529" t="s">
        <v>20</v>
      </c>
      <c r="H529" t="s">
        <v>41</v>
      </c>
      <c r="I529" t="s">
        <v>42</v>
      </c>
      <c r="J529">
        <v>4</v>
      </c>
      <c r="K529">
        <v>520</v>
      </c>
      <c r="L529">
        <v>0.15</v>
      </c>
      <c r="M529">
        <v>1768</v>
      </c>
      <c r="N529">
        <v>1320</v>
      </c>
      <c r="O529">
        <v>448</v>
      </c>
    </row>
    <row r="530" spans="1:15" x14ac:dyDescent="0.25">
      <c r="A530" t="s">
        <v>1267</v>
      </c>
      <c r="B530" s="2">
        <v>46186</v>
      </c>
      <c r="C530" t="s">
        <v>1268</v>
      </c>
      <c r="D530" t="s">
        <v>1269</v>
      </c>
      <c r="E530" t="s">
        <v>26</v>
      </c>
      <c r="F530" t="s">
        <v>204</v>
      </c>
      <c r="G530" t="s">
        <v>57</v>
      </c>
      <c r="H530" t="s">
        <v>104</v>
      </c>
      <c r="I530" t="s">
        <v>105</v>
      </c>
      <c r="J530">
        <v>3</v>
      </c>
      <c r="K530">
        <v>7500</v>
      </c>
      <c r="L530">
        <v>0.15</v>
      </c>
      <c r="M530">
        <v>19125</v>
      </c>
      <c r="N530">
        <v>15600</v>
      </c>
      <c r="O530">
        <v>3525</v>
      </c>
    </row>
    <row r="531" spans="1:15" x14ac:dyDescent="0.25">
      <c r="A531" t="s">
        <v>1270</v>
      </c>
      <c r="B531" s="2">
        <v>46187</v>
      </c>
      <c r="C531" t="s">
        <v>662</v>
      </c>
      <c r="D531" t="s">
        <v>663</v>
      </c>
      <c r="E531" t="s">
        <v>26</v>
      </c>
      <c r="F531" t="s">
        <v>204</v>
      </c>
      <c r="G531" t="s">
        <v>20</v>
      </c>
      <c r="H531" t="s">
        <v>84</v>
      </c>
      <c r="I531" t="s">
        <v>85</v>
      </c>
      <c r="J531">
        <v>4</v>
      </c>
      <c r="K531">
        <v>280</v>
      </c>
      <c r="L531">
        <v>0.15</v>
      </c>
      <c r="M531">
        <v>952</v>
      </c>
      <c r="N531">
        <v>640</v>
      </c>
      <c r="O531">
        <v>312</v>
      </c>
    </row>
    <row r="532" spans="1:15" x14ac:dyDescent="0.25">
      <c r="A532" t="s">
        <v>1271</v>
      </c>
      <c r="B532" s="2">
        <v>46188</v>
      </c>
      <c r="C532" t="s">
        <v>1034</v>
      </c>
      <c r="D532" t="s">
        <v>1035</v>
      </c>
      <c r="E532" t="s">
        <v>96</v>
      </c>
      <c r="F532" t="s">
        <v>120</v>
      </c>
      <c r="G532" t="s">
        <v>51</v>
      </c>
      <c r="H532" t="s">
        <v>21</v>
      </c>
      <c r="I532" t="s">
        <v>116</v>
      </c>
      <c r="J532">
        <v>2</v>
      </c>
      <c r="K532">
        <v>1400</v>
      </c>
      <c r="L532">
        <v>0.1</v>
      </c>
      <c r="M532">
        <v>2520</v>
      </c>
      <c r="N532">
        <v>1800</v>
      </c>
      <c r="O532">
        <v>720</v>
      </c>
    </row>
    <row r="533" spans="1:15" x14ac:dyDescent="0.25">
      <c r="A533" t="s">
        <v>1272</v>
      </c>
      <c r="B533" s="2">
        <v>46189</v>
      </c>
      <c r="C533" t="s">
        <v>573</v>
      </c>
      <c r="D533" t="s">
        <v>574</v>
      </c>
      <c r="E533" t="s">
        <v>39</v>
      </c>
      <c r="F533" t="s">
        <v>40</v>
      </c>
      <c r="G533" t="s">
        <v>51</v>
      </c>
      <c r="H533" t="s">
        <v>52</v>
      </c>
      <c r="I533" t="s">
        <v>208</v>
      </c>
      <c r="J533">
        <v>3</v>
      </c>
      <c r="K533">
        <v>2800</v>
      </c>
      <c r="L533">
        <v>0.15</v>
      </c>
      <c r="M533">
        <v>7140</v>
      </c>
      <c r="N533">
        <v>5400</v>
      </c>
      <c r="O533">
        <v>1740</v>
      </c>
    </row>
    <row r="534" spans="1:15" x14ac:dyDescent="0.25">
      <c r="A534" t="s">
        <v>1273</v>
      </c>
      <c r="B534" s="2">
        <v>46190</v>
      </c>
      <c r="C534" t="s">
        <v>957</v>
      </c>
      <c r="D534" t="s">
        <v>958</v>
      </c>
      <c r="E534" t="s">
        <v>39</v>
      </c>
      <c r="F534" t="s">
        <v>76</v>
      </c>
      <c r="G534" t="s">
        <v>51</v>
      </c>
      <c r="H534" t="s">
        <v>21</v>
      </c>
      <c r="I534" t="s">
        <v>80</v>
      </c>
      <c r="J534">
        <v>2</v>
      </c>
      <c r="K534">
        <v>850</v>
      </c>
      <c r="L534">
        <v>0</v>
      </c>
      <c r="M534">
        <v>1700</v>
      </c>
      <c r="N534">
        <v>1120</v>
      </c>
      <c r="O534">
        <v>580</v>
      </c>
    </row>
    <row r="535" spans="1:15" x14ac:dyDescent="0.25">
      <c r="A535" t="s">
        <v>1274</v>
      </c>
      <c r="B535" s="2">
        <v>46191</v>
      </c>
      <c r="C535" t="s">
        <v>281</v>
      </c>
      <c r="D535" t="s">
        <v>282</v>
      </c>
      <c r="E535" t="s">
        <v>39</v>
      </c>
      <c r="F535" t="s">
        <v>71</v>
      </c>
      <c r="G535" t="s">
        <v>57</v>
      </c>
      <c r="H535" t="s">
        <v>188</v>
      </c>
      <c r="I535" t="s">
        <v>189</v>
      </c>
      <c r="J535">
        <v>3</v>
      </c>
      <c r="K535">
        <v>6200</v>
      </c>
      <c r="L535">
        <v>0.15</v>
      </c>
      <c r="M535">
        <v>15810</v>
      </c>
      <c r="N535">
        <v>12900</v>
      </c>
      <c r="O535">
        <v>2910</v>
      </c>
    </row>
    <row r="536" spans="1:15" x14ac:dyDescent="0.25">
      <c r="A536" t="s">
        <v>1275</v>
      </c>
      <c r="B536" s="2">
        <v>46192</v>
      </c>
      <c r="C536" t="s">
        <v>1276</v>
      </c>
      <c r="D536" t="s">
        <v>1277</v>
      </c>
      <c r="E536" t="s">
        <v>26</v>
      </c>
      <c r="F536" t="s">
        <v>204</v>
      </c>
      <c r="G536" t="s">
        <v>20</v>
      </c>
      <c r="H536" t="s">
        <v>84</v>
      </c>
      <c r="I536" t="s">
        <v>85</v>
      </c>
      <c r="J536">
        <v>2</v>
      </c>
      <c r="K536">
        <v>280</v>
      </c>
      <c r="L536">
        <v>0.05</v>
      </c>
      <c r="M536">
        <v>532</v>
      </c>
      <c r="N536">
        <v>320</v>
      </c>
      <c r="O536">
        <v>212</v>
      </c>
    </row>
    <row r="537" spans="1:15" x14ac:dyDescent="0.25">
      <c r="A537" t="s">
        <v>1278</v>
      </c>
      <c r="B537" s="2">
        <v>46193</v>
      </c>
      <c r="C537" t="s">
        <v>259</v>
      </c>
      <c r="D537" t="s">
        <v>260</v>
      </c>
      <c r="E537" t="s">
        <v>26</v>
      </c>
      <c r="F537" t="s">
        <v>204</v>
      </c>
      <c r="G537" t="s">
        <v>51</v>
      </c>
      <c r="H537" t="s">
        <v>21</v>
      </c>
      <c r="I537" t="s">
        <v>116</v>
      </c>
      <c r="J537">
        <v>3</v>
      </c>
      <c r="K537">
        <v>1400</v>
      </c>
      <c r="L537">
        <v>0</v>
      </c>
      <c r="M537">
        <v>4200</v>
      </c>
      <c r="N537">
        <v>2700</v>
      </c>
      <c r="O537">
        <v>1500</v>
      </c>
    </row>
    <row r="538" spans="1:15" x14ac:dyDescent="0.25">
      <c r="A538" t="s">
        <v>1279</v>
      </c>
      <c r="B538" s="2">
        <v>46194</v>
      </c>
      <c r="C538" t="s">
        <v>637</v>
      </c>
      <c r="D538" t="s">
        <v>638</v>
      </c>
      <c r="E538" t="s">
        <v>26</v>
      </c>
      <c r="F538" t="s">
        <v>34</v>
      </c>
      <c r="G538" t="s">
        <v>57</v>
      </c>
      <c r="H538" t="s">
        <v>104</v>
      </c>
      <c r="I538" t="s">
        <v>105</v>
      </c>
      <c r="J538">
        <v>4</v>
      </c>
      <c r="K538">
        <v>7500</v>
      </c>
      <c r="L538">
        <v>0.25</v>
      </c>
      <c r="M538">
        <v>22500</v>
      </c>
      <c r="N538">
        <v>20800</v>
      </c>
      <c r="O538">
        <v>1700</v>
      </c>
    </row>
    <row r="539" spans="1:15" x14ac:dyDescent="0.25">
      <c r="A539" t="s">
        <v>1280</v>
      </c>
      <c r="B539" s="2">
        <v>46195</v>
      </c>
      <c r="C539" t="s">
        <v>1281</v>
      </c>
      <c r="D539" t="s">
        <v>1282</v>
      </c>
      <c r="E539" t="s">
        <v>26</v>
      </c>
      <c r="F539" t="s">
        <v>204</v>
      </c>
      <c r="G539" t="s">
        <v>20</v>
      </c>
      <c r="H539" t="s">
        <v>21</v>
      </c>
      <c r="I539" t="s">
        <v>22</v>
      </c>
      <c r="J539">
        <v>4</v>
      </c>
      <c r="K539">
        <v>650</v>
      </c>
      <c r="L539">
        <v>0</v>
      </c>
      <c r="M539">
        <v>2600</v>
      </c>
      <c r="N539">
        <v>1560</v>
      </c>
      <c r="O539">
        <v>1040</v>
      </c>
    </row>
    <row r="540" spans="1:15" x14ac:dyDescent="0.25">
      <c r="A540" t="s">
        <v>1283</v>
      </c>
      <c r="B540" s="2">
        <v>46196</v>
      </c>
      <c r="C540" t="s">
        <v>222</v>
      </c>
      <c r="D540" t="s">
        <v>223</v>
      </c>
      <c r="E540" t="s">
        <v>26</v>
      </c>
      <c r="F540" t="s">
        <v>46</v>
      </c>
      <c r="G540" t="s">
        <v>57</v>
      </c>
      <c r="H540" t="s">
        <v>188</v>
      </c>
      <c r="I540" t="s">
        <v>189</v>
      </c>
      <c r="J540">
        <v>3</v>
      </c>
      <c r="K540">
        <v>6200</v>
      </c>
      <c r="L540">
        <v>0.1</v>
      </c>
      <c r="M540">
        <v>16740</v>
      </c>
      <c r="N540">
        <v>12900</v>
      </c>
      <c r="O540">
        <v>3840</v>
      </c>
    </row>
    <row r="541" spans="1:15" x14ac:dyDescent="0.25">
      <c r="A541" t="s">
        <v>1284</v>
      </c>
      <c r="B541" s="2">
        <v>46197</v>
      </c>
      <c r="C541" t="s">
        <v>728</v>
      </c>
      <c r="D541" t="s">
        <v>729</v>
      </c>
      <c r="E541" t="s">
        <v>26</v>
      </c>
      <c r="F541" t="s">
        <v>128</v>
      </c>
      <c r="G541" t="s">
        <v>57</v>
      </c>
      <c r="H541" t="s">
        <v>58</v>
      </c>
      <c r="I541" t="s">
        <v>59</v>
      </c>
      <c r="J541">
        <v>1</v>
      </c>
      <c r="K541">
        <v>5600</v>
      </c>
      <c r="L541">
        <v>0.1</v>
      </c>
      <c r="M541">
        <v>5040</v>
      </c>
      <c r="N541">
        <v>3900</v>
      </c>
      <c r="O541">
        <v>1140</v>
      </c>
    </row>
    <row r="542" spans="1:15" x14ac:dyDescent="0.25">
      <c r="A542" t="s">
        <v>1285</v>
      </c>
      <c r="B542" s="2">
        <v>46198</v>
      </c>
      <c r="C542" t="s">
        <v>191</v>
      </c>
      <c r="D542" t="s">
        <v>192</v>
      </c>
      <c r="E542" t="s">
        <v>18</v>
      </c>
      <c r="F542" t="s">
        <v>115</v>
      </c>
      <c r="G542" t="s">
        <v>57</v>
      </c>
      <c r="H542" t="s">
        <v>58</v>
      </c>
      <c r="I542" t="s">
        <v>129</v>
      </c>
      <c r="J542">
        <v>5</v>
      </c>
      <c r="K542">
        <v>4800</v>
      </c>
      <c r="L542">
        <v>0.1</v>
      </c>
      <c r="M542">
        <v>21600</v>
      </c>
      <c r="N542">
        <v>16500</v>
      </c>
      <c r="O542">
        <v>5100</v>
      </c>
    </row>
    <row r="543" spans="1:15" x14ac:dyDescent="0.25">
      <c r="A543" t="s">
        <v>1286</v>
      </c>
      <c r="B543" s="2">
        <v>46199</v>
      </c>
      <c r="C543" t="s">
        <v>1287</v>
      </c>
      <c r="D543" t="s">
        <v>1288</v>
      </c>
      <c r="E543" t="s">
        <v>26</v>
      </c>
      <c r="F543" t="s">
        <v>128</v>
      </c>
      <c r="G543" t="s">
        <v>57</v>
      </c>
      <c r="H543" t="s">
        <v>58</v>
      </c>
      <c r="I543" t="s">
        <v>129</v>
      </c>
      <c r="J543">
        <v>1</v>
      </c>
      <c r="K543">
        <v>4800</v>
      </c>
      <c r="L543">
        <v>0.1</v>
      </c>
      <c r="M543">
        <v>4320</v>
      </c>
      <c r="N543">
        <v>3300</v>
      </c>
      <c r="O543">
        <v>1020</v>
      </c>
    </row>
    <row r="544" spans="1:15" x14ac:dyDescent="0.25">
      <c r="A544" t="s">
        <v>1289</v>
      </c>
      <c r="B544" s="2">
        <v>46200</v>
      </c>
      <c r="C544" t="s">
        <v>1164</v>
      </c>
      <c r="D544" t="s">
        <v>1165</v>
      </c>
      <c r="E544" t="s">
        <v>96</v>
      </c>
      <c r="F544" t="s">
        <v>200</v>
      </c>
      <c r="G544" t="s">
        <v>28</v>
      </c>
      <c r="H544" t="s">
        <v>29</v>
      </c>
      <c r="I544" t="s">
        <v>35</v>
      </c>
      <c r="J544">
        <v>1</v>
      </c>
      <c r="K544">
        <v>4200</v>
      </c>
      <c r="L544">
        <v>0.2</v>
      </c>
      <c r="M544">
        <v>3360</v>
      </c>
      <c r="N544">
        <v>2900</v>
      </c>
      <c r="O544">
        <v>460</v>
      </c>
    </row>
    <row r="545" spans="1:15" x14ac:dyDescent="0.25">
      <c r="A545" t="s">
        <v>1290</v>
      </c>
      <c r="B545" s="2">
        <v>46201</v>
      </c>
      <c r="C545" t="s">
        <v>314</v>
      </c>
      <c r="D545" t="s">
        <v>315</v>
      </c>
      <c r="E545" t="s">
        <v>26</v>
      </c>
      <c r="F545" t="s">
        <v>34</v>
      </c>
      <c r="G545" t="s">
        <v>28</v>
      </c>
      <c r="H545" t="s">
        <v>29</v>
      </c>
      <c r="I545" t="s">
        <v>30</v>
      </c>
      <c r="J545">
        <v>4</v>
      </c>
      <c r="K545">
        <v>1900</v>
      </c>
      <c r="L545">
        <v>0.2</v>
      </c>
      <c r="M545">
        <v>6080</v>
      </c>
      <c r="N545">
        <v>5000</v>
      </c>
      <c r="O545">
        <v>1080</v>
      </c>
    </row>
    <row r="546" spans="1:15" x14ac:dyDescent="0.25">
      <c r="A546" t="s">
        <v>1291</v>
      </c>
      <c r="B546" s="2">
        <v>46202</v>
      </c>
      <c r="C546" t="s">
        <v>718</v>
      </c>
      <c r="D546" t="s">
        <v>719</v>
      </c>
      <c r="E546" t="s">
        <v>26</v>
      </c>
      <c r="F546" t="s">
        <v>46</v>
      </c>
      <c r="G546" t="s">
        <v>20</v>
      </c>
      <c r="H546" t="s">
        <v>84</v>
      </c>
      <c r="I546" t="s">
        <v>169</v>
      </c>
      <c r="J546">
        <v>1</v>
      </c>
      <c r="K546">
        <v>450</v>
      </c>
      <c r="L546">
        <v>0.2</v>
      </c>
      <c r="M546">
        <v>360</v>
      </c>
      <c r="N546">
        <v>260</v>
      </c>
      <c r="O546">
        <v>100</v>
      </c>
    </row>
    <row r="547" spans="1:15" x14ac:dyDescent="0.25">
      <c r="A547" t="s">
        <v>1292</v>
      </c>
      <c r="B547" s="2">
        <v>46203</v>
      </c>
      <c r="C547" t="s">
        <v>444</v>
      </c>
      <c r="D547" t="s">
        <v>445</v>
      </c>
      <c r="E547" t="s">
        <v>26</v>
      </c>
      <c r="F547" t="s">
        <v>128</v>
      </c>
      <c r="G547" t="s">
        <v>28</v>
      </c>
      <c r="H547" t="s">
        <v>29</v>
      </c>
      <c r="I547" t="s">
        <v>47</v>
      </c>
      <c r="J547">
        <v>4</v>
      </c>
      <c r="K547">
        <v>6800</v>
      </c>
      <c r="L547">
        <v>0.1</v>
      </c>
      <c r="M547">
        <v>24480</v>
      </c>
      <c r="N547">
        <v>18800</v>
      </c>
      <c r="O547">
        <v>5680</v>
      </c>
    </row>
    <row r="548" spans="1:15" x14ac:dyDescent="0.25">
      <c r="A548" t="s">
        <v>1293</v>
      </c>
      <c r="B548" s="2">
        <v>46204</v>
      </c>
      <c r="C548" t="s">
        <v>1294</v>
      </c>
      <c r="D548" t="s">
        <v>1295</v>
      </c>
      <c r="E548" t="s">
        <v>26</v>
      </c>
      <c r="F548" t="s">
        <v>204</v>
      </c>
      <c r="G548" t="s">
        <v>20</v>
      </c>
      <c r="H548" t="s">
        <v>41</v>
      </c>
      <c r="I548" t="s">
        <v>42</v>
      </c>
      <c r="J548">
        <v>2</v>
      </c>
      <c r="K548">
        <v>520</v>
      </c>
      <c r="L548">
        <v>0.2</v>
      </c>
      <c r="M548">
        <v>832</v>
      </c>
      <c r="N548">
        <v>660</v>
      </c>
      <c r="O548">
        <v>172</v>
      </c>
    </row>
    <row r="549" spans="1:15" x14ac:dyDescent="0.25">
      <c r="A549" t="s">
        <v>1296</v>
      </c>
      <c r="B549" s="2">
        <v>46205</v>
      </c>
      <c r="C549" t="s">
        <v>941</v>
      </c>
      <c r="D549" t="s">
        <v>942</v>
      </c>
      <c r="E549" t="s">
        <v>39</v>
      </c>
      <c r="F549" t="s">
        <v>71</v>
      </c>
      <c r="G549" t="s">
        <v>28</v>
      </c>
      <c r="H549" t="s">
        <v>29</v>
      </c>
      <c r="I549" t="s">
        <v>47</v>
      </c>
      <c r="J549">
        <v>2</v>
      </c>
      <c r="K549">
        <v>6800</v>
      </c>
      <c r="L549">
        <v>0</v>
      </c>
      <c r="M549">
        <v>13600</v>
      </c>
      <c r="N549">
        <v>9400</v>
      </c>
      <c r="O549">
        <v>4200</v>
      </c>
    </row>
    <row r="550" spans="1:15" x14ac:dyDescent="0.25">
      <c r="A550" t="s">
        <v>1297</v>
      </c>
      <c r="B550" s="2">
        <v>46206</v>
      </c>
      <c r="C550" t="s">
        <v>487</v>
      </c>
      <c r="D550" t="s">
        <v>488</v>
      </c>
      <c r="E550" t="s">
        <v>26</v>
      </c>
      <c r="F550" t="s">
        <v>128</v>
      </c>
      <c r="G550" t="s">
        <v>20</v>
      </c>
      <c r="H550" t="s">
        <v>84</v>
      </c>
      <c r="I550" t="s">
        <v>169</v>
      </c>
      <c r="J550">
        <v>3</v>
      </c>
      <c r="K550">
        <v>450</v>
      </c>
      <c r="L550">
        <v>0.1</v>
      </c>
      <c r="M550">
        <v>1215</v>
      </c>
      <c r="N550">
        <v>780</v>
      </c>
      <c r="O550">
        <v>435</v>
      </c>
    </row>
    <row r="551" spans="1:15" x14ac:dyDescent="0.25">
      <c r="A551" t="s">
        <v>1298</v>
      </c>
      <c r="B551" s="2">
        <v>46207</v>
      </c>
      <c r="C551" t="s">
        <v>1299</v>
      </c>
      <c r="D551" t="s">
        <v>1300</v>
      </c>
      <c r="E551" t="s">
        <v>96</v>
      </c>
      <c r="F551" t="s">
        <v>196</v>
      </c>
      <c r="G551" t="s">
        <v>20</v>
      </c>
      <c r="H551" t="s">
        <v>41</v>
      </c>
      <c r="I551" t="s">
        <v>42</v>
      </c>
      <c r="J551">
        <v>3</v>
      </c>
      <c r="K551">
        <v>520</v>
      </c>
      <c r="L551">
        <v>0.15</v>
      </c>
      <c r="M551">
        <v>1326</v>
      </c>
      <c r="N551">
        <v>990</v>
      </c>
      <c r="O551">
        <v>336</v>
      </c>
    </row>
    <row r="552" spans="1:15" x14ac:dyDescent="0.25">
      <c r="A552" t="s">
        <v>1301</v>
      </c>
      <c r="B552" s="2">
        <v>46208</v>
      </c>
      <c r="C552" t="s">
        <v>219</v>
      </c>
      <c r="D552" t="s">
        <v>220</v>
      </c>
      <c r="E552" t="s">
        <v>96</v>
      </c>
      <c r="F552" t="s">
        <v>196</v>
      </c>
      <c r="G552" t="s">
        <v>20</v>
      </c>
      <c r="H552" t="s">
        <v>84</v>
      </c>
      <c r="I552" t="s">
        <v>210</v>
      </c>
      <c r="J552">
        <v>1</v>
      </c>
      <c r="K552">
        <v>300</v>
      </c>
      <c r="L552">
        <v>0.2</v>
      </c>
      <c r="M552">
        <v>240</v>
      </c>
      <c r="N552">
        <v>170</v>
      </c>
      <c r="O552">
        <v>70</v>
      </c>
    </row>
    <row r="553" spans="1:15" x14ac:dyDescent="0.25">
      <c r="A553" t="s">
        <v>1302</v>
      </c>
      <c r="B553" s="2">
        <v>46209</v>
      </c>
      <c r="C553" t="s">
        <v>369</v>
      </c>
      <c r="D553" t="s">
        <v>370</v>
      </c>
      <c r="E553" t="s">
        <v>26</v>
      </c>
      <c r="F553" t="s">
        <v>46</v>
      </c>
      <c r="G553" t="s">
        <v>28</v>
      </c>
      <c r="H553" t="s">
        <v>63</v>
      </c>
      <c r="I553" t="s">
        <v>64</v>
      </c>
      <c r="J553">
        <v>4</v>
      </c>
      <c r="K553">
        <v>2400</v>
      </c>
      <c r="L553">
        <v>0.15</v>
      </c>
      <c r="M553">
        <v>8160</v>
      </c>
      <c r="N553">
        <v>6600</v>
      </c>
      <c r="O553">
        <v>1560</v>
      </c>
    </row>
    <row r="554" spans="1:15" x14ac:dyDescent="0.25">
      <c r="A554" t="s">
        <v>1303</v>
      </c>
      <c r="B554" s="2">
        <v>46210</v>
      </c>
      <c r="C554" t="s">
        <v>929</v>
      </c>
      <c r="D554" t="s">
        <v>930</v>
      </c>
      <c r="E554" t="s">
        <v>39</v>
      </c>
      <c r="F554" t="s">
        <v>71</v>
      </c>
      <c r="G554" t="s">
        <v>57</v>
      </c>
      <c r="H554" t="s">
        <v>58</v>
      </c>
      <c r="I554" t="s">
        <v>59</v>
      </c>
      <c r="J554">
        <v>1</v>
      </c>
      <c r="K554">
        <v>5600</v>
      </c>
      <c r="L554">
        <v>0.1</v>
      </c>
      <c r="M554">
        <v>5040</v>
      </c>
      <c r="N554">
        <v>3900</v>
      </c>
      <c r="O554">
        <v>1140</v>
      </c>
    </row>
    <row r="555" spans="1:15" x14ac:dyDescent="0.25">
      <c r="A555" t="s">
        <v>1304</v>
      </c>
      <c r="B555" s="2">
        <v>46211</v>
      </c>
      <c r="C555" t="s">
        <v>1000</v>
      </c>
      <c r="D555" t="s">
        <v>1001</v>
      </c>
      <c r="E555" t="s">
        <v>96</v>
      </c>
      <c r="F555" t="s">
        <v>97</v>
      </c>
      <c r="G555" t="s">
        <v>20</v>
      </c>
      <c r="H555" t="s">
        <v>41</v>
      </c>
      <c r="I555" t="s">
        <v>42</v>
      </c>
      <c r="J555">
        <v>3</v>
      </c>
      <c r="K555">
        <v>520</v>
      </c>
      <c r="L555">
        <v>0.1</v>
      </c>
      <c r="M555">
        <v>1404</v>
      </c>
      <c r="N555">
        <v>990</v>
      </c>
      <c r="O555">
        <v>414</v>
      </c>
    </row>
    <row r="556" spans="1:15" x14ac:dyDescent="0.25">
      <c r="A556" t="s">
        <v>1305</v>
      </c>
      <c r="B556" s="2">
        <v>46212</v>
      </c>
      <c r="C556" t="s">
        <v>990</v>
      </c>
      <c r="D556" t="s">
        <v>991</v>
      </c>
      <c r="E556" t="s">
        <v>26</v>
      </c>
      <c r="F556" t="s">
        <v>128</v>
      </c>
      <c r="G556" t="s">
        <v>57</v>
      </c>
      <c r="H556" t="s">
        <v>58</v>
      </c>
      <c r="I556" t="s">
        <v>129</v>
      </c>
      <c r="J556">
        <v>4</v>
      </c>
      <c r="K556">
        <v>4800</v>
      </c>
      <c r="L556">
        <v>0.15</v>
      </c>
      <c r="M556">
        <v>16320</v>
      </c>
      <c r="N556">
        <v>13200</v>
      </c>
      <c r="O556">
        <v>3120</v>
      </c>
    </row>
    <row r="557" spans="1:15" x14ac:dyDescent="0.25">
      <c r="A557" t="s">
        <v>1306</v>
      </c>
      <c r="B557" s="2">
        <v>46213</v>
      </c>
      <c r="C557" t="s">
        <v>1003</v>
      </c>
      <c r="D557" t="s">
        <v>1004</v>
      </c>
      <c r="E557" t="s">
        <v>96</v>
      </c>
      <c r="F557" t="s">
        <v>200</v>
      </c>
      <c r="G557" t="s">
        <v>28</v>
      </c>
      <c r="H557" t="s">
        <v>63</v>
      </c>
      <c r="I557" t="s">
        <v>64</v>
      </c>
      <c r="J557">
        <v>4</v>
      </c>
      <c r="K557">
        <v>2400</v>
      </c>
      <c r="L557">
        <v>0.25</v>
      </c>
      <c r="M557">
        <v>7200</v>
      </c>
      <c r="N557">
        <v>6600</v>
      </c>
      <c r="O557">
        <v>600</v>
      </c>
    </row>
    <row r="558" spans="1:15" x14ac:dyDescent="0.25">
      <c r="A558" t="s">
        <v>1307</v>
      </c>
      <c r="B558" s="2">
        <v>46214</v>
      </c>
      <c r="C558" t="s">
        <v>1308</v>
      </c>
      <c r="D558" t="s">
        <v>1309</v>
      </c>
      <c r="E558" t="s">
        <v>26</v>
      </c>
      <c r="F558" t="s">
        <v>46</v>
      </c>
      <c r="G558" t="s">
        <v>20</v>
      </c>
      <c r="H558" t="s">
        <v>84</v>
      </c>
      <c r="I558" t="s">
        <v>210</v>
      </c>
      <c r="J558">
        <v>4</v>
      </c>
      <c r="K558">
        <v>300</v>
      </c>
      <c r="L558">
        <v>0.1</v>
      </c>
      <c r="M558">
        <v>1080</v>
      </c>
      <c r="N558">
        <v>680</v>
      </c>
      <c r="O558">
        <v>400</v>
      </c>
    </row>
    <row r="559" spans="1:15" x14ac:dyDescent="0.25">
      <c r="A559" t="s">
        <v>1310</v>
      </c>
      <c r="B559" s="2">
        <v>46215</v>
      </c>
      <c r="C559" t="s">
        <v>1117</v>
      </c>
      <c r="D559" t="s">
        <v>1118</v>
      </c>
      <c r="E559" t="s">
        <v>39</v>
      </c>
      <c r="F559" t="s">
        <v>76</v>
      </c>
      <c r="G559" t="s">
        <v>57</v>
      </c>
      <c r="H559" t="s">
        <v>104</v>
      </c>
      <c r="I559" t="s">
        <v>105</v>
      </c>
      <c r="J559">
        <v>4</v>
      </c>
      <c r="K559">
        <v>7500</v>
      </c>
      <c r="L559">
        <v>0.2</v>
      </c>
      <c r="M559">
        <v>24000</v>
      </c>
      <c r="N559">
        <v>20800</v>
      </c>
      <c r="O559">
        <v>3200</v>
      </c>
    </row>
    <row r="560" spans="1:15" x14ac:dyDescent="0.25">
      <c r="A560" t="s">
        <v>1311</v>
      </c>
      <c r="B560" s="2">
        <v>46216</v>
      </c>
      <c r="C560" t="s">
        <v>174</v>
      </c>
      <c r="D560" t="s">
        <v>175</v>
      </c>
      <c r="E560" t="s">
        <v>26</v>
      </c>
      <c r="F560" t="s">
        <v>34</v>
      </c>
      <c r="G560" t="s">
        <v>28</v>
      </c>
      <c r="H560" t="s">
        <v>29</v>
      </c>
      <c r="I560" t="s">
        <v>35</v>
      </c>
      <c r="J560">
        <v>1</v>
      </c>
      <c r="K560">
        <v>4200</v>
      </c>
      <c r="L560">
        <v>0.1</v>
      </c>
      <c r="M560">
        <v>3780</v>
      </c>
      <c r="N560">
        <v>2900</v>
      </c>
      <c r="O560">
        <v>880</v>
      </c>
    </row>
    <row r="561" spans="1:15" x14ac:dyDescent="0.25">
      <c r="A561" t="s">
        <v>1312</v>
      </c>
      <c r="B561" s="2">
        <v>46217</v>
      </c>
      <c r="C561" t="s">
        <v>868</v>
      </c>
      <c r="D561" t="s">
        <v>869</v>
      </c>
      <c r="E561" t="s">
        <v>26</v>
      </c>
      <c r="F561" t="s">
        <v>46</v>
      </c>
      <c r="G561" t="s">
        <v>20</v>
      </c>
      <c r="H561" t="s">
        <v>21</v>
      </c>
      <c r="I561" t="s">
        <v>22</v>
      </c>
      <c r="J561">
        <v>1</v>
      </c>
      <c r="K561">
        <v>650</v>
      </c>
      <c r="L561">
        <v>0</v>
      </c>
      <c r="M561">
        <v>650</v>
      </c>
      <c r="N561">
        <v>390</v>
      </c>
      <c r="O561">
        <v>260</v>
      </c>
    </row>
    <row r="562" spans="1:15" x14ac:dyDescent="0.25">
      <c r="A562" t="s">
        <v>1313</v>
      </c>
      <c r="B562" s="2">
        <v>46218</v>
      </c>
      <c r="C562" t="s">
        <v>232</v>
      </c>
      <c r="D562" t="s">
        <v>233</v>
      </c>
      <c r="E562" t="s">
        <v>39</v>
      </c>
      <c r="F562" t="s">
        <v>124</v>
      </c>
      <c r="G562" t="s">
        <v>51</v>
      </c>
      <c r="H562" t="s">
        <v>52</v>
      </c>
      <c r="I562" t="s">
        <v>53</v>
      </c>
      <c r="J562">
        <v>4</v>
      </c>
      <c r="K562">
        <v>2200</v>
      </c>
      <c r="L562">
        <v>0</v>
      </c>
      <c r="M562">
        <v>8800</v>
      </c>
      <c r="N562">
        <v>5800</v>
      </c>
      <c r="O562">
        <v>3000</v>
      </c>
    </row>
    <row r="563" spans="1:15" x14ac:dyDescent="0.25">
      <c r="A563" t="s">
        <v>1314</v>
      </c>
      <c r="B563" s="2">
        <v>46219</v>
      </c>
      <c r="C563" t="s">
        <v>1315</v>
      </c>
      <c r="D563" t="s">
        <v>1316</v>
      </c>
      <c r="E563" t="s">
        <v>96</v>
      </c>
      <c r="F563" t="s">
        <v>120</v>
      </c>
      <c r="G563" t="s">
        <v>57</v>
      </c>
      <c r="H563" t="s">
        <v>58</v>
      </c>
      <c r="I563" t="s">
        <v>129</v>
      </c>
      <c r="J563">
        <v>1</v>
      </c>
      <c r="K563">
        <v>4800</v>
      </c>
      <c r="L563">
        <v>0.1</v>
      </c>
      <c r="M563">
        <v>4320</v>
      </c>
      <c r="N563">
        <v>3300</v>
      </c>
      <c r="O563">
        <v>1020</v>
      </c>
    </row>
    <row r="564" spans="1:15" x14ac:dyDescent="0.25">
      <c r="A564" t="s">
        <v>1317</v>
      </c>
      <c r="B564" s="2">
        <v>46220</v>
      </c>
      <c r="C564" t="s">
        <v>459</v>
      </c>
      <c r="D564" t="s">
        <v>460</v>
      </c>
      <c r="E564" t="s">
        <v>26</v>
      </c>
      <c r="F564" t="s">
        <v>27</v>
      </c>
      <c r="G564" t="s">
        <v>57</v>
      </c>
      <c r="H564" t="s">
        <v>58</v>
      </c>
      <c r="I564" t="s">
        <v>59</v>
      </c>
      <c r="J564">
        <v>2</v>
      </c>
      <c r="K564">
        <v>5600</v>
      </c>
      <c r="L564">
        <v>0.1</v>
      </c>
      <c r="M564">
        <v>10080</v>
      </c>
      <c r="N564">
        <v>7800</v>
      </c>
      <c r="O564">
        <v>2280</v>
      </c>
    </row>
    <row r="565" spans="1:15" x14ac:dyDescent="0.25">
      <c r="A565" t="s">
        <v>1318</v>
      </c>
      <c r="B565" s="2">
        <v>46221</v>
      </c>
      <c r="C565" t="s">
        <v>155</v>
      </c>
      <c r="D565" t="s">
        <v>156</v>
      </c>
      <c r="E565" t="s">
        <v>39</v>
      </c>
      <c r="F565" t="s">
        <v>71</v>
      </c>
      <c r="G565" t="s">
        <v>51</v>
      </c>
      <c r="H565" t="s">
        <v>89</v>
      </c>
      <c r="I565" t="s">
        <v>90</v>
      </c>
      <c r="J565">
        <v>3</v>
      </c>
      <c r="K565">
        <v>10500</v>
      </c>
      <c r="L565">
        <v>0.05</v>
      </c>
      <c r="M565">
        <v>29925</v>
      </c>
      <c r="N565">
        <v>22800</v>
      </c>
      <c r="O565">
        <v>7125</v>
      </c>
    </row>
    <row r="566" spans="1:15" x14ac:dyDescent="0.25">
      <c r="A566" t="s">
        <v>1319</v>
      </c>
      <c r="B566" s="2">
        <v>46222</v>
      </c>
      <c r="C566" t="s">
        <v>775</v>
      </c>
      <c r="D566" t="s">
        <v>776</v>
      </c>
      <c r="E566" t="s">
        <v>96</v>
      </c>
      <c r="F566" t="s">
        <v>97</v>
      </c>
      <c r="G566" t="s">
        <v>20</v>
      </c>
      <c r="H566" t="s">
        <v>21</v>
      </c>
      <c r="I566" t="s">
        <v>22</v>
      </c>
      <c r="J566">
        <v>2</v>
      </c>
      <c r="K566">
        <v>650</v>
      </c>
      <c r="L566">
        <v>0.05</v>
      </c>
      <c r="M566">
        <v>1235</v>
      </c>
      <c r="N566">
        <v>780</v>
      </c>
      <c r="O566">
        <v>455</v>
      </c>
    </row>
    <row r="567" spans="1:15" x14ac:dyDescent="0.25">
      <c r="A567" t="s">
        <v>1320</v>
      </c>
      <c r="B567" s="2">
        <v>46223</v>
      </c>
      <c r="C567" t="s">
        <v>541</v>
      </c>
      <c r="D567" t="s">
        <v>542</v>
      </c>
      <c r="E567" t="s">
        <v>26</v>
      </c>
      <c r="F567" t="s">
        <v>204</v>
      </c>
      <c r="G567" t="s">
        <v>20</v>
      </c>
      <c r="H567" t="s">
        <v>41</v>
      </c>
      <c r="I567" t="s">
        <v>42</v>
      </c>
      <c r="J567">
        <v>3</v>
      </c>
      <c r="K567">
        <v>520</v>
      </c>
      <c r="L567">
        <v>0</v>
      </c>
      <c r="M567">
        <v>1560</v>
      </c>
      <c r="N567">
        <v>990</v>
      </c>
      <c r="O567">
        <v>570</v>
      </c>
    </row>
    <row r="568" spans="1:15" x14ac:dyDescent="0.25">
      <c r="A568" t="s">
        <v>1321</v>
      </c>
      <c r="B568" s="2">
        <v>46224</v>
      </c>
      <c r="C568" t="s">
        <v>538</v>
      </c>
      <c r="D568" t="s">
        <v>539</v>
      </c>
      <c r="E568" t="s">
        <v>39</v>
      </c>
      <c r="F568" t="s">
        <v>76</v>
      </c>
      <c r="G568" t="s">
        <v>57</v>
      </c>
      <c r="H568" t="s">
        <v>104</v>
      </c>
      <c r="I568" t="s">
        <v>105</v>
      </c>
      <c r="J568">
        <v>3</v>
      </c>
      <c r="K568">
        <v>7500</v>
      </c>
      <c r="L568">
        <v>0</v>
      </c>
      <c r="M568">
        <v>22500</v>
      </c>
      <c r="N568">
        <v>15600</v>
      </c>
      <c r="O568">
        <v>6900</v>
      </c>
    </row>
    <row r="569" spans="1:15" x14ac:dyDescent="0.25">
      <c r="A569" t="s">
        <v>1322</v>
      </c>
      <c r="B569" s="2">
        <v>46225</v>
      </c>
      <c r="C569" t="s">
        <v>1323</v>
      </c>
      <c r="D569" t="s">
        <v>1324</v>
      </c>
      <c r="E569" t="s">
        <v>26</v>
      </c>
      <c r="F569" t="s">
        <v>27</v>
      </c>
      <c r="G569" t="s">
        <v>51</v>
      </c>
      <c r="H569" t="s">
        <v>52</v>
      </c>
      <c r="I569" t="s">
        <v>53</v>
      </c>
      <c r="J569">
        <v>3</v>
      </c>
      <c r="K569">
        <v>2200</v>
      </c>
      <c r="L569">
        <v>0.1</v>
      </c>
      <c r="M569">
        <v>5940</v>
      </c>
      <c r="N569">
        <v>4350</v>
      </c>
      <c r="O569">
        <v>1590</v>
      </c>
    </row>
    <row r="570" spans="1:15" x14ac:dyDescent="0.25">
      <c r="A570" t="s">
        <v>1325</v>
      </c>
      <c r="B570" s="2">
        <v>46226</v>
      </c>
      <c r="C570" t="s">
        <v>597</v>
      </c>
      <c r="D570" t="s">
        <v>598</v>
      </c>
      <c r="E570" t="s">
        <v>26</v>
      </c>
      <c r="F570" t="s">
        <v>34</v>
      </c>
      <c r="G570" t="s">
        <v>51</v>
      </c>
      <c r="H570" t="s">
        <v>21</v>
      </c>
      <c r="I570" t="s">
        <v>80</v>
      </c>
      <c r="J570">
        <v>4</v>
      </c>
      <c r="K570">
        <v>850</v>
      </c>
      <c r="L570">
        <v>0.2</v>
      </c>
      <c r="M570">
        <v>2720</v>
      </c>
      <c r="N570">
        <v>2240</v>
      </c>
      <c r="O570">
        <v>480</v>
      </c>
    </row>
    <row r="571" spans="1:15" x14ac:dyDescent="0.25">
      <c r="A571" t="s">
        <v>1326</v>
      </c>
      <c r="B571" s="2">
        <v>46227</v>
      </c>
      <c r="C571" t="s">
        <v>74</v>
      </c>
      <c r="D571" t="s">
        <v>75</v>
      </c>
      <c r="E571" t="s">
        <v>26</v>
      </c>
      <c r="F571" t="s">
        <v>34</v>
      </c>
      <c r="G571" t="s">
        <v>57</v>
      </c>
      <c r="H571" t="s">
        <v>104</v>
      </c>
      <c r="I571" t="s">
        <v>105</v>
      </c>
      <c r="J571">
        <v>3</v>
      </c>
      <c r="K571">
        <v>7500</v>
      </c>
      <c r="L571">
        <v>0.05</v>
      </c>
      <c r="M571">
        <v>21375</v>
      </c>
      <c r="N571">
        <v>15600</v>
      </c>
      <c r="O571">
        <v>5775</v>
      </c>
    </row>
    <row r="572" spans="1:15" x14ac:dyDescent="0.25">
      <c r="A572" t="s">
        <v>1327</v>
      </c>
      <c r="B572" s="2">
        <v>46228</v>
      </c>
      <c r="C572" t="s">
        <v>1328</v>
      </c>
      <c r="D572" t="s">
        <v>1329</v>
      </c>
      <c r="E572" t="s">
        <v>26</v>
      </c>
      <c r="F572" t="s">
        <v>128</v>
      </c>
      <c r="G572" t="s">
        <v>20</v>
      </c>
      <c r="H572" t="s">
        <v>84</v>
      </c>
      <c r="I572" t="s">
        <v>169</v>
      </c>
      <c r="J572">
        <v>3</v>
      </c>
      <c r="K572">
        <v>450</v>
      </c>
      <c r="L572">
        <v>0.1</v>
      </c>
      <c r="M572">
        <v>1215</v>
      </c>
      <c r="N572">
        <v>780</v>
      </c>
      <c r="O572">
        <v>435</v>
      </c>
    </row>
    <row r="573" spans="1:15" x14ac:dyDescent="0.25">
      <c r="A573" t="s">
        <v>1330</v>
      </c>
      <c r="B573" s="2">
        <v>46229</v>
      </c>
      <c r="C573" t="s">
        <v>766</v>
      </c>
      <c r="D573" t="s">
        <v>767</v>
      </c>
      <c r="E573" t="s">
        <v>26</v>
      </c>
      <c r="F573" t="s">
        <v>46</v>
      </c>
      <c r="G573" t="s">
        <v>20</v>
      </c>
      <c r="H573" t="s">
        <v>84</v>
      </c>
      <c r="I573" t="s">
        <v>85</v>
      </c>
      <c r="J573">
        <v>2</v>
      </c>
      <c r="K573">
        <v>280</v>
      </c>
      <c r="L573">
        <v>0.1</v>
      </c>
      <c r="M573">
        <v>504</v>
      </c>
      <c r="N573">
        <v>320</v>
      </c>
      <c r="O573">
        <v>184</v>
      </c>
    </row>
    <row r="574" spans="1:15" x14ac:dyDescent="0.25">
      <c r="A574" t="s">
        <v>1331</v>
      </c>
      <c r="B574" s="2">
        <v>46230</v>
      </c>
      <c r="C574" t="s">
        <v>630</v>
      </c>
      <c r="D574" t="s">
        <v>631</v>
      </c>
      <c r="E574" t="s">
        <v>39</v>
      </c>
      <c r="F574" t="s">
        <v>124</v>
      </c>
      <c r="G574" t="s">
        <v>28</v>
      </c>
      <c r="H574" t="s">
        <v>29</v>
      </c>
      <c r="I574" t="s">
        <v>47</v>
      </c>
      <c r="J574">
        <v>2</v>
      </c>
      <c r="K574">
        <v>6800</v>
      </c>
      <c r="L574">
        <v>0.1</v>
      </c>
      <c r="M574">
        <v>12240</v>
      </c>
      <c r="N574">
        <v>9400</v>
      </c>
      <c r="O574">
        <v>2840</v>
      </c>
    </row>
    <row r="575" spans="1:15" x14ac:dyDescent="0.25">
      <c r="A575" t="s">
        <v>1332</v>
      </c>
      <c r="B575" s="2">
        <v>46231</v>
      </c>
      <c r="C575" t="s">
        <v>1333</v>
      </c>
      <c r="D575" t="s">
        <v>1334</v>
      </c>
      <c r="E575" t="s">
        <v>39</v>
      </c>
      <c r="F575" t="s">
        <v>40</v>
      </c>
      <c r="G575" t="s">
        <v>28</v>
      </c>
      <c r="H575" t="s">
        <v>29</v>
      </c>
      <c r="I575" t="s">
        <v>35</v>
      </c>
      <c r="J575">
        <v>4</v>
      </c>
      <c r="K575">
        <v>4200</v>
      </c>
      <c r="L575">
        <v>0.15</v>
      </c>
      <c r="M575">
        <v>14280</v>
      </c>
      <c r="N575">
        <v>11600</v>
      </c>
      <c r="O575">
        <v>2680</v>
      </c>
    </row>
    <row r="576" spans="1:15" x14ac:dyDescent="0.25">
      <c r="A576" t="s">
        <v>1335</v>
      </c>
      <c r="B576" s="2">
        <v>46232</v>
      </c>
      <c r="C576" t="s">
        <v>1336</v>
      </c>
      <c r="D576" t="s">
        <v>1337</v>
      </c>
      <c r="E576" t="s">
        <v>39</v>
      </c>
      <c r="F576" t="s">
        <v>40</v>
      </c>
      <c r="G576" t="s">
        <v>20</v>
      </c>
      <c r="H576" t="s">
        <v>84</v>
      </c>
      <c r="I576" t="s">
        <v>210</v>
      </c>
      <c r="J576">
        <v>1</v>
      </c>
      <c r="K576">
        <v>300</v>
      </c>
      <c r="L576">
        <v>0.05</v>
      </c>
      <c r="M576">
        <v>285</v>
      </c>
      <c r="N576">
        <v>170</v>
      </c>
      <c r="O576">
        <v>115</v>
      </c>
    </row>
    <row r="577" spans="1:15" x14ac:dyDescent="0.25">
      <c r="A577" t="s">
        <v>1338</v>
      </c>
      <c r="B577" s="2">
        <v>46233</v>
      </c>
      <c r="C577" t="s">
        <v>1006</v>
      </c>
      <c r="D577" t="s">
        <v>1007</v>
      </c>
      <c r="E577" t="s">
        <v>39</v>
      </c>
      <c r="F577" t="s">
        <v>76</v>
      </c>
      <c r="G577" t="s">
        <v>51</v>
      </c>
      <c r="H577" t="s">
        <v>21</v>
      </c>
      <c r="I577" t="s">
        <v>116</v>
      </c>
      <c r="J577">
        <v>2</v>
      </c>
      <c r="K577">
        <v>1400</v>
      </c>
      <c r="L577">
        <v>0.15</v>
      </c>
      <c r="M577">
        <v>2380</v>
      </c>
      <c r="N577">
        <v>1800</v>
      </c>
      <c r="O577">
        <v>580</v>
      </c>
    </row>
    <row r="578" spans="1:15" x14ac:dyDescent="0.25">
      <c r="A578" t="s">
        <v>1339</v>
      </c>
      <c r="B578" s="2">
        <v>46234</v>
      </c>
      <c r="C578" t="s">
        <v>327</v>
      </c>
      <c r="D578" t="s">
        <v>328</v>
      </c>
      <c r="E578" t="s">
        <v>39</v>
      </c>
      <c r="F578" t="s">
        <v>76</v>
      </c>
      <c r="G578" t="s">
        <v>20</v>
      </c>
      <c r="H578" t="s">
        <v>84</v>
      </c>
      <c r="I578" t="s">
        <v>169</v>
      </c>
      <c r="J578">
        <v>5</v>
      </c>
      <c r="K578">
        <v>450</v>
      </c>
      <c r="L578">
        <v>0</v>
      </c>
      <c r="M578">
        <v>2250</v>
      </c>
      <c r="N578">
        <v>1300</v>
      </c>
      <c r="O578">
        <v>950</v>
      </c>
    </row>
    <row r="579" spans="1:15" x14ac:dyDescent="0.25">
      <c r="A579" t="s">
        <v>1340</v>
      </c>
      <c r="B579" s="2">
        <v>46235</v>
      </c>
      <c r="C579" t="s">
        <v>688</v>
      </c>
      <c r="D579" t="s">
        <v>689</v>
      </c>
      <c r="E579" t="s">
        <v>96</v>
      </c>
      <c r="F579" t="s">
        <v>196</v>
      </c>
      <c r="G579" t="s">
        <v>28</v>
      </c>
      <c r="H579" t="s">
        <v>29</v>
      </c>
      <c r="I579" t="s">
        <v>47</v>
      </c>
      <c r="J579">
        <v>5</v>
      </c>
      <c r="K579">
        <v>6800</v>
      </c>
      <c r="L579">
        <v>0.15</v>
      </c>
      <c r="M579">
        <v>28900</v>
      </c>
      <c r="N579">
        <v>23500</v>
      </c>
      <c r="O579">
        <v>5400</v>
      </c>
    </row>
    <row r="580" spans="1:15" x14ac:dyDescent="0.25">
      <c r="A580" t="s">
        <v>1341</v>
      </c>
      <c r="B580" s="2">
        <v>46236</v>
      </c>
      <c r="C580" t="s">
        <v>1294</v>
      </c>
      <c r="D580" t="s">
        <v>1295</v>
      </c>
      <c r="E580" t="s">
        <v>26</v>
      </c>
      <c r="F580" t="s">
        <v>27</v>
      </c>
      <c r="G580" t="s">
        <v>20</v>
      </c>
      <c r="H580" t="s">
        <v>84</v>
      </c>
      <c r="I580" t="s">
        <v>85</v>
      </c>
      <c r="J580">
        <v>2</v>
      </c>
      <c r="K580">
        <v>280</v>
      </c>
      <c r="L580">
        <v>0.2</v>
      </c>
      <c r="M580">
        <v>448</v>
      </c>
      <c r="N580">
        <v>320</v>
      </c>
      <c r="O580">
        <v>128</v>
      </c>
    </row>
    <row r="581" spans="1:15" x14ac:dyDescent="0.25">
      <c r="A581" t="s">
        <v>1342</v>
      </c>
      <c r="B581" s="2">
        <v>46237</v>
      </c>
      <c r="C581" t="s">
        <v>1003</v>
      </c>
      <c r="D581" t="s">
        <v>1004</v>
      </c>
      <c r="E581" t="s">
        <v>96</v>
      </c>
      <c r="F581" t="s">
        <v>196</v>
      </c>
      <c r="G581" t="s">
        <v>57</v>
      </c>
      <c r="H581" t="s">
        <v>104</v>
      </c>
      <c r="I581" t="s">
        <v>105</v>
      </c>
      <c r="J581">
        <v>2</v>
      </c>
      <c r="K581">
        <v>7500</v>
      </c>
      <c r="L581">
        <v>0.25</v>
      </c>
      <c r="M581">
        <v>11250</v>
      </c>
      <c r="N581">
        <v>10400</v>
      </c>
      <c r="O581">
        <v>850</v>
      </c>
    </row>
    <row r="582" spans="1:15" x14ac:dyDescent="0.25">
      <c r="A582" t="s">
        <v>1343</v>
      </c>
      <c r="B582" s="2">
        <v>46238</v>
      </c>
      <c r="C582" t="s">
        <v>494</v>
      </c>
      <c r="D582" t="s">
        <v>495</v>
      </c>
      <c r="E582" t="s">
        <v>26</v>
      </c>
      <c r="F582" t="s">
        <v>46</v>
      </c>
      <c r="G582" t="s">
        <v>51</v>
      </c>
      <c r="H582" t="s">
        <v>21</v>
      </c>
      <c r="I582" t="s">
        <v>80</v>
      </c>
      <c r="J582">
        <v>1</v>
      </c>
      <c r="K582">
        <v>850</v>
      </c>
      <c r="L582">
        <v>0.05</v>
      </c>
      <c r="M582">
        <v>807.5</v>
      </c>
      <c r="N582">
        <v>560</v>
      </c>
      <c r="O582">
        <v>247.5</v>
      </c>
    </row>
    <row r="583" spans="1:15" x14ac:dyDescent="0.25">
      <c r="A583" t="s">
        <v>1344</v>
      </c>
      <c r="B583" s="2">
        <v>46239</v>
      </c>
      <c r="C583" t="s">
        <v>191</v>
      </c>
      <c r="D583" t="s">
        <v>192</v>
      </c>
      <c r="E583" t="s">
        <v>26</v>
      </c>
      <c r="F583" t="s">
        <v>46</v>
      </c>
      <c r="G583" t="s">
        <v>51</v>
      </c>
      <c r="H583" t="s">
        <v>21</v>
      </c>
      <c r="I583" t="s">
        <v>116</v>
      </c>
      <c r="J583">
        <v>4</v>
      </c>
      <c r="K583">
        <v>1400</v>
      </c>
      <c r="L583">
        <v>0.05</v>
      </c>
      <c r="M583">
        <v>5320</v>
      </c>
      <c r="N583">
        <v>3600</v>
      </c>
      <c r="O583">
        <v>1720</v>
      </c>
    </row>
    <row r="584" spans="1:15" x14ac:dyDescent="0.25">
      <c r="A584" t="s">
        <v>1345</v>
      </c>
      <c r="B584" s="2">
        <v>46240</v>
      </c>
      <c r="C584" t="s">
        <v>278</v>
      </c>
      <c r="D584" t="s">
        <v>279</v>
      </c>
      <c r="E584" t="s">
        <v>18</v>
      </c>
      <c r="F584" t="s">
        <v>19</v>
      </c>
      <c r="G584" t="s">
        <v>57</v>
      </c>
      <c r="H584" t="s">
        <v>104</v>
      </c>
      <c r="I584" t="s">
        <v>105</v>
      </c>
      <c r="J584">
        <v>4</v>
      </c>
      <c r="K584">
        <v>7500</v>
      </c>
      <c r="L584">
        <v>0.1</v>
      </c>
      <c r="M584">
        <v>27000</v>
      </c>
      <c r="N584">
        <v>20800</v>
      </c>
      <c r="O584">
        <v>6200</v>
      </c>
    </row>
    <row r="585" spans="1:15" x14ac:dyDescent="0.25">
      <c r="A585" t="s">
        <v>1346</v>
      </c>
      <c r="B585" s="2">
        <v>46241</v>
      </c>
      <c r="C585" t="s">
        <v>899</v>
      </c>
      <c r="D585" t="s">
        <v>900</v>
      </c>
      <c r="E585" t="s">
        <v>26</v>
      </c>
      <c r="F585" t="s">
        <v>204</v>
      </c>
      <c r="G585" t="s">
        <v>57</v>
      </c>
      <c r="H585" t="s">
        <v>58</v>
      </c>
      <c r="I585" t="s">
        <v>59</v>
      </c>
      <c r="J585">
        <v>1</v>
      </c>
      <c r="K585">
        <v>5600</v>
      </c>
      <c r="L585">
        <v>0.15</v>
      </c>
      <c r="M585">
        <v>4760</v>
      </c>
      <c r="N585">
        <v>3900</v>
      </c>
      <c r="O585">
        <v>860</v>
      </c>
    </row>
    <row r="586" spans="1:15" x14ac:dyDescent="0.25">
      <c r="A586" t="s">
        <v>1347</v>
      </c>
      <c r="B586" s="2">
        <v>46242</v>
      </c>
      <c r="C586" t="s">
        <v>16</v>
      </c>
      <c r="D586" t="s">
        <v>17</v>
      </c>
      <c r="E586" t="s">
        <v>39</v>
      </c>
      <c r="F586" t="s">
        <v>124</v>
      </c>
      <c r="G586" t="s">
        <v>57</v>
      </c>
      <c r="H586" t="s">
        <v>188</v>
      </c>
      <c r="I586" t="s">
        <v>189</v>
      </c>
      <c r="J586">
        <v>2</v>
      </c>
      <c r="K586">
        <v>6200</v>
      </c>
      <c r="L586">
        <v>0.05</v>
      </c>
      <c r="M586">
        <v>11780</v>
      </c>
      <c r="N586">
        <v>8600</v>
      </c>
      <c r="O586">
        <v>3180</v>
      </c>
    </row>
    <row r="587" spans="1:15" x14ac:dyDescent="0.25">
      <c r="A587" t="s">
        <v>1348</v>
      </c>
      <c r="B587" s="2">
        <v>46243</v>
      </c>
      <c r="C587" t="s">
        <v>1349</v>
      </c>
      <c r="D587" t="s">
        <v>1350</v>
      </c>
      <c r="E587" t="s">
        <v>39</v>
      </c>
      <c r="F587" t="s">
        <v>124</v>
      </c>
      <c r="G587" t="s">
        <v>20</v>
      </c>
      <c r="H587" t="s">
        <v>84</v>
      </c>
      <c r="I587" t="s">
        <v>169</v>
      </c>
      <c r="J587">
        <v>5</v>
      </c>
      <c r="K587">
        <v>450</v>
      </c>
      <c r="L587">
        <v>0.25</v>
      </c>
      <c r="M587">
        <v>1687.5</v>
      </c>
      <c r="N587">
        <v>1300</v>
      </c>
      <c r="O587">
        <v>387.5</v>
      </c>
    </row>
    <row r="588" spans="1:15" x14ac:dyDescent="0.25">
      <c r="A588" t="s">
        <v>1351</v>
      </c>
      <c r="B588" s="2">
        <v>46244</v>
      </c>
      <c r="C588" t="s">
        <v>831</v>
      </c>
      <c r="D588" t="s">
        <v>832</v>
      </c>
      <c r="E588" t="s">
        <v>26</v>
      </c>
      <c r="F588" t="s">
        <v>27</v>
      </c>
      <c r="G588" t="s">
        <v>20</v>
      </c>
      <c r="H588" t="s">
        <v>84</v>
      </c>
      <c r="I588" t="s">
        <v>169</v>
      </c>
      <c r="J588">
        <v>3</v>
      </c>
      <c r="K588">
        <v>450</v>
      </c>
      <c r="L588">
        <v>0.05</v>
      </c>
      <c r="M588">
        <v>1282.5</v>
      </c>
      <c r="N588">
        <v>780</v>
      </c>
      <c r="O588">
        <v>502.5</v>
      </c>
    </row>
    <row r="589" spans="1:15" x14ac:dyDescent="0.25">
      <c r="A589" t="s">
        <v>1352</v>
      </c>
      <c r="B589" s="2">
        <v>46245</v>
      </c>
      <c r="C589" t="s">
        <v>573</v>
      </c>
      <c r="D589" t="s">
        <v>574</v>
      </c>
      <c r="E589" t="s">
        <v>39</v>
      </c>
      <c r="F589" t="s">
        <v>40</v>
      </c>
      <c r="G589" t="s">
        <v>51</v>
      </c>
      <c r="H589" t="s">
        <v>21</v>
      </c>
      <c r="I589" t="s">
        <v>80</v>
      </c>
      <c r="J589">
        <v>3</v>
      </c>
      <c r="K589">
        <v>850</v>
      </c>
      <c r="L589">
        <v>0.2</v>
      </c>
      <c r="M589">
        <v>2040</v>
      </c>
      <c r="N589">
        <v>1680</v>
      </c>
      <c r="O589">
        <v>360</v>
      </c>
    </row>
    <row r="590" spans="1:15" x14ac:dyDescent="0.25">
      <c r="A590" t="s">
        <v>1353</v>
      </c>
      <c r="B590" s="2">
        <v>46246</v>
      </c>
      <c r="C590" t="s">
        <v>1354</v>
      </c>
      <c r="D590" t="s">
        <v>1355</v>
      </c>
      <c r="E590" t="s">
        <v>26</v>
      </c>
      <c r="F590" t="s">
        <v>34</v>
      </c>
      <c r="G590" t="s">
        <v>28</v>
      </c>
      <c r="H590" t="s">
        <v>29</v>
      </c>
      <c r="I590" t="s">
        <v>30</v>
      </c>
      <c r="J590">
        <v>1</v>
      </c>
      <c r="K590">
        <v>1900</v>
      </c>
      <c r="L590">
        <v>0.05</v>
      </c>
      <c r="M590">
        <v>1805</v>
      </c>
      <c r="N590">
        <v>1250</v>
      </c>
      <c r="O590">
        <v>555</v>
      </c>
    </row>
    <row r="591" spans="1:15" x14ac:dyDescent="0.25">
      <c r="A591" t="s">
        <v>1356</v>
      </c>
      <c r="B591" s="2">
        <v>46247</v>
      </c>
      <c r="C591" t="s">
        <v>287</v>
      </c>
      <c r="D591" t="s">
        <v>288</v>
      </c>
      <c r="E591" t="s">
        <v>39</v>
      </c>
      <c r="F591" t="s">
        <v>40</v>
      </c>
      <c r="G591" t="s">
        <v>28</v>
      </c>
      <c r="H591" t="s">
        <v>29</v>
      </c>
      <c r="I591" t="s">
        <v>35</v>
      </c>
      <c r="J591">
        <v>3</v>
      </c>
      <c r="K591">
        <v>4200</v>
      </c>
      <c r="L591">
        <v>0.2</v>
      </c>
      <c r="M591">
        <v>10080</v>
      </c>
      <c r="N591">
        <v>8700</v>
      </c>
      <c r="O591">
        <v>1380</v>
      </c>
    </row>
    <row r="592" spans="1:15" x14ac:dyDescent="0.25">
      <c r="A592" t="s">
        <v>1357</v>
      </c>
      <c r="B592" s="2">
        <v>46248</v>
      </c>
      <c r="C592" t="s">
        <v>1358</v>
      </c>
      <c r="D592" t="s">
        <v>1359</v>
      </c>
      <c r="E592" t="s">
        <v>26</v>
      </c>
      <c r="F592" t="s">
        <v>27</v>
      </c>
      <c r="G592" t="s">
        <v>20</v>
      </c>
      <c r="H592" t="s">
        <v>84</v>
      </c>
      <c r="I592" t="s">
        <v>210</v>
      </c>
      <c r="J592">
        <v>4</v>
      </c>
      <c r="K592">
        <v>300</v>
      </c>
      <c r="L592">
        <v>0.15</v>
      </c>
      <c r="M592">
        <v>1020</v>
      </c>
      <c r="N592">
        <v>680</v>
      </c>
      <c r="O592">
        <v>340</v>
      </c>
    </row>
    <row r="593" spans="1:15" x14ac:dyDescent="0.25">
      <c r="A593" t="s">
        <v>1360</v>
      </c>
      <c r="B593" s="2">
        <v>46249</v>
      </c>
      <c r="C593" t="s">
        <v>918</v>
      </c>
      <c r="D593" t="s">
        <v>919</v>
      </c>
      <c r="E593" t="s">
        <v>26</v>
      </c>
      <c r="F593" t="s">
        <v>34</v>
      </c>
      <c r="G593" t="s">
        <v>51</v>
      </c>
      <c r="H593" t="s">
        <v>52</v>
      </c>
      <c r="I593" t="s">
        <v>53</v>
      </c>
      <c r="J593">
        <v>1</v>
      </c>
      <c r="K593">
        <v>2200</v>
      </c>
      <c r="L593">
        <v>0.2</v>
      </c>
      <c r="M593">
        <v>1760</v>
      </c>
      <c r="N593">
        <v>1450</v>
      </c>
      <c r="O593">
        <v>310</v>
      </c>
    </row>
    <row r="594" spans="1:15" x14ac:dyDescent="0.25">
      <c r="A594" t="s">
        <v>1361</v>
      </c>
      <c r="B594" s="2">
        <v>46250</v>
      </c>
      <c r="C594" t="s">
        <v>1180</v>
      </c>
      <c r="D594" t="s">
        <v>1181</v>
      </c>
      <c r="E594" t="s">
        <v>39</v>
      </c>
      <c r="F594" t="s">
        <v>40</v>
      </c>
      <c r="G594" t="s">
        <v>51</v>
      </c>
      <c r="H594" t="s">
        <v>21</v>
      </c>
      <c r="I594" t="s">
        <v>80</v>
      </c>
      <c r="J594">
        <v>1</v>
      </c>
      <c r="K594">
        <v>850</v>
      </c>
      <c r="L594">
        <v>0.05</v>
      </c>
      <c r="M594">
        <v>807.5</v>
      </c>
      <c r="N594">
        <v>560</v>
      </c>
      <c r="O594">
        <v>247.5</v>
      </c>
    </row>
    <row r="595" spans="1:15" x14ac:dyDescent="0.25">
      <c r="A595" t="s">
        <v>1362</v>
      </c>
      <c r="B595" s="2">
        <v>46251</v>
      </c>
      <c r="C595" t="s">
        <v>472</v>
      </c>
      <c r="D595" t="s">
        <v>473</v>
      </c>
      <c r="E595" t="s">
        <v>26</v>
      </c>
      <c r="F595" t="s">
        <v>46</v>
      </c>
      <c r="G595" t="s">
        <v>51</v>
      </c>
      <c r="H595" t="s">
        <v>52</v>
      </c>
      <c r="I595" t="s">
        <v>53</v>
      </c>
      <c r="J595">
        <v>2</v>
      </c>
      <c r="K595">
        <v>2200</v>
      </c>
      <c r="L595">
        <v>0</v>
      </c>
      <c r="M595">
        <v>4400</v>
      </c>
      <c r="N595">
        <v>2900</v>
      </c>
      <c r="O595">
        <v>1500</v>
      </c>
    </row>
    <row r="596" spans="1:15" x14ac:dyDescent="0.25">
      <c r="A596" t="s">
        <v>1363</v>
      </c>
      <c r="B596" s="2">
        <v>46252</v>
      </c>
      <c r="C596" t="s">
        <v>1124</v>
      </c>
      <c r="D596" t="s">
        <v>1125</v>
      </c>
      <c r="E596" t="s">
        <v>26</v>
      </c>
      <c r="F596" t="s">
        <v>34</v>
      </c>
      <c r="G596" t="s">
        <v>28</v>
      </c>
      <c r="H596" t="s">
        <v>29</v>
      </c>
      <c r="I596" t="s">
        <v>35</v>
      </c>
      <c r="J596">
        <v>3</v>
      </c>
      <c r="K596">
        <v>4200</v>
      </c>
      <c r="L596">
        <v>0.15</v>
      </c>
      <c r="M596">
        <v>10710</v>
      </c>
      <c r="N596">
        <v>8700</v>
      </c>
      <c r="O596">
        <v>2010</v>
      </c>
    </row>
    <row r="597" spans="1:15" x14ac:dyDescent="0.25">
      <c r="A597" t="s">
        <v>1364</v>
      </c>
      <c r="B597" s="2">
        <v>46253</v>
      </c>
      <c r="C597" t="s">
        <v>510</v>
      </c>
      <c r="D597" t="s">
        <v>511</v>
      </c>
      <c r="E597" t="s">
        <v>26</v>
      </c>
      <c r="F597" t="s">
        <v>27</v>
      </c>
      <c r="G597" t="s">
        <v>57</v>
      </c>
      <c r="H597" t="s">
        <v>188</v>
      </c>
      <c r="I597" t="s">
        <v>189</v>
      </c>
      <c r="J597">
        <v>1</v>
      </c>
      <c r="K597">
        <v>6200</v>
      </c>
      <c r="L597">
        <v>0.05</v>
      </c>
      <c r="M597">
        <v>5890</v>
      </c>
      <c r="N597">
        <v>4300</v>
      </c>
      <c r="O597">
        <v>1590</v>
      </c>
    </row>
    <row r="598" spans="1:15" x14ac:dyDescent="0.25">
      <c r="A598" t="s">
        <v>1365</v>
      </c>
      <c r="B598" s="2">
        <v>46254</v>
      </c>
      <c r="C598" t="s">
        <v>896</v>
      </c>
      <c r="D598" t="s">
        <v>897</v>
      </c>
      <c r="E598" t="s">
        <v>26</v>
      </c>
      <c r="F598" t="s">
        <v>204</v>
      </c>
      <c r="G598" t="s">
        <v>57</v>
      </c>
      <c r="H598" t="s">
        <v>58</v>
      </c>
      <c r="I598" t="s">
        <v>129</v>
      </c>
      <c r="J598">
        <v>5</v>
      </c>
      <c r="K598">
        <v>4800</v>
      </c>
      <c r="L598">
        <v>0.1</v>
      </c>
      <c r="M598">
        <v>21600</v>
      </c>
      <c r="N598">
        <v>16500</v>
      </c>
      <c r="O598">
        <v>5100</v>
      </c>
    </row>
    <row r="599" spans="1:15" x14ac:dyDescent="0.25">
      <c r="A599" t="s">
        <v>1366</v>
      </c>
      <c r="B599" s="2">
        <v>46255</v>
      </c>
      <c r="C599" t="s">
        <v>1071</v>
      </c>
      <c r="D599" t="s">
        <v>1072</v>
      </c>
      <c r="E599" t="s">
        <v>26</v>
      </c>
      <c r="F599" t="s">
        <v>34</v>
      </c>
      <c r="G599" t="s">
        <v>28</v>
      </c>
      <c r="H599" t="s">
        <v>29</v>
      </c>
      <c r="I599" t="s">
        <v>47</v>
      </c>
      <c r="J599">
        <v>5</v>
      </c>
      <c r="K599">
        <v>6800</v>
      </c>
      <c r="L599">
        <v>0.15</v>
      </c>
      <c r="M599">
        <v>28900</v>
      </c>
      <c r="N599">
        <v>23500</v>
      </c>
      <c r="O599">
        <v>5400</v>
      </c>
    </row>
    <row r="600" spans="1:15" x14ac:dyDescent="0.25">
      <c r="A600" t="s">
        <v>1367</v>
      </c>
      <c r="B600" s="2">
        <v>46256</v>
      </c>
      <c r="C600" t="s">
        <v>1368</v>
      </c>
      <c r="D600" t="s">
        <v>1369</v>
      </c>
      <c r="E600" t="s">
        <v>96</v>
      </c>
      <c r="F600" t="s">
        <v>97</v>
      </c>
      <c r="G600" t="s">
        <v>20</v>
      </c>
      <c r="H600" t="s">
        <v>41</v>
      </c>
      <c r="I600" t="s">
        <v>42</v>
      </c>
      <c r="J600">
        <v>4</v>
      </c>
      <c r="K600">
        <v>520</v>
      </c>
      <c r="L600">
        <v>0.2</v>
      </c>
      <c r="M600">
        <v>1664</v>
      </c>
      <c r="N600">
        <v>1320</v>
      </c>
      <c r="O600">
        <v>344</v>
      </c>
    </row>
    <row r="601" spans="1:15" x14ac:dyDescent="0.25">
      <c r="A601" t="s">
        <v>1370</v>
      </c>
      <c r="B601" s="2">
        <v>46257</v>
      </c>
      <c r="C601" t="s">
        <v>1207</v>
      </c>
      <c r="D601" t="s">
        <v>1208</v>
      </c>
      <c r="E601" t="s">
        <v>18</v>
      </c>
      <c r="F601" t="s">
        <v>94</v>
      </c>
      <c r="G601" t="s">
        <v>51</v>
      </c>
      <c r="H601" t="s">
        <v>21</v>
      </c>
      <c r="I601" t="s">
        <v>116</v>
      </c>
      <c r="J601">
        <v>3</v>
      </c>
      <c r="K601">
        <v>1400</v>
      </c>
      <c r="L601">
        <v>0.1</v>
      </c>
      <c r="M601">
        <v>3780</v>
      </c>
      <c r="N601">
        <v>2700</v>
      </c>
      <c r="O601">
        <v>1080</v>
      </c>
    </row>
    <row r="602" spans="1:15" x14ac:dyDescent="0.25">
      <c r="A602" t="s">
        <v>1371</v>
      </c>
      <c r="B602" s="2">
        <v>46258</v>
      </c>
      <c r="C602" t="s">
        <v>1372</v>
      </c>
      <c r="D602" t="s">
        <v>1373</v>
      </c>
      <c r="E602" t="s">
        <v>39</v>
      </c>
      <c r="F602" t="s">
        <v>124</v>
      </c>
      <c r="G602" t="s">
        <v>28</v>
      </c>
      <c r="H602" t="s">
        <v>29</v>
      </c>
      <c r="I602" t="s">
        <v>30</v>
      </c>
      <c r="J602">
        <v>4</v>
      </c>
      <c r="K602">
        <v>1900</v>
      </c>
      <c r="L602">
        <v>0.15</v>
      </c>
      <c r="M602">
        <v>6460</v>
      </c>
      <c r="N602">
        <v>5000</v>
      </c>
      <c r="O602">
        <v>1460</v>
      </c>
    </row>
    <row r="603" spans="1:15" x14ac:dyDescent="0.25">
      <c r="A603" t="s">
        <v>1374</v>
      </c>
      <c r="B603" s="2">
        <v>46259</v>
      </c>
      <c r="C603" t="s">
        <v>1375</v>
      </c>
      <c r="D603" t="s">
        <v>1376</v>
      </c>
      <c r="E603" t="s">
        <v>26</v>
      </c>
      <c r="F603" t="s">
        <v>34</v>
      </c>
      <c r="G603" t="s">
        <v>20</v>
      </c>
      <c r="H603" t="s">
        <v>84</v>
      </c>
      <c r="I603" t="s">
        <v>210</v>
      </c>
      <c r="J603">
        <v>4</v>
      </c>
      <c r="K603">
        <v>300</v>
      </c>
      <c r="L603">
        <v>0</v>
      </c>
      <c r="M603">
        <v>1200</v>
      </c>
      <c r="N603">
        <v>680</v>
      </c>
      <c r="O603">
        <v>520</v>
      </c>
    </row>
    <row r="604" spans="1:15" x14ac:dyDescent="0.25">
      <c r="A604" t="s">
        <v>1377</v>
      </c>
      <c r="B604" s="2">
        <v>46260</v>
      </c>
      <c r="C604" t="s">
        <v>838</v>
      </c>
      <c r="D604" t="s">
        <v>839</v>
      </c>
      <c r="E604" t="s">
        <v>96</v>
      </c>
      <c r="F604" t="s">
        <v>97</v>
      </c>
      <c r="G604" t="s">
        <v>20</v>
      </c>
      <c r="H604" t="s">
        <v>84</v>
      </c>
      <c r="I604" t="s">
        <v>169</v>
      </c>
      <c r="J604">
        <v>4</v>
      </c>
      <c r="K604">
        <v>450</v>
      </c>
      <c r="L604">
        <v>0.1</v>
      </c>
      <c r="M604">
        <v>1620</v>
      </c>
      <c r="N604">
        <v>1040</v>
      </c>
      <c r="O604">
        <v>580</v>
      </c>
    </row>
    <row r="605" spans="1:15" x14ac:dyDescent="0.25">
      <c r="A605" t="s">
        <v>1378</v>
      </c>
      <c r="B605" s="2">
        <v>46261</v>
      </c>
      <c r="C605" t="s">
        <v>158</v>
      </c>
      <c r="D605" t="s">
        <v>159</v>
      </c>
      <c r="E605" t="s">
        <v>39</v>
      </c>
      <c r="F605" t="s">
        <v>71</v>
      </c>
      <c r="G605" t="s">
        <v>28</v>
      </c>
      <c r="H605" t="s">
        <v>63</v>
      </c>
      <c r="I605" t="s">
        <v>64</v>
      </c>
      <c r="J605">
        <v>2</v>
      </c>
      <c r="K605">
        <v>2400</v>
      </c>
      <c r="L605">
        <v>0.1</v>
      </c>
      <c r="M605">
        <v>4320</v>
      </c>
      <c r="N605">
        <v>3300</v>
      </c>
      <c r="O605">
        <v>1020</v>
      </c>
    </row>
    <row r="606" spans="1:15" x14ac:dyDescent="0.25">
      <c r="A606" t="s">
        <v>1379</v>
      </c>
      <c r="B606" s="2">
        <v>46262</v>
      </c>
      <c r="C606" t="s">
        <v>301</v>
      </c>
      <c r="D606" t="s">
        <v>302</v>
      </c>
      <c r="E606" t="s">
        <v>26</v>
      </c>
      <c r="F606" t="s">
        <v>46</v>
      </c>
      <c r="G606" t="s">
        <v>28</v>
      </c>
      <c r="H606" t="s">
        <v>63</v>
      </c>
      <c r="I606" t="s">
        <v>64</v>
      </c>
      <c r="J606">
        <v>2</v>
      </c>
      <c r="K606">
        <v>2400</v>
      </c>
      <c r="L606">
        <v>0.15</v>
      </c>
      <c r="M606">
        <v>4080</v>
      </c>
      <c r="N606">
        <v>3300</v>
      </c>
      <c r="O606">
        <v>780</v>
      </c>
    </row>
    <row r="607" spans="1:15" x14ac:dyDescent="0.25">
      <c r="A607" t="s">
        <v>1380</v>
      </c>
      <c r="B607" s="2">
        <v>46263</v>
      </c>
      <c r="C607" t="s">
        <v>1381</v>
      </c>
      <c r="D607" t="s">
        <v>1382</v>
      </c>
      <c r="E607" t="s">
        <v>26</v>
      </c>
      <c r="F607" t="s">
        <v>128</v>
      </c>
      <c r="G607" t="s">
        <v>28</v>
      </c>
      <c r="H607" t="s">
        <v>29</v>
      </c>
      <c r="I607" t="s">
        <v>30</v>
      </c>
      <c r="J607">
        <v>5</v>
      </c>
      <c r="K607">
        <v>1900</v>
      </c>
      <c r="L607">
        <v>0</v>
      </c>
      <c r="M607">
        <v>9500</v>
      </c>
      <c r="N607">
        <v>6250</v>
      </c>
      <c r="O607">
        <v>3250</v>
      </c>
    </row>
    <row r="608" spans="1:15" x14ac:dyDescent="0.25">
      <c r="A608" t="s">
        <v>1383</v>
      </c>
      <c r="B608" s="2">
        <v>46264</v>
      </c>
      <c r="C608" t="s">
        <v>1384</v>
      </c>
      <c r="D608" t="s">
        <v>1385</v>
      </c>
      <c r="E608" t="s">
        <v>39</v>
      </c>
      <c r="F608" t="s">
        <v>76</v>
      </c>
      <c r="G608" t="s">
        <v>28</v>
      </c>
      <c r="H608" t="s">
        <v>29</v>
      </c>
      <c r="I608" t="s">
        <v>47</v>
      </c>
      <c r="J608">
        <v>2</v>
      </c>
      <c r="K608">
        <v>6800</v>
      </c>
      <c r="L608">
        <v>0.05</v>
      </c>
      <c r="M608">
        <v>12920</v>
      </c>
      <c r="N608">
        <v>9400</v>
      </c>
      <c r="O608">
        <v>3520</v>
      </c>
    </row>
    <row r="609" spans="1:15" x14ac:dyDescent="0.25">
      <c r="A609" t="s">
        <v>1386</v>
      </c>
      <c r="B609" s="2">
        <v>46265</v>
      </c>
      <c r="C609" t="s">
        <v>547</v>
      </c>
      <c r="D609" t="s">
        <v>548</v>
      </c>
      <c r="E609" t="s">
        <v>96</v>
      </c>
      <c r="F609" t="s">
        <v>120</v>
      </c>
      <c r="G609" t="s">
        <v>57</v>
      </c>
      <c r="H609" t="s">
        <v>104</v>
      </c>
      <c r="I609" t="s">
        <v>105</v>
      </c>
      <c r="J609">
        <v>2</v>
      </c>
      <c r="K609">
        <v>7500</v>
      </c>
      <c r="L609">
        <v>0.15</v>
      </c>
      <c r="M609">
        <v>12750</v>
      </c>
      <c r="N609">
        <v>10400</v>
      </c>
      <c r="O609">
        <v>2350</v>
      </c>
    </row>
    <row r="610" spans="1:15" x14ac:dyDescent="0.25">
      <c r="A610" t="s">
        <v>1387</v>
      </c>
      <c r="B610" s="2">
        <v>46266</v>
      </c>
      <c r="C610" t="s">
        <v>647</v>
      </c>
      <c r="D610" t="s">
        <v>648</v>
      </c>
      <c r="E610" t="s">
        <v>26</v>
      </c>
      <c r="F610" t="s">
        <v>46</v>
      </c>
      <c r="G610" t="s">
        <v>51</v>
      </c>
      <c r="H610" t="s">
        <v>52</v>
      </c>
      <c r="I610" t="s">
        <v>53</v>
      </c>
      <c r="J610">
        <v>4</v>
      </c>
      <c r="K610">
        <v>2200</v>
      </c>
      <c r="L610">
        <v>0.15</v>
      </c>
      <c r="M610">
        <v>7480</v>
      </c>
      <c r="N610">
        <v>5800</v>
      </c>
      <c r="O610">
        <v>1680</v>
      </c>
    </row>
    <row r="611" spans="1:15" x14ac:dyDescent="0.25">
      <c r="A611" t="s">
        <v>1388</v>
      </c>
      <c r="B611" s="2">
        <v>46267</v>
      </c>
      <c r="C611" t="s">
        <v>556</v>
      </c>
      <c r="D611" t="s">
        <v>557</v>
      </c>
      <c r="E611" t="s">
        <v>26</v>
      </c>
      <c r="F611" t="s">
        <v>27</v>
      </c>
      <c r="G611" t="s">
        <v>51</v>
      </c>
      <c r="H611" t="s">
        <v>52</v>
      </c>
      <c r="I611" t="s">
        <v>208</v>
      </c>
      <c r="J611">
        <v>5</v>
      </c>
      <c r="K611">
        <v>2800</v>
      </c>
      <c r="L611">
        <v>0</v>
      </c>
      <c r="M611">
        <v>14000</v>
      </c>
      <c r="N611">
        <v>9000</v>
      </c>
      <c r="O611">
        <v>5000</v>
      </c>
    </row>
    <row r="612" spans="1:15" x14ac:dyDescent="0.25">
      <c r="A612" t="s">
        <v>1389</v>
      </c>
      <c r="B612" s="2">
        <v>46268</v>
      </c>
      <c r="C612" t="s">
        <v>1157</v>
      </c>
      <c r="D612" t="s">
        <v>1158</v>
      </c>
      <c r="E612" t="s">
        <v>39</v>
      </c>
      <c r="F612" t="s">
        <v>40</v>
      </c>
      <c r="G612" t="s">
        <v>51</v>
      </c>
      <c r="H612" t="s">
        <v>21</v>
      </c>
      <c r="I612" t="s">
        <v>116</v>
      </c>
      <c r="J612">
        <v>3</v>
      </c>
      <c r="K612">
        <v>1400</v>
      </c>
      <c r="L612">
        <v>0.05</v>
      </c>
      <c r="M612">
        <v>3990</v>
      </c>
      <c r="N612">
        <v>2700</v>
      </c>
      <c r="O612">
        <v>1290</v>
      </c>
    </row>
    <row r="613" spans="1:15" x14ac:dyDescent="0.25">
      <c r="A613" t="s">
        <v>1390</v>
      </c>
      <c r="B613" s="2">
        <v>46269</v>
      </c>
      <c r="C613" t="s">
        <v>262</v>
      </c>
      <c r="D613" t="s">
        <v>263</v>
      </c>
      <c r="E613" t="s">
        <v>26</v>
      </c>
      <c r="F613" t="s">
        <v>46</v>
      </c>
      <c r="G613" t="s">
        <v>57</v>
      </c>
      <c r="H613" t="s">
        <v>58</v>
      </c>
      <c r="I613" t="s">
        <v>59</v>
      </c>
      <c r="J613">
        <v>2</v>
      </c>
      <c r="K613">
        <v>5600</v>
      </c>
      <c r="L613">
        <v>0.05</v>
      </c>
      <c r="M613">
        <v>10640</v>
      </c>
      <c r="N613">
        <v>7800</v>
      </c>
      <c r="O613">
        <v>2840</v>
      </c>
    </row>
    <row r="614" spans="1:15" x14ac:dyDescent="0.25">
      <c r="A614" t="s">
        <v>1391</v>
      </c>
      <c r="B614" s="2">
        <v>46270</v>
      </c>
      <c r="C614" t="s">
        <v>497</v>
      </c>
      <c r="D614" t="s">
        <v>498</v>
      </c>
      <c r="E614" t="s">
        <v>39</v>
      </c>
      <c r="F614" t="s">
        <v>71</v>
      </c>
      <c r="G614" t="s">
        <v>20</v>
      </c>
      <c r="H614" t="s">
        <v>84</v>
      </c>
      <c r="I614" t="s">
        <v>169</v>
      </c>
      <c r="J614">
        <v>1</v>
      </c>
      <c r="K614">
        <v>450</v>
      </c>
      <c r="L614">
        <v>0.1</v>
      </c>
      <c r="M614">
        <v>405</v>
      </c>
      <c r="N614">
        <v>260</v>
      </c>
      <c r="O614">
        <v>145</v>
      </c>
    </row>
    <row r="615" spans="1:15" x14ac:dyDescent="0.25">
      <c r="A615" t="s">
        <v>1392</v>
      </c>
      <c r="B615" s="2">
        <v>46271</v>
      </c>
      <c r="C615" t="s">
        <v>1393</v>
      </c>
      <c r="D615" t="s">
        <v>1394</v>
      </c>
      <c r="E615" t="s">
        <v>26</v>
      </c>
      <c r="F615" t="s">
        <v>128</v>
      </c>
      <c r="G615" t="s">
        <v>57</v>
      </c>
      <c r="H615" t="s">
        <v>58</v>
      </c>
      <c r="I615" t="s">
        <v>129</v>
      </c>
      <c r="J615">
        <v>1</v>
      </c>
      <c r="K615">
        <v>4800</v>
      </c>
      <c r="L615">
        <v>0.05</v>
      </c>
      <c r="M615">
        <v>4560</v>
      </c>
      <c r="N615">
        <v>3300</v>
      </c>
      <c r="O615">
        <v>1260</v>
      </c>
    </row>
    <row r="616" spans="1:15" x14ac:dyDescent="0.25">
      <c r="A616" t="s">
        <v>1395</v>
      </c>
      <c r="B616" s="2">
        <v>46272</v>
      </c>
      <c r="C616" t="s">
        <v>1117</v>
      </c>
      <c r="D616" t="s">
        <v>1118</v>
      </c>
      <c r="E616" t="s">
        <v>26</v>
      </c>
      <c r="F616" t="s">
        <v>27</v>
      </c>
      <c r="G616" t="s">
        <v>28</v>
      </c>
      <c r="H616" t="s">
        <v>63</v>
      </c>
      <c r="I616" t="s">
        <v>64</v>
      </c>
      <c r="J616">
        <v>2</v>
      </c>
      <c r="K616">
        <v>2400</v>
      </c>
      <c r="L616">
        <v>0.15</v>
      </c>
      <c r="M616">
        <v>4080</v>
      </c>
      <c r="N616">
        <v>3300</v>
      </c>
      <c r="O616">
        <v>780</v>
      </c>
    </row>
    <row r="617" spans="1:15" x14ac:dyDescent="0.25">
      <c r="A617" t="s">
        <v>1396</v>
      </c>
      <c r="B617" s="2">
        <v>46273</v>
      </c>
      <c r="C617" t="s">
        <v>399</v>
      </c>
      <c r="D617" t="s">
        <v>400</v>
      </c>
      <c r="E617" t="s">
        <v>26</v>
      </c>
      <c r="F617" t="s">
        <v>46</v>
      </c>
      <c r="G617" t="s">
        <v>20</v>
      </c>
      <c r="H617" t="s">
        <v>84</v>
      </c>
      <c r="I617" t="s">
        <v>210</v>
      </c>
      <c r="J617">
        <v>3</v>
      </c>
      <c r="K617">
        <v>300</v>
      </c>
      <c r="L617">
        <v>0.05</v>
      </c>
      <c r="M617">
        <v>855</v>
      </c>
      <c r="N617">
        <v>510</v>
      </c>
      <c r="O617">
        <v>345</v>
      </c>
    </row>
    <row r="618" spans="1:15" x14ac:dyDescent="0.25">
      <c r="A618" t="s">
        <v>1397</v>
      </c>
      <c r="B618" s="2">
        <v>46274</v>
      </c>
      <c r="C618" t="s">
        <v>553</v>
      </c>
      <c r="D618" t="s">
        <v>554</v>
      </c>
      <c r="E618" t="s">
        <v>26</v>
      </c>
      <c r="F618" t="s">
        <v>128</v>
      </c>
      <c r="G618" t="s">
        <v>20</v>
      </c>
      <c r="H618" t="s">
        <v>21</v>
      </c>
      <c r="I618" t="s">
        <v>22</v>
      </c>
      <c r="J618">
        <v>4</v>
      </c>
      <c r="K618">
        <v>650</v>
      </c>
      <c r="L618">
        <v>0.05</v>
      </c>
      <c r="M618">
        <v>2470</v>
      </c>
      <c r="N618">
        <v>1560</v>
      </c>
      <c r="O618">
        <v>910</v>
      </c>
    </row>
    <row r="619" spans="1:15" x14ac:dyDescent="0.25">
      <c r="A619" t="s">
        <v>1398</v>
      </c>
      <c r="B619" s="2">
        <v>46275</v>
      </c>
      <c r="C619" t="s">
        <v>809</v>
      </c>
      <c r="D619" t="s">
        <v>810</v>
      </c>
      <c r="E619" t="s">
        <v>26</v>
      </c>
      <c r="F619" t="s">
        <v>128</v>
      </c>
      <c r="G619" t="s">
        <v>57</v>
      </c>
      <c r="H619" t="s">
        <v>104</v>
      </c>
      <c r="I619" t="s">
        <v>105</v>
      </c>
      <c r="J619">
        <v>3</v>
      </c>
      <c r="K619">
        <v>7500</v>
      </c>
      <c r="L619">
        <v>0.15</v>
      </c>
      <c r="M619">
        <v>19125</v>
      </c>
      <c r="N619">
        <v>15600</v>
      </c>
      <c r="O619">
        <v>3525</v>
      </c>
    </row>
    <row r="620" spans="1:15" x14ac:dyDescent="0.25">
      <c r="A620" t="s">
        <v>1399</v>
      </c>
      <c r="B620" s="2">
        <v>46276</v>
      </c>
      <c r="C620" t="s">
        <v>232</v>
      </c>
      <c r="D620" t="s">
        <v>233</v>
      </c>
      <c r="E620" t="s">
        <v>96</v>
      </c>
      <c r="F620" t="s">
        <v>120</v>
      </c>
      <c r="G620" t="s">
        <v>20</v>
      </c>
      <c r="H620" t="s">
        <v>21</v>
      </c>
      <c r="I620" t="s">
        <v>22</v>
      </c>
      <c r="J620">
        <v>4</v>
      </c>
      <c r="K620">
        <v>650</v>
      </c>
      <c r="L620">
        <v>0.05</v>
      </c>
      <c r="M620">
        <v>2470</v>
      </c>
      <c r="N620">
        <v>1560</v>
      </c>
      <c r="O620">
        <v>910</v>
      </c>
    </row>
    <row r="621" spans="1:15" x14ac:dyDescent="0.25">
      <c r="A621" t="s">
        <v>1400</v>
      </c>
      <c r="B621" s="2">
        <v>46277</v>
      </c>
      <c r="C621" t="s">
        <v>414</v>
      </c>
      <c r="D621" t="s">
        <v>415</v>
      </c>
      <c r="E621" t="s">
        <v>26</v>
      </c>
      <c r="F621" t="s">
        <v>46</v>
      </c>
      <c r="G621" t="s">
        <v>57</v>
      </c>
      <c r="H621" t="s">
        <v>188</v>
      </c>
      <c r="I621" t="s">
        <v>189</v>
      </c>
      <c r="J621">
        <v>4</v>
      </c>
      <c r="K621">
        <v>6200</v>
      </c>
      <c r="L621">
        <v>0.15</v>
      </c>
      <c r="M621">
        <v>21080</v>
      </c>
      <c r="N621">
        <v>17200</v>
      </c>
      <c r="O621">
        <v>3880</v>
      </c>
    </row>
    <row r="622" spans="1:15" x14ac:dyDescent="0.25">
      <c r="A622" t="s">
        <v>1401</v>
      </c>
      <c r="B622" s="2">
        <v>46278</v>
      </c>
      <c r="C622" t="s">
        <v>1138</v>
      </c>
      <c r="D622" t="s">
        <v>1139</v>
      </c>
      <c r="E622" t="s">
        <v>26</v>
      </c>
      <c r="F622" t="s">
        <v>27</v>
      </c>
      <c r="G622" t="s">
        <v>28</v>
      </c>
      <c r="H622" t="s">
        <v>29</v>
      </c>
      <c r="I622" t="s">
        <v>47</v>
      </c>
      <c r="J622">
        <v>5</v>
      </c>
      <c r="K622">
        <v>6800</v>
      </c>
      <c r="L622">
        <v>0.1</v>
      </c>
      <c r="M622">
        <v>30600</v>
      </c>
      <c r="N622">
        <v>23500</v>
      </c>
      <c r="O622">
        <v>7100</v>
      </c>
    </row>
    <row r="623" spans="1:15" x14ac:dyDescent="0.25">
      <c r="A623" t="s">
        <v>1402</v>
      </c>
      <c r="B623" s="2">
        <v>46279</v>
      </c>
      <c r="C623" t="s">
        <v>366</v>
      </c>
      <c r="D623" t="s">
        <v>367</v>
      </c>
      <c r="E623" t="s">
        <v>26</v>
      </c>
      <c r="F623" t="s">
        <v>27</v>
      </c>
      <c r="G623" t="s">
        <v>28</v>
      </c>
      <c r="H623" t="s">
        <v>29</v>
      </c>
      <c r="I623" t="s">
        <v>30</v>
      </c>
      <c r="J623">
        <v>3</v>
      </c>
      <c r="K623">
        <v>1900</v>
      </c>
      <c r="L623">
        <v>0</v>
      </c>
      <c r="M623">
        <v>5700</v>
      </c>
      <c r="N623">
        <v>3750</v>
      </c>
      <c r="O623">
        <v>1950</v>
      </c>
    </row>
    <row r="624" spans="1:15" x14ac:dyDescent="0.25">
      <c r="A624" t="s">
        <v>1403</v>
      </c>
      <c r="B624" s="2">
        <v>46280</v>
      </c>
      <c r="C624" t="s">
        <v>1404</v>
      </c>
      <c r="D624" t="s">
        <v>1405</v>
      </c>
      <c r="E624" t="s">
        <v>39</v>
      </c>
      <c r="F624" t="s">
        <v>71</v>
      </c>
      <c r="G624" t="s">
        <v>51</v>
      </c>
      <c r="H624" t="s">
        <v>89</v>
      </c>
      <c r="I624" t="s">
        <v>90</v>
      </c>
      <c r="J624">
        <v>4</v>
      </c>
      <c r="K624">
        <v>10500</v>
      </c>
      <c r="L624">
        <v>0.15</v>
      </c>
      <c r="M624">
        <v>35700</v>
      </c>
      <c r="N624">
        <v>30400</v>
      </c>
      <c r="O624">
        <v>5300</v>
      </c>
    </row>
    <row r="625" spans="1:15" x14ac:dyDescent="0.25">
      <c r="A625" t="s">
        <v>1406</v>
      </c>
      <c r="B625" s="2">
        <v>46281</v>
      </c>
      <c r="C625" t="s">
        <v>259</v>
      </c>
      <c r="D625" t="s">
        <v>260</v>
      </c>
      <c r="E625" t="s">
        <v>39</v>
      </c>
      <c r="F625" t="s">
        <v>76</v>
      </c>
      <c r="G625" t="s">
        <v>57</v>
      </c>
      <c r="H625" t="s">
        <v>58</v>
      </c>
      <c r="I625" t="s">
        <v>129</v>
      </c>
      <c r="J625">
        <v>2</v>
      </c>
      <c r="K625">
        <v>4800</v>
      </c>
      <c r="L625">
        <v>0.25</v>
      </c>
      <c r="M625">
        <v>7200</v>
      </c>
      <c r="N625">
        <v>6600</v>
      </c>
      <c r="O625">
        <v>600</v>
      </c>
    </row>
    <row r="626" spans="1:15" x14ac:dyDescent="0.25">
      <c r="A626" t="s">
        <v>1407</v>
      </c>
      <c r="B626" s="2">
        <v>46282</v>
      </c>
      <c r="C626" t="s">
        <v>1064</v>
      </c>
      <c r="D626" t="s">
        <v>1065</v>
      </c>
      <c r="E626" t="s">
        <v>26</v>
      </c>
      <c r="F626" t="s">
        <v>27</v>
      </c>
      <c r="G626" t="s">
        <v>28</v>
      </c>
      <c r="H626" t="s">
        <v>29</v>
      </c>
      <c r="I626" t="s">
        <v>30</v>
      </c>
      <c r="J626">
        <v>4</v>
      </c>
      <c r="K626">
        <v>1900</v>
      </c>
      <c r="L626">
        <v>0.15</v>
      </c>
      <c r="M626">
        <v>6460</v>
      </c>
      <c r="N626">
        <v>5000</v>
      </c>
      <c r="O626">
        <v>1460</v>
      </c>
    </row>
    <row r="627" spans="1:15" x14ac:dyDescent="0.25">
      <c r="A627" t="s">
        <v>1408</v>
      </c>
      <c r="B627" s="2">
        <v>46283</v>
      </c>
      <c r="C627" t="s">
        <v>82</v>
      </c>
      <c r="D627" t="s">
        <v>83</v>
      </c>
      <c r="E627" t="s">
        <v>96</v>
      </c>
      <c r="F627" t="s">
        <v>120</v>
      </c>
      <c r="G627" t="s">
        <v>57</v>
      </c>
      <c r="H627" t="s">
        <v>104</v>
      </c>
      <c r="I627" t="s">
        <v>105</v>
      </c>
      <c r="J627">
        <v>5</v>
      </c>
      <c r="K627">
        <v>7500</v>
      </c>
      <c r="L627">
        <v>0.25</v>
      </c>
      <c r="M627">
        <v>28125</v>
      </c>
      <c r="N627">
        <v>26000</v>
      </c>
      <c r="O627">
        <v>2125</v>
      </c>
    </row>
    <row r="628" spans="1:15" x14ac:dyDescent="0.25">
      <c r="A628" t="s">
        <v>1409</v>
      </c>
      <c r="B628" s="2">
        <v>46284</v>
      </c>
      <c r="C628" t="s">
        <v>647</v>
      </c>
      <c r="D628" t="s">
        <v>648</v>
      </c>
      <c r="E628" t="s">
        <v>96</v>
      </c>
      <c r="F628" t="s">
        <v>120</v>
      </c>
      <c r="G628" t="s">
        <v>20</v>
      </c>
      <c r="H628" t="s">
        <v>41</v>
      </c>
      <c r="I628" t="s">
        <v>42</v>
      </c>
      <c r="J628">
        <v>3</v>
      </c>
      <c r="K628">
        <v>520</v>
      </c>
      <c r="L628">
        <v>0.25</v>
      </c>
      <c r="M628">
        <v>1170</v>
      </c>
      <c r="N628">
        <v>990</v>
      </c>
      <c r="O628">
        <v>180</v>
      </c>
    </row>
    <row r="629" spans="1:15" x14ac:dyDescent="0.25">
      <c r="A629" t="s">
        <v>1410</v>
      </c>
      <c r="B629" s="2">
        <v>46285</v>
      </c>
      <c r="C629" t="s">
        <v>291</v>
      </c>
      <c r="D629" t="s">
        <v>292</v>
      </c>
      <c r="E629" t="s">
        <v>26</v>
      </c>
      <c r="F629" t="s">
        <v>34</v>
      </c>
      <c r="G629" t="s">
        <v>57</v>
      </c>
      <c r="H629" t="s">
        <v>188</v>
      </c>
      <c r="I629" t="s">
        <v>189</v>
      </c>
      <c r="J629">
        <v>4</v>
      </c>
      <c r="K629">
        <v>6200</v>
      </c>
      <c r="L629">
        <v>0.1</v>
      </c>
      <c r="M629">
        <v>22320</v>
      </c>
      <c r="N629">
        <v>17200</v>
      </c>
      <c r="O629">
        <v>5120</v>
      </c>
    </row>
    <row r="630" spans="1:15" x14ac:dyDescent="0.25">
      <c r="A630" t="s">
        <v>1411</v>
      </c>
      <c r="B630" s="2">
        <v>46286</v>
      </c>
      <c r="C630" t="s">
        <v>926</v>
      </c>
      <c r="D630" t="s">
        <v>927</v>
      </c>
      <c r="E630" t="s">
        <v>39</v>
      </c>
      <c r="F630" t="s">
        <v>76</v>
      </c>
      <c r="G630" t="s">
        <v>28</v>
      </c>
      <c r="H630" t="s">
        <v>29</v>
      </c>
      <c r="I630" t="s">
        <v>30</v>
      </c>
      <c r="J630">
        <v>3</v>
      </c>
      <c r="K630">
        <v>1900</v>
      </c>
      <c r="L630">
        <v>0.05</v>
      </c>
      <c r="M630">
        <v>5415</v>
      </c>
      <c r="N630">
        <v>3750</v>
      </c>
      <c r="O630">
        <v>1665</v>
      </c>
    </row>
    <row r="631" spans="1:15" x14ac:dyDescent="0.25">
      <c r="A631" t="s">
        <v>1412</v>
      </c>
      <c r="B631" s="2">
        <v>46287</v>
      </c>
      <c r="C631" t="s">
        <v>1413</v>
      </c>
      <c r="D631" t="s">
        <v>1414</v>
      </c>
      <c r="E631" t="s">
        <v>26</v>
      </c>
      <c r="F631" t="s">
        <v>27</v>
      </c>
      <c r="G631" t="s">
        <v>57</v>
      </c>
      <c r="H631" t="s">
        <v>58</v>
      </c>
      <c r="I631" t="s">
        <v>129</v>
      </c>
      <c r="J631">
        <v>4</v>
      </c>
      <c r="K631">
        <v>4800</v>
      </c>
      <c r="L631">
        <v>0.25</v>
      </c>
      <c r="M631">
        <v>14400</v>
      </c>
      <c r="N631">
        <v>13200</v>
      </c>
      <c r="O631">
        <v>1200</v>
      </c>
    </row>
    <row r="632" spans="1:15" x14ac:dyDescent="0.25">
      <c r="A632" t="s">
        <v>1415</v>
      </c>
      <c r="B632" s="2">
        <v>46288</v>
      </c>
      <c r="C632" t="s">
        <v>519</v>
      </c>
      <c r="D632" t="s">
        <v>520</v>
      </c>
      <c r="E632" t="s">
        <v>96</v>
      </c>
      <c r="F632" t="s">
        <v>196</v>
      </c>
      <c r="G632" t="s">
        <v>57</v>
      </c>
      <c r="H632" t="s">
        <v>58</v>
      </c>
      <c r="I632" t="s">
        <v>59</v>
      </c>
      <c r="J632">
        <v>2</v>
      </c>
      <c r="K632">
        <v>5600</v>
      </c>
      <c r="L632">
        <v>0.1</v>
      </c>
      <c r="M632">
        <v>10080</v>
      </c>
      <c r="N632">
        <v>7800</v>
      </c>
      <c r="O632">
        <v>2280</v>
      </c>
    </row>
    <row r="633" spans="1:15" x14ac:dyDescent="0.25">
      <c r="A633" t="s">
        <v>1416</v>
      </c>
      <c r="B633" s="2">
        <v>46289</v>
      </c>
      <c r="C633" t="s">
        <v>1417</v>
      </c>
      <c r="D633" t="s">
        <v>1418</v>
      </c>
      <c r="E633" t="s">
        <v>18</v>
      </c>
      <c r="F633" t="s">
        <v>19</v>
      </c>
      <c r="G633" t="s">
        <v>57</v>
      </c>
      <c r="H633" t="s">
        <v>58</v>
      </c>
      <c r="I633" t="s">
        <v>129</v>
      </c>
      <c r="J633">
        <v>1</v>
      </c>
      <c r="K633">
        <v>4800</v>
      </c>
      <c r="L633">
        <v>0</v>
      </c>
      <c r="M633">
        <v>4800</v>
      </c>
      <c r="N633">
        <v>3300</v>
      </c>
      <c r="O633">
        <v>1500</v>
      </c>
    </row>
    <row r="634" spans="1:15" x14ac:dyDescent="0.25">
      <c r="A634" t="s">
        <v>1419</v>
      </c>
      <c r="B634" s="2">
        <v>46290</v>
      </c>
      <c r="C634" t="s">
        <v>69</v>
      </c>
      <c r="D634" t="s">
        <v>70</v>
      </c>
      <c r="E634" t="s">
        <v>96</v>
      </c>
      <c r="F634" t="s">
        <v>97</v>
      </c>
      <c r="G634" t="s">
        <v>20</v>
      </c>
      <c r="H634" t="s">
        <v>84</v>
      </c>
      <c r="I634" t="s">
        <v>85</v>
      </c>
      <c r="J634">
        <v>4</v>
      </c>
      <c r="K634">
        <v>280</v>
      </c>
      <c r="L634">
        <v>0.2</v>
      </c>
      <c r="M634">
        <v>896</v>
      </c>
      <c r="N634">
        <v>640</v>
      </c>
      <c r="O634">
        <v>256</v>
      </c>
    </row>
    <row r="635" spans="1:15" x14ac:dyDescent="0.25">
      <c r="A635" t="s">
        <v>1420</v>
      </c>
      <c r="B635" s="2">
        <v>46291</v>
      </c>
      <c r="C635" t="s">
        <v>766</v>
      </c>
      <c r="D635" t="s">
        <v>767</v>
      </c>
      <c r="E635" t="s">
        <v>26</v>
      </c>
      <c r="F635" t="s">
        <v>204</v>
      </c>
      <c r="G635" t="s">
        <v>51</v>
      </c>
      <c r="H635" t="s">
        <v>89</v>
      </c>
      <c r="I635" t="s">
        <v>90</v>
      </c>
      <c r="J635">
        <v>4</v>
      </c>
      <c r="K635">
        <v>10500</v>
      </c>
      <c r="L635">
        <v>0.15</v>
      </c>
      <c r="M635">
        <v>35700</v>
      </c>
      <c r="N635">
        <v>30400</v>
      </c>
      <c r="O635">
        <v>5300</v>
      </c>
    </row>
    <row r="636" spans="1:15" x14ac:dyDescent="0.25">
      <c r="A636" t="s">
        <v>1421</v>
      </c>
      <c r="B636" s="2">
        <v>46292</v>
      </c>
      <c r="C636" t="s">
        <v>49</v>
      </c>
      <c r="D636" t="s">
        <v>50</v>
      </c>
      <c r="E636" t="s">
        <v>26</v>
      </c>
      <c r="F636" t="s">
        <v>46</v>
      </c>
      <c r="G636" t="s">
        <v>28</v>
      </c>
      <c r="H636" t="s">
        <v>29</v>
      </c>
      <c r="I636" t="s">
        <v>30</v>
      </c>
      <c r="J636">
        <v>1</v>
      </c>
      <c r="K636">
        <v>1900</v>
      </c>
      <c r="L636">
        <v>0.15</v>
      </c>
      <c r="M636">
        <v>1615</v>
      </c>
      <c r="N636">
        <v>1250</v>
      </c>
      <c r="O636">
        <v>365</v>
      </c>
    </row>
    <row r="637" spans="1:15" x14ac:dyDescent="0.25">
      <c r="A637" t="s">
        <v>1422</v>
      </c>
      <c r="B637" s="2">
        <v>46293</v>
      </c>
      <c r="C637" t="s">
        <v>102</v>
      </c>
      <c r="D637" t="s">
        <v>103</v>
      </c>
      <c r="E637" t="s">
        <v>18</v>
      </c>
      <c r="F637" t="s">
        <v>115</v>
      </c>
      <c r="G637" t="s">
        <v>51</v>
      </c>
      <c r="H637" t="s">
        <v>52</v>
      </c>
      <c r="I637" t="s">
        <v>208</v>
      </c>
      <c r="J637">
        <v>3</v>
      </c>
      <c r="K637">
        <v>2800</v>
      </c>
      <c r="L637">
        <v>0</v>
      </c>
      <c r="M637">
        <v>8400</v>
      </c>
      <c r="N637">
        <v>5400</v>
      </c>
      <c r="O637">
        <v>3000</v>
      </c>
    </row>
    <row r="638" spans="1:15" x14ac:dyDescent="0.25">
      <c r="A638" t="s">
        <v>1423</v>
      </c>
      <c r="B638" s="2">
        <v>46294</v>
      </c>
      <c r="C638" t="s">
        <v>769</v>
      </c>
      <c r="D638" t="s">
        <v>770</v>
      </c>
      <c r="E638" t="s">
        <v>26</v>
      </c>
      <c r="F638" t="s">
        <v>27</v>
      </c>
      <c r="G638" t="s">
        <v>57</v>
      </c>
      <c r="H638" t="s">
        <v>104</v>
      </c>
      <c r="I638" t="s">
        <v>105</v>
      </c>
      <c r="J638">
        <v>4</v>
      </c>
      <c r="K638">
        <v>7500</v>
      </c>
      <c r="L638">
        <v>0.2</v>
      </c>
      <c r="M638">
        <v>24000</v>
      </c>
      <c r="N638">
        <v>20800</v>
      </c>
      <c r="O638">
        <v>3200</v>
      </c>
    </row>
    <row r="639" spans="1:15" x14ac:dyDescent="0.25">
      <c r="A639" t="s">
        <v>1424</v>
      </c>
      <c r="B639" s="2">
        <v>46295</v>
      </c>
      <c r="C639" t="s">
        <v>275</v>
      </c>
      <c r="D639" t="s">
        <v>276</v>
      </c>
      <c r="E639" t="s">
        <v>18</v>
      </c>
      <c r="F639" t="s">
        <v>227</v>
      </c>
      <c r="G639" t="s">
        <v>51</v>
      </c>
      <c r="H639" t="s">
        <v>21</v>
      </c>
      <c r="I639" t="s">
        <v>116</v>
      </c>
      <c r="J639">
        <v>4</v>
      </c>
      <c r="K639">
        <v>1400</v>
      </c>
      <c r="L639">
        <v>0</v>
      </c>
      <c r="M639">
        <v>5600</v>
      </c>
      <c r="N639">
        <v>3600</v>
      </c>
      <c r="O639">
        <v>2000</v>
      </c>
    </row>
    <row r="640" spans="1:15" x14ac:dyDescent="0.25">
      <c r="A640" t="s">
        <v>1425</v>
      </c>
      <c r="B640" s="2">
        <v>46296</v>
      </c>
      <c r="C640" t="s">
        <v>790</v>
      </c>
      <c r="D640" t="s">
        <v>791</v>
      </c>
      <c r="E640" t="s">
        <v>39</v>
      </c>
      <c r="F640" t="s">
        <v>76</v>
      </c>
      <c r="G640" t="s">
        <v>51</v>
      </c>
      <c r="H640" t="s">
        <v>52</v>
      </c>
      <c r="I640" t="s">
        <v>208</v>
      </c>
      <c r="J640">
        <v>1</v>
      </c>
      <c r="K640">
        <v>2800</v>
      </c>
      <c r="L640">
        <v>0.2</v>
      </c>
      <c r="M640">
        <v>2240</v>
      </c>
      <c r="N640">
        <v>1800</v>
      </c>
      <c r="O640">
        <v>440</v>
      </c>
    </row>
    <row r="641" spans="1:15" x14ac:dyDescent="0.25">
      <c r="A641" t="s">
        <v>1426</v>
      </c>
      <c r="B641" s="2">
        <v>46297</v>
      </c>
      <c r="C641" t="s">
        <v>1427</v>
      </c>
      <c r="D641" t="s">
        <v>1428</v>
      </c>
      <c r="E641" t="s">
        <v>26</v>
      </c>
      <c r="F641" t="s">
        <v>27</v>
      </c>
      <c r="G641" t="s">
        <v>57</v>
      </c>
      <c r="H641" t="s">
        <v>58</v>
      </c>
      <c r="I641" t="s">
        <v>59</v>
      </c>
      <c r="J641">
        <v>3</v>
      </c>
      <c r="K641">
        <v>5600</v>
      </c>
      <c r="L641">
        <v>0.15</v>
      </c>
      <c r="M641">
        <v>14280</v>
      </c>
      <c r="N641">
        <v>11700</v>
      </c>
      <c r="O641">
        <v>2580</v>
      </c>
    </row>
    <row r="642" spans="1:15" x14ac:dyDescent="0.25">
      <c r="A642" t="s">
        <v>1429</v>
      </c>
      <c r="B642" s="2">
        <v>46298</v>
      </c>
      <c r="C642" t="s">
        <v>1430</v>
      </c>
      <c r="D642" t="s">
        <v>1431</v>
      </c>
      <c r="E642" t="s">
        <v>39</v>
      </c>
      <c r="F642" t="s">
        <v>71</v>
      </c>
      <c r="G642" t="s">
        <v>51</v>
      </c>
      <c r="H642" t="s">
        <v>89</v>
      </c>
      <c r="I642" t="s">
        <v>90</v>
      </c>
      <c r="J642">
        <v>4</v>
      </c>
      <c r="K642">
        <v>10500</v>
      </c>
      <c r="L642">
        <v>0.2</v>
      </c>
      <c r="M642">
        <v>33600</v>
      </c>
      <c r="N642">
        <v>30400</v>
      </c>
      <c r="O642">
        <v>3200</v>
      </c>
    </row>
    <row r="643" spans="1:15" x14ac:dyDescent="0.25">
      <c r="A643" t="s">
        <v>1432</v>
      </c>
      <c r="B643" s="2">
        <v>46299</v>
      </c>
      <c r="C643" t="s">
        <v>291</v>
      </c>
      <c r="D643" t="s">
        <v>292</v>
      </c>
      <c r="E643" t="s">
        <v>26</v>
      </c>
      <c r="F643" t="s">
        <v>34</v>
      </c>
      <c r="G643" t="s">
        <v>28</v>
      </c>
      <c r="H643" t="s">
        <v>29</v>
      </c>
      <c r="I643" t="s">
        <v>35</v>
      </c>
      <c r="J643">
        <v>1</v>
      </c>
      <c r="K643">
        <v>4200</v>
      </c>
      <c r="L643">
        <v>0.05</v>
      </c>
      <c r="M643">
        <v>3990</v>
      </c>
      <c r="N643">
        <v>2900</v>
      </c>
      <c r="O643">
        <v>1090</v>
      </c>
    </row>
    <row r="644" spans="1:15" x14ac:dyDescent="0.25">
      <c r="A644" t="s">
        <v>1433</v>
      </c>
      <c r="B644" s="2">
        <v>46300</v>
      </c>
      <c r="C644" t="s">
        <v>1434</v>
      </c>
      <c r="D644" t="s">
        <v>1435</v>
      </c>
      <c r="E644" t="s">
        <v>26</v>
      </c>
      <c r="F644" t="s">
        <v>204</v>
      </c>
      <c r="G644" t="s">
        <v>20</v>
      </c>
      <c r="H644" t="s">
        <v>84</v>
      </c>
      <c r="I644" t="s">
        <v>169</v>
      </c>
      <c r="J644">
        <v>3</v>
      </c>
      <c r="K644">
        <v>450</v>
      </c>
      <c r="L644">
        <v>0.15</v>
      </c>
      <c r="M644">
        <v>1147.5</v>
      </c>
      <c r="N644">
        <v>780</v>
      </c>
      <c r="O644">
        <v>367.5</v>
      </c>
    </row>
    <row r="645" spans="1:15" x14ac:dyDescent="0.25">
      <c r="A645" t="s">
        <v>1436</v>
      </c>
      <c r="B645" s="2">
        <v>46301</v>
      </c>
      <c r="C645" t="s">
        <v>466</v>
      </c>
      <c r="D645" t="s">
        <v>467</v>
      </c>
      <c r="E645" t="s">
        <v>18</v>
      </c>
      <c r="F645" t="s">
        <v>115</v>
      </c>
      <c r="G645" t="s">
        <v>51</v>
      </c>
      <c r="H645" t="s">
        <v>89</v>
      </c>
      <c r="I645" t="s">
        <v>90</v>
      </c>
      <c r="J645">
        <v>4</v>
      </c>
      <c r="K645">
        <v>10500</v>
      </c>
      <c r="L645">
        <v>0.1</v>
      </c>
      <c r="M645">
        <v>37800</v>
      </c>
      <c r="N645">
        <v>30400</v>
      </c>
      <c r="O645">
        <v>7400</v>
      </c>
    </row>
    <row r="646" spans="1:15" x14ac:dyDescent="0.25">
      <c r="A646" t="s">
        <v>1437</v>
      </c>
      <c r="B646" s="2">
        <v>46302</v>
      </c>
      <c r="C646" t="s">
        <v>918</v>
      </c>
      <c r="D646" t="s">
        <v>919</v>
      </c>
      <c r="E646" t="s">
        <v>96</v>
      </c>
      <c r="F646" t="s">
        <v>200</v>
      </c>
      <c r="G646" t="s">
        <v>51</v>
      </c>
      <c r="H646" t="s">
        <v>52</v>
      </c>
      <c r="I646" t="s">
        <v>53</v>
      </c>
      <c r="J646">
        <v>1</v>
      </c>
      <c r="K646">
        <v>2200</v>
      </c>
      <c r="L646">
        <v>0.1</v>
      </c>
      <c r="M646">
        <v>1980</v>
      </c>
      <c r="N646">
        <v>1450</v>
      </c>
      <c r="O646">
        <v>530</v>
      </c>
    </row>
    <row r="647" spans="1:15" x14ac:dyDescent="0.25">
      <c r="A647" t="s">
        <v>1438</v>
      </c>
      <c r="B647" s="2">
        <v>46303</v>
      </c>
      <c r="C647" t="s">
        <v>809</v>
      </c>
      <c r="D647" t="s">
        <v>810</v>
      </c>
      <c r="E647" t="s">
        <v>26</v>
      </c>
      <c r="F647" t="s">
        <v>46</v>
      </c>
      <c r="G647" t="s">
        <v>51</v>
      </c>
      <c r="H647" t="s">
        <v>21</v>
      </c>
      <c r="I647" t="s">
        <v>116</v>
      </c>
      <c r="J647">
        <v>1</v>
      </c>
      <c r="K647">
        <v>1400</v>
      </c>
      <c r="L647">
        <v>0.15</v>
      </c>
      <c r="M647">
        <v>1190</v>
      </c>
      <c r="N647">
        <v>900</v>
      </c>
      <c r="O647">
        <v>290</v>
      </c>
    </row>
    <row r="648" spans="1:15" x14ac:dyDescent="0.25">
      <c r="A648" t="s">
        <v>1439</v>
      </c>
      <c r="B648" s="2">
        <v>46304</v>
      </c>
      <c r="C648" t="s">
        <v>444</v>
      </c>
      <c r="D648" t="s">
        <v>445</v>
      </c>
      <c r="E648" t="s">
        <v>26</v>
      </c>
      <c r="F648" t="s">
        <v>128</v>
      </c>
      <c r="G648" t="s">
        <v>51</v>
      </c>
      <c r="H648" t="s">
        <v>52</v>
      </c>
      <c r="I648" t="s">
        <v>208</v>
      </c>
      <c r="J648">
        <v>2</v>
      </c>
      <c r="K648">
        <v>2800</v>
      </c>
      <c r="L648">
        <v>0.25</v>
      </c>
      <c r="M648">
        <v>4200</v>
      </c>
      <c r="N648">
        <v>3600</v>
      </c>
      <c r="O648">
        <v>600</v>
      </c>
    </row>
    <row r="649" spans="1:15" x14ac:dyDescent="0.25">
      <c r="A649" t="s">
        <v>1440</v>
      </c>
      <c r="B649" s="2">
        <v>46305</v>
      </c>
      <c r="C649" t="s">
        <v>423</v>
      </c>
      <c r="D649" t="s">
        <v>424</v>
      </c>
      <c r="E649" t="s">
        <v>26</v>
      </c>
      <c r="F649" t="s">
        <v>46</v>
      </c>
      <c r="G649" t="s">
        <v>57</v>
      </c>
      <c r="H649" t="s">
        <v>104</v>
      </c>
      <c r="I649" t="s">
        <v>105</v>
      </c>
      <c r="J649">
        <v>4</v>
      </c>
      <c r="K649">
        <v>7500</v>
      </c>
      <c r="L649">
        <v>0.1</v>
      </c>
      <c r="M649">
        <v>27000</v>
      </c>
      <c r="N649">
        <v>20800</v>
      </c>
      <c r="O649">
        <v>6200</v>
      </c>
    </row>
    <row r="650" spans="1:15" x14ac:dyDescent="0.25">
      <c r="A650" t="s">
        <v>1441</v>
      </c>
      <c r="B650" s="2">
        <v>46306</v>
      </c>
      <c r="C650" t="s">
        <v>1442</v>
      </c>
      <c r="D650" t="s">
        <v>1443</v>
      </c>
      <c r="E650" t="s">
        <v>18</v>
      </c>
      <c r="F650" t="s">
        <v>19</v>
      </c>
      <c r="G650" t="s">
        <v>57</v>
      </c>
      <c r="H650" t="s">
        <v>58</v>
      </c>
      <c r="I650" t="s">
        <v>59</v>
      </c>
      <c r="J650">
        <v>2</v>
      </c>
      <c r="K650">
        <v>5600</v>
      </c>
      <c r="L650">
        <v>0.05</v>
      </c>
      <c r="M650">
        <v>10640</v>
      </c>
      <c r="N650">
        <v>7800</v>
      </c>
      <c r="O650">
        <v>2840</v>
      </c>
    </row>
    <row r="651" spans="1:15" x14ac:dyDescent="0.25">
      <c r="A651" t="s">
        <v>1444</v>
      </c>
      <c r="B651" s="2">
        <v>46307</v>
      </c>
      <c r="C651" t="s">
        <v>1445</v>
      </c>
      <c r="D651" t="s">
        <v>1446</v>
      </c>
      <c r="E651" t="s">
        <v>26</v>
      </c>
      <c r="F651" t="s">
        <v>27</v>
      </c>
      <c r="G651" t="s">
        <v>20</v>
      </c>
      <c r="H651" t="s">
        <v>84</v>
      </c>
      <c r="I651" t="s">
        <v>85</v>
      </c>
      <c r="J651">
        <v>4</v>
      </c>
      <c r="K651">
        <v>280</v>
      </c>
      <c r="L651">
        <v>0.05</v>
      </c>
      <c r="M651">
        <v>1064</v>
      </c>
      <c r="N651">
        <v>640</v>
      </c>
      <c r="O651">
        <v>424</v>
      </c>
    </row>
    <row r="652" spans="1:15" x14ac:dyDescent="0.25">
      <c r="A652" t="s">
        <v>1447</v>
      </c>
      <c r="B652" s="2">
        <v>46308</v>
      </c>
      <c r="C652" t="s">
        <v>1448</v>
      </c>
      <c r="D652" t="s">
        <v>1449</v>
      </c>
      <c r="E652" t="s">
        <v>26</v>
      </c>
      <c r="F652" t="s">
        <v>34</v>
      </c>
      <c r="G652" t="s">
        <v>28</v>
      </c>
      <c r="H652" t="s">
        <v>63</v>
      </c>
      <c r="I652" t="s">
        <v>64</v>
      </c>
      <c r="J652">
        <v>4</v>
      </c>
      <c r="K652">
        <v>2400</v>
      </c>
      <c r="L652">
        <v>0.15</v>
      </c>
      <c r="M652">
        <v>8160</v>
      </c>
      <c r="N652">
        <v>6600</v>
      </c>
      <c r="O652">
        <v>1560</v>
      </c>
    </row>
    <row r="653" spans="1:15" x14ac:dyDescent="0.25">
      <c r="A653" t="s">
        <v>1450</v>
      </c>
      <c r="B653" s="2">
        <v>46309</v>
      </c>
      <c r="C653" t="s">
        <v>781</v>
      </c>
      <c r="D653" t="s">
        <v>782</v>
      </c>
      <c r="E653" t="s">
        <v>18</v>
      </c>
      <c r="F653" t="s">
        <v>19</v>
      </c>
      <c r="G653" t="s">
        <v>20</v>
      </c>
      <c r="H653" t="s">
        <v>41</v>
      </c>
      <c r="I653" t="s">
        <v>42</v>
      </c>
      <c r="J653">
        <v>5</v>
      </c>
      <c r="K653">
        <v>520</v>
      </c>
      <c r="L653">
        <v>0.05</v>
      </c>
      <c r="M653">
        <v>2470</v>
      </c>
      <c r="N653">
        <v>1650</v>
      </c>
      <c r="O653">
        <v>820</v>
      </c>
    </row>
    <row r="654" spans="1:15" x14ac:dyDescent="0.25">
      <c r="A654" t="s">
        <v>1451</v>
      </c>
      <c r="B654" s="2">
        <v>46310</v>
      </c>
      <c r="C654" t="s">
        <v>225</v>
      </c>
      <c r="D654" t="s">
        <v>226</v>
      </c>
      <c r="E654" t="s">
        <v>26</v>
      </c>
      <c r="F654" t="s">
        <v>128</v>
      </c>
      <c r="G654" t="s">
        <v>28</v>
      </c>
      <c r="H654" t="s">
        <v>29</v>
      </c>
      <c r="I654" t="s">
        <v>47</v>
      </c>
      <c r="J654">
        <v>4</v>
      </c>
      <c r="K654">
        <v>6800</v>
      </c>
      <c r="L654">
        <v>0.05</v>
      </c>
      <c r="M654">
        <v>25840</v>
      </c>
      <c r="N654">
        <v>18800</v>
      </c>
      <c r="O654">
        <v>7040</v>
      </c>
    </row>
    <row r="655" spans="1:15" x14ac:dyDescent="0.25">
      <c r="A655" t="s">
        <v>1452</v>
      </c>
      <c r="B655" s="2">
        <v>46311</v>
      </c>
      <c r="C655" t="s">
        <v>760</v>
      </c>
      <c r="D655" t="s">
        <v>761</v>
      </c>
      <c r="E655" t="s">
        <v>26</v>
      </c>
      <c r="F655" t="s">
        <v>128</v>
      </c>
      <c r="G655" t="s">
        <v>20</v>
      </c>
      <c r="H655" t="s">
        <v>41</v>
      </c>
      <c r="I655" t="s">
        <v>42</v>
      </c>
      <c r="J655">
        <v>4</v>
      </c>
      <c r="K655">
        <v>520</v>
      </c>
      <c r="L655">
        <v>0.05</v>
      </c>
      <c r="M655">
        <v>1976</v>
      </c>
      <c r="N655">
        <v>1320</v>
      </c>
      <c r="O655">
        <v>656</v>
      </c>
    </row>
    <row r="656" spans="1:15" x14ac:dyDescent="0.25">
      <c r="A656" t="s">
        <v>1453</v>
      </c>
      <c r="B656" s="2">
        <v>46312</v>
      </c>
      <c r="C656" t="s">
        <v>378</v>
      </c>
      <c r="D656" t="s">
        <v>379</v>
      </c>
      <c r="E656" t="s">
        <v>26</v>
      </c>
      <c r="F656" t="s">
        <v>204</v>
      </c>
      <c r="G656" t="s">
        <v>20</v>
      </c>
      <c r="H656" t="s">
        <v>84</v>
      </c>
      <c r="I656" t="s">
        <v>169</v>
      </c>
      <c r="J656">
        <v>3</v>
      </c>
      <c r="K656">
        <v>450</v>
      </c>
      <c r="L656">
        <v>0</v>
      </c>
      <c r="M656">
        <v>1350</v>
      </c>
      <c r="N656">
        <v>780</v>
      </c>
      <c r="O656">
        <v>570</v>
      </c>
    </row>
    <row r="657" spans="1:15" x14ac:dyDescent="0.25">
      <c r="A657" t="s">
        <v>1454</v>
      </c>
      <c r="B657" s="2">
        <v>46313</v>
      </c>
      <c r="C657" t="s">
        <v>333</v>
      </c>
      <c r="D657" t="s">
        <v>334</v>
      </c>
      <c r="E657" t="s">
        <v>96</v>
      </c>
      <c r="F657" t="s">
        <v>120</v>
      </c>
      <c r="G657" t="s">
        <v>20</v>
      </c>
      <c r="H657" t="s">
        <v>84</v>
      </c>
      <c r="I657" t="s">
        <v>85</v>
      </c>
      <c r="J657">
        <v>4</v>
      </c>
      <c r="K657">
        <v>280</v>
      </c>
      <c r="L657">
        <v>0.05</v>
      </c>
      <c r="M657">
        <v>1064</v>
      </c>
      <c r="N657">
        <v>640</v>
      </c>
      <c r="O657">
        <v>424</v>
      </c>
    </row>
    <row r="658" spans="1:15" x14ac:dyDescent="0.25">
      <c r="A658" t="s">
        <v>1455</v>
      </c>
      <c r="B658" s="2">
        <v>46314</v>
      </c>
      <c r="C658" t="s">
        <v>737</v>
      </c>
      <c r="D658" t="s">
        <v>738</v>
      </c>
      <c r="E658" t="s">
        <v>18</v>
      </c>
      <c r="F658" t="s">
        <v>94</v>
      </c>
      <c r="G658" t="s">
        <v>20</v>
      </c>
      <c r="H658" t="s">
        <v>41</v>
      </c>
      <c r="I658" t="s">
        <v>42</v>
      </c>
      <c r="J658">
        <v>2</v>
      </c>
      <c r="K658">
        <v>520</v>
      </c>
      <c r="L658">
        <v>0.05</v>
      </c>
      <c r="M658">
        <v>988</v>
      </c>
      <c r="N658">
        <v>660</v>
      </c>
      <c r="O658">
        <v>328</v>
      </c>
    </row>
    <row r="659" spans="1:15" x14ac:dyDescent="0.25">
      <c r="A659" t="s">
        <v>1456</v>
      </c>
      <c r="B659" s="2">
        <v>46315</v>
      </c>
      <c r="C659" t="s">
        <v>597</v>
      </c>
      <c r="D659" t="s">
        <v>598</v>
      </c>
      <c r="E659" t="s">
        <v>26</v>
      </c>
      <c r="F659" t="s">
        <v>204</v>
      </c>
      <c r="G659" t="s">
        <v>51</v>
      </c>
      <c r="H659" t="s">
        <v>21</v>
      </c>
      <c r="I659" t="s">
        <v>72</v>
      </c>
      <c r="J659">
        <v>5</v>
      </c>
      <c r="K659">
        <v>1800</v>
      </c>
      <c r="L659">
        <v>0</v>
      </c>
      <c r="M659">
        <v>9000</v>
      </c>
      <c r="N659">
        <v>5500</v>
      </c>
      <c r="O659">
        <v>3500</v>
      </c>
    </row>
    <row r="660" spans="1:15" x14ac:dyDescent="0.25">
      <c r="A660" t="s">
        <v>1457</v>
      </c>
      <c r="B660" s="2">
        <v>46316</v>
      </c>
      <c r="C660" t="s">
        <v>1458</v>
      </c>
      <c r="D660" t="s">
        <v>1459</v>
      </c>
      <c r="E660" t="s">
        <v>39</v>
      </c>
      <c r="F660" t="s">
        <v>124</v>
      </c>
      <c r="G660" t="s">
        <v>57</v>
      </c>
      <c r="H660" t="s">
        <v>104</v>
      </c>
      <c r="I660" t="s">
        <v>105</v>
      </c>
      <c r="J660">
        <v>4</v>
      </c>
      <c r="K660">
        <v>7500</v>
      </c>
      <c r="L660">
        <v>0.25</v>
      </c>
      <c r="M660">
        <v>22500</v>
      </c>
      <c r="N660">
        <v>20800</v>
      </c>
      <c r="O660">
        <v>1700</v>
      </c>
    </row>
    <row r="661" spans="1:15" x14ac:dyDescent="0.25">
      <c r="A661" t="s">
        <v>1460</v>
      </c>
      <c r="B661" s="2">
        <v>46317</v>
      </c>
      <c r="C661" t="s">
        <v>1461</v>
      </c>
      <c r="D661" t="s">
        <v>1462</v>
      </c>
      <c r="E661" t="s">
        <v>96</v>
      </c>
      <c r="F661" t="s">
        <v>120</v>
      </c>
      <c r="G661" t="s">
        <v>20</v>
      </c>
      <c r="H661" t="s">
        <v>84</v>
      </c>
      <c r="I661" t="s">
        <v>210</v>
      </c>
      <c r="J661">
        <v>4</v>
      </c>
      <c r="K661">
        <v>300</v>
      </c>
      <c r="L661">
        <v>0.05</v>
      </c>
      <c r="M661">
        <v>1140</v>
      </c>
      <c r="N661">
        <v>680</v>
      </c>
      <c r="O661">
        <v>460</v>
      </c>
    </row>
    <row r="662" spans="1:15" x14ac:dyDescent="0.25">
      <c r="A662" t="s">
        <v>1463</v>
      </c>
      <c r="B662" s="2">
        <v>46318</v>
      </c>
      <c r="C662" t="s">
        <v>158</v>
      </c>
      <c r="D662" t="s">
        <v>159</v>
      </c>
      <c r="E662" t="s">
        <v>26</v>
      </c>
      <c r="F662" t="s">
        <v>128</v>
      </c>
      <c r="G662" t="s">
        <v>57</v>
      </c>
      <c r="H662" t="s">
        <v>58</v>
      </c>
      <c r="I662" t="s">
        <v>129</v>
      </c>
      <c r="J662">
        <v>1</v>
      </c>
      <c r="K662">
        <v>4800</v>
      </c>
      <c r="L662">
        <v>0.2</v>
      </c>
      <c r="M662">
        <v>3840</v>
      </c>
      <c r="N662">
        <v>3300</v>
      </c>
      <c r="O662">
        <v>540</v>
      </c>
    </row>
    <row r="663" spans="1:15" x14ac:dyDescent="0.25">
      <c r="A663" t="s">
        <v>1464</v>
      </c>
      <c r="B663" s="2">
        <v>46319</v>
      </c>
      <c r="C663" t="s">
        <v>922</v>
      </c>
      <c r="D663" t="s">
        <v>923</v>
      </c>
      <c r="E663" t="s">
        <v>26</v>
      </c>
      <c r="F663" t="s">
        <v>34</v>
      </c>
      <c r="G663" t="s">
        <v>28</v>
      </c>
      <c r="H663" t="s">
        <v>29</v>
      </c>
      <c r="I663" t="s">
        <v>35</v>
      </c>
      <c r="J663">
        <v>3</v>
      </c>
      <c r="K663">
        <v>4200</v>
      </c>
      <c r="L663">
        <v>0.15</v>
      </c>
      <c r="M663">
        <v>10710</v>
      </c>
      <c r="N663">
        <v>8700</v>
      </c>
      <c r="O663">
        <v>2010</v>
      </c>
    </row>
    <row r="664" spans="1:15" x14ac:dyDescent="0.25">
      <c r="A664" t="s">
        <v>1465</v>
      </c>
      <c r="B664" s="2">
        <v>46320</v>
      </c>
      <c r="C664" t="s">
        <v>232</v>
      </c>
      <c r="D664" t="s">
        <v>233</v>
      </c>
      <c r="E664" t="s">
        <v>26</v>
      </c>
      <c r="F664" t="s">
        <v>27</v>
      </c>
      <c r="G664" t="s">
        <v>57</v>
      </c>
      <c r="H664" t="s">
        <v>188</v>
      </c>
      <c r="I664" t="s">
        <v>189</v>
      </c>
      <c r="J664">
        <v>2</v>
      </c>
      <c r="K664">
        <v>6200</v>
      </c>
      <c r="L664">
        <v>0.05</v>
      </c>
      <c r="M664">
        <v>11780</v>
      </c>
      <c r="N664">
        <v>8600</v>
      </c>
      <c r="O664">
        <v>3180</v>
      </c>
    </row>
    <row r="665" spans="1:15" x14ac:dyDescent="0.25">
      <c r="A665" t="s">
        <v>1466</v>
      </c>
      <c r="B665" s="2">
        <v>46321</v>
      </c>
      <c r="C665" t="s">
        <v>252</v>
      </c>
      <c r="D665" t="s">
        <v>253</v>
      </c>
      <c r="E665" t="s">
        <v>18</v>
      </c>
      <c r="F665" t="s">
        <v>115</v>
      </c>
      <c r="G665" t="s">
        <v>51</v>
      </c>
      <c r="H665" t="s">
        <v>52</v>
      </c>
      <c r="I665" t="s">
        <v>208</v>
      </c>
      <c r="J665">
        <v>2</v>
      </c>
      <c r="K665">
        <v>2800</v>
      </c>
      <c r="L665">
        <v>0.25</v>
      </c>
      <c r="M665">
        <v>4200</v>
      </c>
      <c r="N665">
        <v>3600</v>
      </c>
      <c r="O665">
        <v>600</v>
      </c>
    </row>
    <row r="666" spans="1:15" x14ac:dyDescent="0.25">
      <c r="A666" t="s">
        <v>1467</v>
      </c>
      <c r="B666" s="2">
        <v>46322</v>
      </c>
      <c r="C666" t="s">
        <v>787</v>
      </c>
      <c r="D666" t="s">
        <v>788</v>
      </c>
      <c r="E666" t="s">
        <v>26</v>
      </c>
      <c r="F666" t="s">
        <v>46</v>
      </c>
      <c r="G666" t="s">
        <v>28</v>
      </c>
      <c r="H666" t="s">
        <v>29</v>
      </c>
      <c r="I666" t="s">
        <v>47</v>
      </c>
      <c r="J666">
        <v>1</v>
      </c>
      <c r="K666">
        <v>6800</v>
      </c>
      <c r="L666">
        <v>0.15</v>
      </c>
      <c r="M666">
        <v>5780</v>
      </c>
      <c r="N666">
        <v>4700</v>
      </c>
      <c r="O666">
        <v>1080</v>
      </c>
    </row>
    <row r="667" spans="1:15" x14ac:dyDescent="0.25">
      <c r="A667" t="s">
        <v>1468</v>
      </c>
      <c r="B667" s="2">
        <v>46323</v>
      </c>
      <c r="C667" t="s">
        <v>447</v>
      </c>
      <c r="D667" t="s">
        <v>448</v>
      </c>
      <c r="E667" t="s">
        <v>26</v>
      </c>
      <c r="F667" t="s">
        <v>27</v>
      </c>
      <c r="G667" t="s">
        <v>51</v>
      </c>
      <c r="H667" t="s">
        <v>52</v>
      </c>
      <c r="I667" t="s">
        <v>53</v>
      </c>
      <c r="J667">
        <v>1</v>
      </c>
      <c r="K667">
        <v>2200</v>
      </c>
      <c r="L667">
        <v>0.1</v>
      </c>
      <c r="M667">
        <v>1980</v>
      </c>
      <c r="N667">
        <v>1450</v>
      </c>
      <c r="O667">
        <v>530</v>
      </c>
    </row>
    <row r="668" spans="1:15" x14ac:dyDescent="0.25">
      <c r="A668" t="s">
        <v>1469</v>
      </c>
      <c r="B668" s="2">
        <v>46324</v>
      </c>
      <c r="C668" t="s">
        <v>918</v>
      </c>
      <c r="D668" t="s">
        <v>919</v>
      </c>
      <c r="E668" t="s">
        <v>26</v>
      </c>
      <c r="F668" t="s">
        <v>204</v>
      </c>
      <c r="G668" t="s">
        <v>51</v>
      </c>
      <c r="H668" t="s">
        <v>21</v>
      </c>
      <c r="I668" t="s">
        <v>72</v>
      </c>
      <c r="J668">
        <v>5</v>
      </c>
      <c r="K668">
        <v>1800</v>
      </c>
      <c r="L668">
        <v>0.05</v>
      </c>
      <c r="M668">
        <v>8550</v>
      </c>
      <c r="N668">
        <v>5500</v>
      </c>
      <c r="O668">
        <v>3050</v>
      </c>
    </row>
    <row r="669" spans="1:15" x14ac:dyDescent="0.25">
      <c r="A669" t="s">
        <v>1470</v>
      </c>
      <c r="B669" s="2">
        <v>46325</v>
      </c>
      <c r="C669" t="s">
        <v>1471</v>
      </c>
      <c r="D669" t="s">
        <v>1472</v>
      </c>
      <c r="E669" t="s">
        <v>96</v>
      </c>
      <c r="F669" t="s">
        <v>97</v>
      </c>
      <c r="G669" t="s">
        <v>20</v>
      </c>
      <c r="H669" t="s">
        <v>84</v>
      </c>
      <c r="I669" t="s">
        <v>169</v>
      </c>
      <c r="J669">
        <v>1</v>
      </c>
      <c r="K669">
        <v>450</v>
      </c>
      <c r="L669">
        <v>0</v>
      </c>
      <c r="M669">
        <v>450</v>
      </c>
      <c r="N669">
        <v>260</v>
      </c>
      <c r="O669">
        <v>190</v>
      </c>
    </row>
    <row r="670" spans="1:15" x14ac:dyDescent="0.25">
      <c r="A670" t="s">
        <v>1473</v>
      </c>
      <c r="B670" s="2">
        <v>46326</v>
      </c>
      <c r="C670" t="s">
        <v>360</v>
      </c>
      <c r="D670" t="s">
        <v>361</v>
      </c>
      <c r="E670" t="s">
        <v>96</v>
      </c>
      <c r="F670" t="s">
        <v>196</v>
      </c>
      <c r="G670" t="s">
        <v>51</v>
      </c>
      <c r="H670" t="s">
        <v>52</v>
      </c>
      <c r="I670" t="s">
        <v>208</v>
      </c>
      <c r="J670">
        <v>5</v>
      </c>
      <c r="K670">
        <v>2800</v>
      </c>
      <c r="L670">
        <v>0.2</v>
      </c>
      <c r="M670">
        <v>11200</v>
      </c>
      <c r="N670">
        <v>9000</v>
      </c>
      <c r="O670">
        <v>2200</v>
      </c>
    </row>
    <row r="671" spans="1:15" x14ac:dyDescent="0.25">
      <c r="A671" t="s">
        <v>1474</v>
      </c>
      <c r="B671" s="2">
        <v>46327</v>
      </c>
      <c r="C671" t="s">
        <v>384</v>
      </c>
      <c r="D671" t="s">
        <v>385</v>
      </c>
      <c r="E671" t="s">
        <v>39</v>
      </c>
      <c r="F671" t="s">
        <v>40</v>
      </c>
      <c r="G671" t="s">
        <v>57</v>
      </c>
      <c r="H671" t="s">
        <v>58</v>
      </c>
      <c r="I671" t="s">
        <v>129</v>
      </c>
      <c r="J671">
        <v>2</v>
      </c>
      <c r="K671">
        <v>4800</v>
      </c>
      <c r="L671">
        <v>0.1</v>
      </c>
      <c r="M671">
        <v>8640</v>
      </c>
      <c r="N671">
        <v>6600</v>
      </c>
      <c r="O671">
        <v>2040</v>
      </c>
    </row>
    <row r="672" spans="1:15" x14ac:dyDescent="0.25">
      <c r="A672" t="s">
        <v>1475</v>
      </c>
      <c r="B672" s="2">
        <v>46328</v>
      </c>
      <c r="C672" t="s">
        <v>336</v>
      </c>
      <c r="D672" t="s">
        <v>337</v>
      </c>
      <c r="E672" t="s">
        <v>18</v>
      </c>
      <c r="F672" t="s">
        <v>94</v>
      </c>
      <c r="G672" t="s">
        <v>20</v>
      </c>
      <c r="H672" t="s">
        <v>21</v>
      </c>
      <c r="I672" t="s">
        <v>22</v>
      </c>
      <c r="J672">
        <v>5</v>
      </c>
      <c r="K672">
        <v>650</v>
      </c>
      <c r="L672">
        <v>0.1</v>
      </c>
      <c r="M672">
        <v>2925</v>
      </c>
      <c r="N672">
        <v>1950</v>
      </c>
      <c r="O672">
        <v>975</v>
      </c>
    </row>
    <row r="673" spans="1:15" x14ac:dyDescent="0.25">
      <c r="A673" t="s">
        <v>1476</v>
      </c>
      <c r="B673" s="2">
        <v>46329</v>
      </c>
      <c r="C673" t="s">
        <v>1477</v>
      </c>
      <c r="D673" t="s">
        <v>1478</v>
      </c>
      <c r="E673" t="s">
        <v>39</v>
      </c>
      <c r="F673" t="s">
        <v>76</v>
      </c>
      <c r="G673" t="s">
        <v>28</v>
      </c>
      <c r="H673" t="s">
        <v>63</v>
      </c>
      <c r="I673" t="s">
        <v>64</v>
      </c>
      <c r="J673">
        <v>3</v>
      </c>
      <c r="K673">
        <v>2400</v>
      </c>
      <c r="L673">
        <v>0.1</v>
      </c>
      <c r="M673">
        <v>6480</v>
      </c>
      <c r="N673">
        <v>4950</v>
      </c>
      <c r="O673">
        <v>1530</v>
      </c>
    </row>
    <row r="674" spans="1:15" x14ac:dyDescent="0.25">
      <c r="A674" t="s">
        <v>1479</v>
      </c>
      <c r="B674" s="2">
        <v>46330</v>
      </c>
      <c r="C674" t="s">
        <v>1480</v>
      </c>
      <c r="D674" t="s">
        <v>1481</v>
      </c>
      <c r="E674" t="s">
        <v>96</v>
      </c>
      <c r="F674" t="s">
        <v>200</v>
      </c>
      <c r="G674" t="s">
        <v>57</v>
      </c>
      <c r="H674" t="s">
        <v>58</v>
      </c>
      <c r="I674" t="s">
        <v>129</v>
      </c>
      <c r="J674">
        <v>2</v>
      </c>
      <c r="K674">
        <v>4800</v>
      </c>
      <c r="L674">
        <v>0.1</v>
      </c>
      <c r="M674">
        <v>8640</v>
      </c>
      <c r="N674">
        <v>6600</v>
      </c>
      <c r="O674">
        <v>2040</v>
      </c>
    </row>
    <row r="675" spans="1:15" x14ac:dyDescent="0.25">
      <c r="A675" t="s">
        <v>1482</v>
      </c>
      <c r="B675" s="2">
        <v>46331</v>
      </c>
      <c r="C675" t="s">
        <v>384</v>
      </c>
      <c r="D675" t="s">
        <v>385</v>
      </c>
      <c r="E675" t="s">
        <v>26</v>
      </c>
      <c r="F675" t="s">
        <v>27</v>
      </c>
      <c r="G675" t="s">
        <v>51</v>
      </c>
      <c r="H675" t="s">
        <v>89</v>
      </c>
      <c r="I675" t="s">
        <v>90</v>
      </c>
      <c r="J675">
        <v>1</v>
      </c>
      <c r="K675">
        <v>10500</v>
      </c>
      <c r="L675">
        <v>0.1</v>
      </c>
      <c r="M675">
        <v>9450</v>
      </c>
      <c r="N675">
        <v>7600</v>
      </c>
      <c r="O675">
        <v>1850</v>
      </c>
    </row>
    <row r="676" spans="1:15" x14ac:dyDescent="0.25">
      <c r="A676" t="s">
        <v>1483</v>
      </c>
      <c r="B676" s="2">
        <v>46332</v>
      </c>
      <c r="C676" t="s">
        <v>1149</v>
      </c>
      <c r="D676" t="s">
        <v>1150</v>
      </c>
      <c r="E676" t="s">
        <v>26</v>
      </c>
      <c r="F676" t="s">
        <v>128</v>
      </c>
      <c r="G676" t="s">
        <v>28</v>
      </c>
      <c r="H676" t="s">
        <v>29</v>
      </c>
      <c r="I676" t="s">
        <v>30</v>
      </c>
      <c r="J676">
        <v>2</v>
      </c>
      <c r="K676">
        <v>1900</v>
      </c>
      <c r="L676">
        <v>0.15</v>
      </c>
      <c r="M676">
        <v>3230</v>
      </c>
      <c r="N676">
        <v>2500</v>
      </c>
      <c r="O676">
        <v>730</v>
      </c>
    </row>
    <row r="677" spans="1:15" x14ac:dyDescent="0.25">
      <c r="A677" t="s">
        <v>1484</v>
      </c>
      <c r="B677" s="2">
        <v>46333</v>
      </c>
      <c r="C677" t="s">
        <v>229</v>
      </c>
      <c r="D677" t="s">
        <v>230</v>
      </c>
      <c r="E677" t="s">
        <v>26</v>
      </c>
      <c r="F677" t="s">
        <v>128</v>
      </c>
      <c r="G677" t="s">
        <v>51</v>
      </c>
      <c r="H677" t="s">
        <v>21</v>
      </c>
      <c r="I677" t="s">
        <v>80</v>
      </c>
      <c r="J677">
        <v>1</v>
      </c>
      <c r="K677">
        <v>850</v>
      </c>
      <c r="L677">
        <v>0</v>
      </c>
      <c r="M677">
        <v>850</v>
      </c>
      <c r="N677">
        <v>560</v>
      </c>
      <c r="O677">
        <v>290</v>
      </c>
    </row>
    <row r="678" spans="1:15" x14ac:dyDescent="0.25">
      <c r="A678" t="s">
        <v>1485</v>
      </c>
      <c r="B678" s="2">
        <v>46334</v>
      </c>
      <c r="C678" t="s">
        <v>1486</v>
      </c>
      <c r="D678" t="s">
        <v>1487</v>
      </c>
      <c r="E678" t="s">
        <v>96</v>
      </c>
      <c r="F678" t="s">
        <v>196</v>
      </c>
      <c r="G678" t="s">
        <v>20</v>
      </c>
      <c r="H678" t="s">
        <v>84</v>
      </c>
      <c r="I678" t="s">
        <v>210</v>
      </c>
      <c r="J678">
        <v>5</v>
      </c>
      <c r="K678">
        <v>300</v>
      </c>
      <c r="L678">
        <v>0.15</v>
      </c>
      <c r="M678">
        <v>1275</v>
      </c>
      <c r="N678">
        <v>850</v>
      </c>
      <c r="O678">
        <v>425</v>
      </c>
    </row>
    <row r="679" spans="1:15" x14ac:dyDescent="0.25">
      <c r="A679" t="s">
        <v>1488</v>
      </c>
      <c r="B679" s="2">
        <v>46335</v>
      </c>
      <c r="C679" t="s">
        <v>1372</v>
      </c>
      <c r="D679" t="s">
        <v>1373</v>
      </c>
      <c r="E679" t="s">
        <v>18</v>
      </c>
      <c r="F679" t="s">
        <v>19</v>
      </c>
      <c r="G679" t="s">
        <v>20</v>
      </c>
      <c r="H679" t="s">
        <v>84</v>
      </c>
      <c r="I679" t="s">
        <v>85</v>
      </c>
      <c r="J679">
        <v>4</v>
      </c>
      <c r="K679">
        <v>280</v>
      </c>
      <c r="L679">
        <v>0.1</v>
      </c>
      <c r="M679">
        <v>1008</v>
      </c>
      <c r="N679">
        <v>640</v>
      </c>
      <c r="O679">
        <v>368</v>
      </c>
    </row>
    <row r="680" spans="1:15" x14ac:dyDescent="0.25">
      <c r="A680" t="s">
        <v>1489</v>
      </c>
      <c r="B680" s="2">
        <v>46336</v>
      </c>
      <c r="C680" t="s">
        <v>655</v>
      </c>
      <c r="D680" t="s">
        <v>656</v>
      </c>
      <c r="E680" t="s">
        <v>96</v>
      </c>
      <c r="F680" t="s">
        <v>200</v>
      </c>
      <c r="G680" t="s">
        <v>28</v>
      </c>
      <c r="H680" t="s">
        <v>29</v>
      </c>
      <c r="I680" t="s">
        <v>30</v>
      </c>
      <c r="J680">
        <v>3</v>
      </c>
      <c r="K680">
        <v>1900</v>
      </c>
      <c r="L680">
        <v>0.15</v>
      </c>
      <c r="M680">
        <v>4845</v>
      </c>
      <c r="N680">
        <v>3750</v>
      </c>
      <c r="O680">
        <v>1095</v>
      </c>
    </row>
    <row r="681" spans="1:15" x14ac:dyDescent="0.25">
      <c r="A681" t="s">
        <v>1490</v>
      </c>
      <c r="B681" s="2">
        <v>46337</v>
      </c>
      <c r="C681" t="s">
        <v>724</v>
      </c>
      <c r="D681" t="s">
        <v>725</v>
      </c>
      <c r="E681" t="s">
        <v>96</v>
      </c>
      <c r="F681" t="s">
        <v>196</v>
      </c>
      <c r="G681" t="s">
        <v>51</v>
      </c>
      <c r="H681" t="s">
        <v>89</v>
      </c>
      <c r="I681" t="s">
        <v>90</v>
      </c>
      <c r="J681">
        <v>4</v>
      </c>
      <c r="K681">
        <v>10500</v>
      </c>
      <c r="L681">
        <v>0.2</v>
      </c>
      <c r="M681">
        <v>33600</v>
      </c>
      <c r="N681">
        <v>30400</v>
      </c>
      <c r="O681">
        <v>3200</v>
      </c>
    </row>
    <row r="682" spans="1:15" x14ac:dyDescent="0.25">
      <c r="A682" t="s">
        <v>1491</v>
      </c>
      <c r="B682" s="2">
        <v>46338</v>
      </c>
      <c r="C682" t="s">
        <v>997</v>
      </c>
      <c r="D682" t="s">
        <v>998</v>
      </c>
      <c r="E682" t="s">
        <v>26</v>
      </c>
      <c r="F682" t="s">
        <v>128</v>
      </c>
      <c r="G682" t="s">
        <v>51</v>
      </c>
      <c r="H682" t="s">
        <v>52</v>
      </c>
      <c r="I682" t="s">
        <v>53</v>
      </c>
      <c r="J682">
        <v>5</v>
      </c>
      <c r="K682">
        <v>2200</v>
      </c>
      <c r="L682">
        <v>0.25</v>
      </c>
      <c r="M682">
        <v>8250</v>
      </c>
      <c r="N682">
        <v>7250</v>
      </c>
      <c r="O682">
        <v>1000</v>
      </c>
    </row>
    <row r="683" spans="1:15" x14ac:dyDescent="0.25">
      <c r="A683" t="s">
        <v>1492</v>
      </c>
      <c r="B683" s="2">
        <v>46339</v>
      </c>
      <c r="C683" t="s">
        <v>778</v>
      </c>
      <c r="D683" t="s">
        <v>779</v>
      </c>
      <c r="E683" t="s">
        <v>26</v>
      </c>
      <c r="F683" t="s">
        <v>128</v>
      </c>
      <c r="G683" t="s">
        <v>57</v>
      </c>
      <c r="H683" t="s">
        <v>58</v>
      </c>
      <c r="I683" t="s">
        <v>59</v>
      </c>
      <c r="J683">
        <v>3</v>
      </c>
      <c r="K683">
        <v>5600</v>
      </c>
      <c r="L683">
        <v>0.05</v>
      </c>
      <c r="M683">
        <v>15960</v>
      </c>
      <c r="N683">
        <v>11700</v>
      </c>
      <c r="O683">
        <v>4260</v>
      </c>
    </row>
    <row r="684" spans="1:15" x14ac:dyDescent="0.25">
      <c r="A684" t="s">
        <v>1493</v>
      </c>
      <c r="B684" s="2">
        <v>46340</v>
      </c>
      <c r="C684" t="s">
        <v>1494</v>
      </c>
      <c r="D684" t="s">
        <v>1495</v>
      </c>
      <c r="E684" t="s">
        <v>26</v>
      </c>
      <c r="F684" t="s">
        <v>34</v>
      </c>
      <c r="G684" t="s">
        <v>51</v>
      </c>
      <c r="H684" t="s">
        <v>52</v>
      </c>
      <c r="I684" t="s">
        <v>208</v>
      </c>
      <c r="J684">
        <v>1</v>
      </c>
      <c r="K684">
        <v>2800</v>
      </c>
      <c r="L684">
        <v>0.15</v>
      </c>
      <c r="M684">
        <v>2380</v>
      </c>
      <c r="N684">
        <v>1800</v>
      </c>
      <c r="O684">
        <v>580</v>
      </c>
    </row>
    <row r="685" spans="1:15" x14ac:dyDescent="0.25">
      <c r="A685" t="s">
        <v>1496</v>
      </c>
      <c r="B685" s="2">
        <v>46341</v>
      </c>
      <c r="C685" t="s">
        <v>1461</v>
      </c>
      <c r="D685" t="s">
        <v>1462</v>
      </c>
      <c r="E685" t="s">
        <v>18</v>
      </c>
      <c r="F685" t="s">
        <v>115</v>
      </c>
      <c r="G685" t="s">
        <v>51</v>
      </c>
      <c r="H685" t="s">
        <v>21</v>
      </c>
      <c r="I685" t="s">
        <v>80</v>
      </c>
      <c r="J685">
        <v>4</v>
      </c>
      <c r="K685">
        <v>850</v>
      </c>
      <c r="L685">
        <v>0.15</v>
      </c>
      <c r="M685">
        <v>2890</v>
      </c>
      <c r="N685">
        <v>2240</v>
      </c>
      <c r="O685">
        <v>650</v>
      </c>
    </row>
    <row r="686" spans="1:15" x14ac:dyDescent="0.25">
      <c r="A686" t="s">
        <v>1497</v>
      </c>
      <c r="B686" s="2">
        <v>46342</v>
      </c>
      <c r="C686" t="s">
        <v>1498</v>
      </c>
      <c r="D686" t="s">
        <v>1499</v>
      </c>
      <c r="E686" t="s">
        <v>39</v>
      </c>
      <c r="F686" t="s">
        <v>71</v>
      </c>
      <c r="G686" t="s">
        <v>51</v>
      </c>
      <c r="H686" t="s">
        <v>21</v>
      </c>
      <c r="I686" t="s">
        <v>72</v>
      </c>
      <c r="J686">
        <v>5</v>
      </c>
      <c r="K686">
        <v>1800</v>
      </c>
      <c r="L686">
        <v>0</v>
      </c>
      <c r="M686">
        <v>9000</v>
      </c>
      <c r="N686">
        <v>5500</v>
      </c>
      <c r="O686">
        <v>3500</v>
      </c>
    </row>
    <row r="687" spans="1:15" x14ac:dyDescent="0.25">
      <c r="A687" t="s">
        <v>1500</v>
      </c>
      <c r="B687" s="2">
        <v>46343</v>
      </c>
      <c r="C687" t="s">
        <v>550</v>
      </c>
      <c r="D687" t="s">
        <v>551</v>
      </c>
      <c r="E687" t="s">
        <v>39</v>
      </c>
      <c r="F687" t="s">
        <v>124</v>
      </c>
      <c r="G687" t="s">
        <v>51</v>
      </c>
      <c r="H687" t="s">
        <v>21</v>
      </c>
      <c r="I687" t="s">
        <v>72</v>
      </c>
      <c r="J687">
        <v>4</v>
      </c>
      <c r="K687">
        <v>1800</v>
      </c>
      <c r="L687">
        <v>0.1</v>
      </c>
      <c r="M687">
        <v>6480</v>
      </c>
      <c r="N687">
        <v>4400</v>
      </c>
      <c r="O687">
        <v>2080</v>
      </c>
    </row>
    <row r="688" spans="1:15" x14ac:dyDescent="0.25">
      <c r="A688" t="s">
        <v>1501</v>
      </c>
      <c r="B688" s="2">
        <v>46344</v>
      </c>
      <c r="C688" t="s">
        <v>1502</v>
      </c>
      <c r="D688" t="s">
        <v>1503</v>
      </c>
      <c r="E688" t="s">
        <v>39</v>
      </c>
      <c r="F688" t="s">
        <v>76</v>
      </c>
      <c r="G688" t="s">
        <v>51</v>
      </c>
      <c r="H688" t="s">
        <v>52</v>
      </c>
      <c r="I688" t="s">
        <v>208</v>
      </c>
      <c r="J688">
        <v>4</v>
      </c>
      <c r="K688">
        <v>2800</v>
      </c>
      <c r="L688">
        <v>0.05</v>
      </c>
      <c r="M688">
        <v>10640</v>
      </c>
      <c r="N688">
        <v>7200</v>
      </c>
      <c r="O688">
        <v>3440</v>
      </c>
    </row>
    <row r="689" spans="1:15" x14ac:dyDescent="0.25">
      <c r="A689" t="s">
        <v>1504</v>
      </c>
      <c r="B689" s="2">
        <v>46345</v>
      </c>
      <c r="C689" t="s">
        <v>655</v>
      </c>
      <c r="D689" t="s">
        <v>656</v>
      </c>
      <c r="E689" t="s">
        <v>18</v>
      </c>
      <c r="F689" t="s">
        <v>115</v>
      </c>
      <c r="G689" t="s">
        <v>51</v>
      </c>
      <c r="H689" t="s">
        <v>52</v>
      </c>
      <c r="I689" t="s">
        <v>208</v>
      </c>
      <c r="J689">
        <v>1</v>
      </c>
      <c r="K689">
        <v>2800</v>
      </c>
      <c r="L689">
        <v>0.15</v>
      </c>
      <c r="M689">
        <v>2380</v>
      </c>
      <c r="N689">
        <v>1800</v>
      </c>
      <c r="O689">
        <v>580</v>
      </c>
    </row>
    <row r="690" spans="1:15" x14ac:dyDescent="0.25">
      <c r="A690" t="s">
        <v>1505</v>
      </c>
      <c r="B690" s="2">
        <v>46346</v>
      </c>
      <c r="C690" t="s">
        <v>1009</v>
      </c>
      <c r="D690" t="s">
        <v>1010</v>
      </c>
      <c r="E690" t="s">
        <v>26</v>
      </c>
      <c r="F690" t="s">
        <v>204</v>
      </c>
      <c r="G690" t="s">
        <v>51</v>
      </c>
      <c r="H690" t="s">
        <v>21</v>
      </c>
      <c r="I690" t="s">
        <v>72</v>
      </c>
      <c r="J690">
        <v>2</v>
      </c>
      <c r="K690">
        <v>1800</v>
      </c>
      <c r="L690">
        <v>0.05</v>
      </c>
      <c r="M690">
        <v>3420</v>
      </c>
      <c r="N690">
        <v>2200</v>
      </c>
      <c r="O690">
        <v>1220</v>
      </c>
    </row>
    <row r="691" spans="1:15" x14ac:dyDescent="0.25">
      <c r="A691" t="s">
        <v>1506</v>
      </c>
      <c r="B691" s="2">
        <v>46347</v>
      </c>
      <c r="C691" t="s">
        <v>271</v>
      </c>
      <c r="D691" t="s">
        <v>272</v>
      </c>
      <c r="E691" t="s">
        <v>26</v>
      </c>
      <c r="F691" t="s">
        <v>128</v>
      </c>
      <c r="G691" t="s">
        <v>28</v>
      </c>
      <c r="H691" t="s">
        <v>29</v>
      </c>
      <c r="I691" t="s">
        <v>30</v>
      </c>
      <c r="J691">
        <v>2</v>
      </c>
      <c r="K691">
        <v>1900</v>
      </c>
      <c r="L691">
        <v>0.05</v>
      </c>
      <c r="M691">
        <v>3610</v>
      </c>
      <c r="N691">
        <v>2500</v>
      </c>
      <c r="O691">
        <v>1110</v>
      </c>
    </row>
    <row r="692" spans="1:15" x14ac:dyDescent="0.25">
      <c r="A692" t="s">
        <v>1507</v>
      </c>
      <c r="B692" s="2">
        <v>46348</v>
      </c>
      <c r="C692" t="s">
        <v>252</v>
      </c>
      <c r="D692" t="s">
        <v>253</v>
      </c>
      <c r="E692" t="s">
        <v>26</v>
      </c>
      <c r="F692" t="s">
        <v>46</v>
      </c>
      <c r="G692" t="s">
        <v>51</v>
      </c>
      <c r="H692" t="s">
        <v>89</v>
      </c>
      <c r="I692" t="s">
        <v>90</v>
      </c>
      <c r="J692">
        <v>1</v>
      </c>
      <c r="K692">
        <v>10500</v>
      </c>
      <c r="L692">
        <v>0.1</v>
      </c>
      <c r="M692">
        <v>9450</v>
      </c>
      <c r="N692">
        <v>7600</v>
      </c>
      <c r="O692">
        <v>1850</v>
      </c>
    </row>
    <row r="693" spans="1:15" x14ac:dyDescent="0.25">
      <c r="A693" t="s">
        <v>1508</v>
      </c>
      <c r="B693" s="2">
        <v>46349</v>
      </c>
      <c r="C693" t="s">
        <v>659</v>
      </c>
      <c r="D693" t="s">
        <v>660</v>
      </c>
      <c r="E693" t="s">
        <v>39</v>
      </c>
      <c r="F693" t="s">
        <v>71</v>
      </c>
      <c r="G693" t="s">
        <v>51</v>
      </c>
      <c r="H693" t="s">
        <v>89</v>
      </c>
      <c r="I693" t="s">
        <v>90</v>
      </c>
      <c r="J693">
        <v>5</v>
      </c>
      <c r="K693">
        <v>10500</v>
      </c>
      <c r="L693">
        <v>0.15</v>
      </c>
      <c r="M693">
        <v>44625</v>
      </c>
      <c r="N693">
        <v>38000</v>
      </c>
      <c r="O693">
        <v>6625</v>
      </c>
    </row>
    <row r="694" spans="1:15" x14ac:dyDescent="0.25">
      <c r="A694" t="s">
        <v>1509</v>
      </c>
      <c r="B694" s="2">
        <v>46350</v>
      </c>
      <c r="C694" t="s">
        <v>1510</v>
      </c>
      <c r="D694" t="s">
        <v>1511</v>
      </c>
      <c r="E694" t="s">
        <v>26</v>
      </c>
      <c r="F694" t="s">
        <v>204</v>
      </c>
      <c r="G694" t="s">
        <v>28</v>
      </c>
      <c r="H694" t="s">
        <v>29</v>
      </c>
      <c r="I694" t="s">
        <v>35</v>
      </c>
      <c r="J694">
        <v>4</v>
      </c>
      <c r="K694">
        <v>4200</v>
      </c>
      <c r="L694">
        <v>0.1</v>
      </c>
      <c r="M694">
        <v>15120</v>
      </c>
      <c r="N694">
        <v>11600</v>
      </c>
      <c r="O694">
        <v>3520</v>
      </c>
    </row>
    <row r="695" spans="1:15" x14ac:dyDescent="0.25">
      <c r="A695" t="s">
        <v>1512</v>
      </c>
      <c r="B695" s="2">
        <v>46351</v>
      </c>
      <c r="C695" t="s">
        <v>259</v>
      </c>
      <c r="D695" t="s">
        <v>260</v>
      </c>
      <c r="E695" t="s">
        <v>18</v>
      </c>
      <c r="F695" t="s">
        <v>19</v>
      </c>
      <c r="G695" t="s">
        <v>20</v>
      </c>
      <c r="H695" t="s">
        <v>21</v>
      </c>
      <c r="I695" t="s">
        <v>22</v>
      </c>
      <c r="J695">
        <v>5</v>
      </c>
      <c r="K695">
        <v>650</v>
      </c>
      <c r="L695">
        <v>0.15</v>
      </c>
      <c r="M695">
        <v>2762.5</v>
      </c>
      <c r="N695">
        <v>1950</v>
      </c>
      <c r="O695">
        <v>812.5</v>
      </c>
    </row>
    <row r="696" spans="1:15" x14ac:dyDescent="0.25">
      <c r="A696" t="s">
        <v>1513</v>
      </c>
      <c r="B696" s="2">
        <v>46352</v>
      </c>
      <c r="C696" t="s">
        <v>1514</v>
      </c>
      <c r="D696" t="s">
        <v>1515</v>
      </c>
      <c r="E696" t="s">
        <v>39</v>
      </c>
      <c r="F696" t="s">
        <v>76</v>
      </c>
      <c r="G696" t="s">
        <v>20</v>
      </c>
      <c r="H696" t="s">
        <v>41</v>
      </c>
      <c r="I696" t="s">
        <v>42</v>
      </c>
      <c r="J696">
        <v>1</v>
      </c>
      <c r="K696">
        <v>520</v>
      </c>
      <c r="L696">
        <v>0.05</v>
      </c>
      <c r="M696">
        <v>494</v>
      </c>
      <c r="N696">
        <v>330</v>
      </c>
      <c r="O696">
        <v>164</v>
      </c>
    </row>
    <row r="697" spans="1:15" x14ac:dyDescent="0.25">
      <c r="A697" t="s">
        <v>1516</v>
      </c>
      <c r="B697" s="2">
        <v>46353</v>
      </c>
      <c r="C697" t="s">
        <v>459</v>
      </c>
      <c r="D697" t="s">
        <v>460</v>
      </c>
      <c r="E697" t="s">
        <v>96</v>
      </c>
      <c r="F697" t="s">
        <v>120</v>
      </c>
      <c r="G697" t="s">
        <v>51</v>
      </c>
      <c r="H697" t="s">
        <v>21</v>
      </c>
      <c r="I697" t="s">
        <v>80</v>
      </c>
      <c r="J697">
        <v>3</v>
      </c>
      <c r="K697">
        <v>850</v>
      </c>
      <c r="L697">
        <v>0.15</v>
      </c>
      <c r="M697">
        <v>2167.5</v>
      </c>
      <c r="N697">
        <v>1680</v>
      </c>
      <c r="O697">
        <v>487.5</v>
      </c>
    </row>
    <row r="698" spans="1:15" x14ac:dyDescent="0.25">
      <c r="A698" t="s">
        <v>1517</v>
      </c>
      <c r="B698" s="2">
        <v>46354</v>
      </c>
      <c r="C698" t="s">
        <v>1243</v>
      </c>
      <c r="D698" t="s">
        <v>1244</v>
      </c>
      <c r="E698" t="s">
        <v>26</v>
      </c>
      <c r="F698" t="s">
        <v>34</v>
      </c>
      <c r="G698" t="s">
        <v>28</v>
      </c>
      <c r="H698" t="s">
        <v>63</v>
      </c>
      <c r="I698" t="s">
        <v>64</v>
      </c>
      <c r="J698">
        <v>2</v>
      </c>
      <c r="K698">
        <v>2400</v>
      </c>
      <c r="L698">
        <v>0.1</v>
      </c>
      <c r="M698">
        <v>4320</v>
      </c>
      <c r="N698">
        <v>3300</v>
      </c>
      <c r="O698">
        <v>1020</v>
      </c>
    </row>
    <row r="699" spans="1:15" x14ac:dyDescent="0.25">
      <c r="A699" t="s">
        <v>1518</v>
      </c>
      <c r="B699" s="2">
        <v>46355</v>
      </c>
      <c r="C699" t="s">
        <v>912</v>
      </c>
      <c r="D699" t="s">
        <v>913</v>
      </c>
      <c r="E699" t="s">
        <v>96</v>
      </c>
      <c r="F699" t="s">
        <v>196</v>
      </c>
      <c r="G699" t="s">
        <v>20</v>
      </c>
      <c r="H699" t="s">
        <v>41</v>
      </c>
      <c r="I699" t="s">
        <v>42</v>
      </c>
      <c r="J699">
        <v>3</v>
      </c>
      <c r="K699">
        <v>520</v>
      </c>
      <c r="L699">
        <v>0.15</v>
      </c>
      <c r="M699">
        <v>1326</v>
      </c>
      <c r="N699">
        <v>990</v>
      </c>
      <c r="O699">
        <v>336</v>
      </c>
    </row>
    <row r="700" spans="1:15" x14ac:dyDescent="0.25">
      <c r="A700" t="s">
        <v>1519</v>
      </c>
      <c r="B700" s="2">
        <v>46356</v>
      </c>
      <c r="C700" t="s">
        <v>1059</v>
      </c>
      <c r="D700" t="s">
        <v>1060</v>
      </c>
      <c r="E700" t="s">
        <v>18</v>
      </c>
      <c r="F700" t="s">
        <v>94</v>
      </c>
      <c r="G700" t="s">
        <v>20</v>
      </c>
      <c r="H700" t="s">
        <v>84</v>
      </c>
      <c r="I700" t="s">
        <v>210</v>
      </c>
      <c r="J700">
        <v>3</v>
      </c>
      <c r="K700">
        <v>300</v>
      </c>
      <c r="L700">
        <v>0.15</v>
      </c>
      <c r="M700">
        <v>765</v>
      </c>
      <c r="N700">
        <v>510</v>
      </c>
      <c r="O700">
        <v>255</v>
      </c>
    </row>
    <row r="701" spans="1:15" x14ac:dyDescent="0.25">
      <c r="A701" t="s">
        <v>1520</v>
      </c>
      <c r="B701" s="2">
        <v>46357</v>
      </c>
      <c r="C701" t="s">
        <v>1461</v>
      </c>
      <c r="D701" t="s">
        <v>1462</v>
      </c>
      <c r="E701" t="s">
        <v>39</v>
      </c>
      <c r="F701" t="s">
        <v>124</v>
      </c>
      <c r="G701" t="s">
        <v>57</v>
      </c>
      <c r="H701" t="s">
        <v>188</v>
      </c>
      <c r="I701" t="s">
        <v>189</v>
      </c>
      <c r="J701">
        <v>2</v>
      </c>
      <c r="K701">
        <v>6200</v>
      </c>
      <c r="L701">
        <v>0.1</v>
      </c>
      <c r="M701">
        <v>11160</v>
      </c>
      <c r="N701">
        <v>8600</v>
      </c>
      <c r="O701">
        <v>2560</v>
      </c>
    </row>
    <row r="702" spans="1:15" x14ac:dyDescent="0.25">
      <c r="A702" t="s">
        <v>1521</v>
      </c>
      <c r="B702" s="2">
        <v>46358</v>
      </c>
      <c r="C702" t="s">
        <v>333</v>
      </c>
      <c r="D702" t="s">
        <v>334</v>
      </c>
      <c r="E702" t="s">
        <v>26</v>
      </c>
      <c r="F702" t="s">
        <v>204</v>
      </c>
      <c r="G702" t="s">
        <v>51</v>
      </c>
      <c r="H702" t="s">
        <v>21</v>
      </c>
      <c r="I702" t="s">
        <v>116</v>
      </c>
      <c r="J702">
        <v>1</v>
      </c>
      <c r="K702">
        <v>1400</v>
      </c>
      <c r="L702">
        <v>0.05</v>
      </c>
      <c r="M702">
        <v>1330</v>
      </c>
      <c r="N702">
        <v>900</v>
      </c>
      <c r="O702">
        <v>430</v>
      </c>
    </row>
    <row r="703" spans="1:15" x14ac:dyDescent="0.25">
      <c r="A703" t="s">
        <v>1522</v>
      </c>
      <c r="B703" s="2">
        <v>46359</v>
      </c>
      <c r="C703" t="s">
        <v>167</v>
      </c>
      <c r="D703" t="s">
        <v>168</v>
      </c>
      <c r="E703" t="s">
        <v>26</v>
      </c>
      <c r="F703" t="s">
        <v>46</v>
      </c>
      <c r="G703" t="s">
        <v>20</v>
      </c>
      <c r="H703" t="s">
        <v>21</v>
      </c>
      <c r="I703" t="s">
        <v>22</v>
      </c>
      <c r="J703">
        <v>4</v>
      </c>
      <c r="K703">
        <v>650</v>
      </c>
      <c r="L703">
        <v>0.2</v>
      </c>
      <c r="M703">
        <v>2080</v>
      </c>
      <c r="N703">
        <v>1560</v>
      </c>
      <c r="O703">
        <v>520</v>
      </c>
    </row>
    <row r="704" spans="1:15" x14ac:dyDescent="0.25">
      <c r="A704" t="s">
        <v>1523</v>
      </c>
      <c r="B704" s="2">
        <v>46360</v>
      </c>
      <c r="C704" t="s">
        <v>439</v>
      </c>
      <c r="D704" t="s">
        <v>440</v>
      </c>
      <c r="E704" t="s">
        <v>26</v>
      </c>
      <c r="F704" t="s">
        <v>128</v>
      </c>
      <c r="G704" t="s">
        <v>51</v>
      </c>
      <c r="H704" t="s">
        <v>52</v>
      </c>
      <c r="I704" t="s">
        <v>208</v>
      </c>
      <c r="J704">
        <v>5</v>
      </c>
      <c r="K704">
        <v>2800</v>
      </c>
      <c r="L704">
        <v>0.2</v>
      </c>
      <c r="M704">
        <v>11200</v>
      </c>
      <c r="N704">
        <v>9000</v>
      </c>
      <c r="O704">
        <v>2200</v>
      </c>
    </row>
    <row r="705" spans="1:15" x14ac:dyDescent="0.25">
      <c r="A705" t="s">
        <v>1524</v>
      </c>
      <c r="B705" s="2">
        <v>46361</v>
      </c>
      <c r="C705" t="s">
        <v>781</v>
      </c>
      <c r="D705" t="s">
        <v>782</v>
      </c>
      <c r="E705" t="s">
        <v>96</v>
      </c>
      <c r="F705" t="s">
        <v>120</v>
      </c>
      <c r="G705" t="s">
        <v>51</v>
      </c>
      <c r="H705" t="s">
        <v>52</v>
      </c>
      <c r="I705" t="s">
        <v>208</v>
      </c>
      <c r="J705">
        <v>5</v>
      </c>
      <c r="K705">
        <v>2800</v>
      </c>
      <c r="L705">
        <v>0.1</v>
      </c>
      <c r="M705">
        <v>12600</v>
      </c>
      <c r="N705">
        <v>9000</v>
      </c>
      <c r="O705">
        <v>3600</v>
      </c>
    </row>
    <row r="706" spans="1:15" x14ac:dyDescent="0.25">
      <c r="A706" t="s">
        <v>1525</v>
      </c>
      <c r="B706" s="2">
        <v>46362</v>
      </c>
      <c r="C706" t="s">
        <v>803</v>
      </c>
      <c r="D706" t="s">
        <v>804</v>
      </c>
      <c r="E706" t="s">
        <v>26</v>
      </c>
      <c r="F706" t="s">
        <v>46</v>
      </c>
      <c r="G706" t="s">
        <v>57</v>
      </c>
      <c r="H706" t="s">
        <v>58</v>
      </c>
      <c r="I706" t="s">
        <v>129</v>
      </c>
      <c r="J706">
        <v>4</v>
      </c>
      <c r="K706">
        <v>4800</v>
      </c>
      <c r="L706">
        <v>0.15</v>
      </c>
      <c r="M706">
        <v>16320</v>
      </c>
      <c r="N706">
        <v>13200</v>
      </c>
      <c r="O706">
        <v>3120</v>
      </c>
    </row>
    <row r="707" spans="1:15" x14ac:dyDescent="0.25">
      <c r="A707" t="s">
        <v>1526</v>
      </c>
      <c r="B707" s="2">
        <v>46363</v>
      </c>
      <c r="C707" t="s">
        <v>37</v>
      </c>
      <c r="D707" t="s">
        <v>38</v>
      </c>
      <c r="E707" t="s">
        <v>26</v>
      </c>
      <c r="F707" t="s">
        <v>128</v>
      </c>
      <c r="G707" t="s">
        <v>51</v>
      </c>
      <c r="H707" t="s">
        <v>52</v>
      </c>
      <c r="I707" t="s">
        <v>208</v>
      </c>
      <c r="J707">
        <v>4</v>
      </c>
      <c r="K707">
        <v>2800</v>
      </c>
      <c r="L707">
        <v>0</v>
      </c>
      <c r="M707">
        <v>11200</v>
      </c>
      <c r="N707">
        <v>7200</v>
      </c>
      <c r="O707">
        <v>4000</v>
      </c>
    </row>
    <row r="708" spans="1:15" x14ac:dyDescent="0.25">
      <c r="A708" t="s">
        <v>1527</v>
      </c>
      <c r="B708" s="2">
        <v>46364</v>
      </c>
      <c r="C708" t="s">
        <v>1085</v>
      </c>
      <c r="D708" t="s">
        <v>1086</v>
      </c>
      <c r="E708" t="s">
        <v>26</v>
      </c>
      <c r="F708" t="s">
        <v>204</v>
      </c>
      <c r="G708" t="s">
        <v>51</v>
      </c>
      <c r="H708" t="s">
        <v>89</v>
      </c>
      <c r="I708" t="s">
        <v>90</v>
      </c>
      <c r="J708">
        <v>2</v>
      </c>
      <c r="K708">
        <v>10500</v>
      </c>
      <c r="L708">
        <v>0.05</v>
      </c>
      <c r="M708">
        <v>19950</v>
      </c>
      <c r="N708">
        <v>15200</v>
      </c>
      <c r="O708">
        <v>4750</v>
      </c>
    </row>
    <row r="709" spans="1:15" x14ac:dyDescent="0.25">
      <c r="A709" t="s">
        <v>1528</v>
      </c>
      <c r="B709" s="2">
        <v>46365</v>
      </c>
      <c r="C709" t="s">
        <v>1071</v>
      </c>
      <c r="D709" t="s">
        <v>1072</v>
      </c>
      <c r="E709" t="s">
        <v>39</v>
      </c>
      <c r="F709" t="s">
        <v>40</v>
      </c>
      <c r="G709" t="s">
        <v>57</v>
      </c>
      <c r="H709" t="s">
        <v>58</v>
      </c>
      <c r="I709" t="s">
        <v>129</v>
      </c>
      <c r="J709">
        <v>4</v>
      </c>
      <c r="K709">
        <v>4800</v>
      </c>
      <c r="L709">
        <v>0.05</v>
      </c>
      <c r="M709">
        <v>18240</v>
      </c>
      <c r="N709">
        <v>13200</v>
      </c>
      <c r="O709">
        <v>5040</v>
      </c>
    </row>
    <row r="710" spans="1:15" x14ac:dyDescent="0.25">
      <c r="A710" t="s">
        <v>1529</v>
      </c>
      <c r="B710" s="2">
        <v>46366</v>
      </c>
      <c r="C710" t="s">
        <v>871</v>
      </c>
      <c r="D710" t="s">
        <v>872</v>
      </c>
      <c r="E710" t="s">
        <v>26</v>
      </c>
      <c r="F710" t="s">
        <v>46</v>
      </c>
      <c r="G710" t="s">
        <v>28</v>
      </c>
      <c r="H710" t="s">
        <v>29</v>
      </c>
      <c r="I710" t="s">
        <v>35</v>
      </c>
      <c r="J710">
        <v>4</v>
      </c>
      <c r="K710">
        <v>4200</v>
      </c>
      <c r="L710">
        <v>0</v>
      </c>
      <c r="M710">
        <v>16800</v>
      </c>
      <c r="N710">
        <v>11600</v>
      </c>
      <c r="O710">
        <v>5200</v>
      </c>
    </row>
    <row r="711" spans="1:15" x14ac:dyDescent="0.25">
      <c r="A711" t="s">
        <v>1530</v>
      </c>
      <c r="B711" s="2">
        <v>46367</v>
      </c>
      <c r="C711" t="s">
        <v>1095</v>
      </c>
      <c r="D711" t="s">
        <v>1096</v>
      </c>
      <c r="E711" t="s">
        <v>26</v>
      </c>
      <c r="F711" t="s">
        <v>27</v>
      </c>
      <c r="G711" t="s">
        <v>20</v>
      </c>
      <c r="H711" t="s">
        <v>84</v>
      </c>
      <c r="I711" t="s">
        <v>85</v>
      </c>
      <c r="J711">
        <v>5</v>
      </c>
      <c r="K711">
        <v>280</v>
      </c>
      <c r="L711">
        <v>0</v>
      </c>
      <c r="M711">
        <v>1400</v>
      </c>
      <c r="N711">
        <v>800</v>
      </c>
      <c r="O711">
        <v>600</v>
      </c>
    </row>
    <row r="712" spans="1:15" x14ac:dyDescent="0.25">
      <c r="A712" t="s">
        <v>1531</v>
      </c>
      <c r="B712" s="2">
        <v>46368</v>
      </c>
      <c r="C712" t="s">
        <v>1003</v>
      </c>
      <c r="D712" t="s">
        <v>1004</v>
      </c>
      <c r="E712" t="s">
        <v>96</v>
      </c>
      <c r="F712" t="s">
        <v>200</v>
      </c>
      <c r="G712" t="s">
        <v>51</v>
      </c>
      <c r="H712" t="s">
        <v>21</v>
      </c>
      <c r="I712" t="s">
        <v>72</v>
      </c>
      <c r="J712">
        <v>3</v>
      </c>
      <c r="K712">
        <v>1800</v>
      </c>
      <c r="L712">
        <v>0.15</v>
      </c>
      <c r="M712">
        <v>4590</v>
      </c>
      <c r="N712">
        <v>3300</v>
      </c>
      <c r="O712">
        <v>1290</v>
      </c>
    </row>
    <row r="713" spans="1:15" x14ac:dyDescent="0.25">
      <c r="A713" t="s">
        <v>1532</v>
      </c>
      <c r="B713" s="2">
        <v>46369</v>
      </c>
      <c r="C713" t="s">
        <v>1207</v>
      </c>
      <c r="D713" t="s">
        <v>1208</v>
      </c>
      <c r="E713" t="s">
        <v>18</v>
      </c>
      <c r="F713" t="s">
        <v>115</v>
      </c>
      <c r="G713" t="s">
        <v>57</v>
      </c>
      <c r="H713" t="s">
        <v>58</v>
      </c>
      <c r="I713" t="s">
        <v>129</v>
      </c>
      <c r="J713">
        <v>3</v>
      </c>
      <c r="K713">
        <v>4800</v>
      </c>
      <c r="L713">
        <v>0.15</v>
      </c>
      <c r="M713">
        <v>12240</v>
      </c>
      <c r="N713">
        <v>9900</v>
      </c>
      <c r="O713">
        <v>2340</v>
      </c>
    </row>
    <row r="714" spans="1:15" x14ac:dyDescent="0.25">
      <c r="A714" t="s">
        <v>1533</v>
      </c>
      <c r="B714" s="2">
        <v>46370</v>
      </c>
      <c r="C714" t="s">
        <v>317</v>
      </c>
      <c r="D714" t="s">
        <v>318</v>
      </c>
      <c r="E714" t="s">
        <v>96</v>
      </c>
      <c r="F714" t="s">
        <v>97</v>
      </c>
      <c r="G714" t="s">
        <v>51</v>
      </c>
      <c r="H714" t="s">
        <v>52</v>
      </c>
      <c r="I714" t="s">
        <v>208</v>
      </c>
      <c r="J714">
        <v>4</v>
      </c>
      <c r="K714">
        <v>2800</v>
      </c>
      <c r="L714">
        <v>0.05</v>
      </c>
      <c r="M714">
        <v>10640</v>
      </c>
      <c r="N714">
        <v>7200</v>
      </c>
      <c r="O714">
        <v>3440</v>
      </c>
    </row>
    <row r="715" spans="1:15" x14ac:dyDescent="0.25">
      <c r="A715" t="s">
        <v>1534</v>
      </c>
      <c r="B715" s="2">
        <v>46371</v>
      </c>
      <c r="C715" t="s">
        <v>372</v>
      </c>
      <c r="D715" t="s">
        <v>373</v>
      </c>
      <c r="E715" t="s">
        <v>39</v>
      </c>
      <c r="F715" t="s">
        <v>40</v>
      </c>
      <c r="G715" t="s">
        <v>20</v>
      </c>
      <c r="H715" t="s">
        <v>41</v>
      </c>
      <c r="I715" t="s">
        <v>42</v>
      </c>
      <c r="J715">
        <v>5</v>
      </c>
      <c r="K715">
        <v>520</v>
      </c>
      <c r="L715">
        <v>0.1</v>
      </c>
      <c r="M715">
        <v>2340</v>
      </c>
      <c r="N715">
        <v>1650</v>
      </c>
      <c r="O715">
        <v>690</v>
      </c>
    </row>
    <row r="716" spans="1:15" x14ac:dyDescent="0.25">
      <c r="A716" t="s">
        <v>1535</v>
      </c>
      <c r="B716" s="2">
        <v>46372</v>
      </c>
      <c r="C716" t="s">
        <v>519</v>
      </c>
      <c r="D716" t="s">
        <v>520</v>
      </c>
      <c r="E716" t="s">
        <v>26</v>
      </c>
      <c r="F716" t="s">
        <v>128</v>
      </c>
      <c r="G716" t="s">
        <v>20</v>
      </c>
      <c r="H716" t="s">
        <v>41</v>
      </c>
      <c r="I716" t="s">
        <v>42</v>
      </c>
      <c r="J716">
        <v>2</v>
      </c>
      <c r="K716">
        <v>520</v>
      </c>
      <c r="L716">
        <v>0.25</v>
      </c>
      <c r="M716">
        <v>780</v>
      </c>
      <c r="N716">
        <v>660</v>
      </c>
      <c r="O716">
        <v>120</v>
      </c>
    </row>
    <row r="717" spans="1:15" x14ac:dyDescent="0.25">
      <c r="A717" t="s">
        <v>1536</v>
      </c>
      <c r="B717" s="2">
        <v>46373</v>
      </c>
      <c r="C717" t="s">
        <v>1430</v>
      </c>
      <c r="D717" t="s">
        <v>1431</v>
      </c>
      <c r="E717" t="s">
        <v>18</v>
      </c>
      <c r="F717" t="s">
        <v>115</v>
      </c>
      <c r="G717" t="s">
        <v>57</v>
      </c>
      <c r="H717" t="s">
        <v>58</v>
      </c>
      <c r="I717" t="s">
        <v>129</v>
      </c>
      <c r="J717">
        <v>2</v>
      </c>
      <c r="K717">
        <v>4800</v>
      </c>
      <c r="L717">
        <v>0.2</v>
      </c>
      <c r="M717">
        <v>7680</v>
      </c>
      <c r="N717">
        <v>6600</v>
      </c>
      <c r="O717">
        <v>1080</v>
      </c>
    </row>
    <row r="718" spans="1:15" x14ac:dyDescent="0.25">
      <c r="A718" t="s">
        <v>1537</v>
      </c>
      <c r="B718" s="2">
        <v>46374</v>
      </c>
      <c r="C718" t="s">
        <v>1538</v>
      </c>
      <c r="D718" t="s">
        <v>1539</v>
      </c>
      <c r="E718" t="s">
        <v>26</v>
      </c>
      <c r="F718" t="s">
        <v>204</v>
      </c>
      <c r="G718" t="s">
        <v>57</v>
      </c>
      <c r="H718" t="s">
        <v>104</v>
      </c>
      <c r="I718" t="s">
        <v>105</v>
      </c>
      <c r="J718">
        <v>4</v>
      </c>
      <c r="K718">
        <v>7500</v>
      </c>
      <c r="L718">
        <v>0.2</v>
      </c>
      <c r="M718">
        <v>24000</v>
      </c>
      <c r="N718">
        <v>20800</v>
      </c>
      <c r="O718">
        <v>3200</v>
      </c>
    </row>
    <row r="719" spans="1:15" x14ac:dyDescent="0.25">
      <c r="A719" t="s">
        <v>1540</v>
      </c>
      <c r="B719" s="2">
        <v>46375</v>
      </c>
      <c r="C719" t="s">
        <v>1541</v>
      </c>
      <c r="D719" t="s">
        <v>1542</v>
      </c>
      <c r="E719" t="s">
        <v>26</v>
      </c>
      <c r="F719" t="s">
        <v>34</v>
      </c>
      <c r="G719" t="s">
        <v>20</v>
      </c>
      <c r="H719" t="s">
        <v>84</v>
      </c>
      <c r="I719" t="s">
        <v>169</v>
      </c>
      <c r="J719">
        <v>2</v>
      </c>
      <c r="K719">
        <v>450</v>
      </c>
      <c r="L719">
        <v>0.1</v>
      </c>
      <c r="M719">
        <v>810</v>
      </c>
      <c r="N719">
        <v>520</v>
      </c>
      <c r="O719">
        <v>290</v>
      </c>
    </row>
    <row r="720" spans="1:15" x14ac:dyDescent="0.25">
      <c r="A720" t="s">
        <v>1543</v>
      </c>
      <c r="B720" s="2">
        <v>46376</v>
      </c>
      <c r="C720" t="s">
        <v>1315</v>
      </c>
      <c r="D720" t="s">
        <v>1316</v>
      </c>
      <c r="E720" t="s">
        <v>26</v>
      </c>
      <c r="F720" t="s">
        <v>128</v>
      </c>
      <c r="G720" t="s">
        <v>51</v>
      </c>
      <c r="H720" t="s">
        <v>52</v>
      </c>
      <c r="I720" t="s">
        <v>208</v>
      </c>
      <c r="J720">
        <v>1</v>
      </c>
      <c r="K720">
        <v>2800</v>
      </c>
      <c r="L720">
        <v>0</v>
      </c>
      <c r="M720">
        <v>2800</v>
      </c>
      <c r="N720">
        <v>1800</v>
      </c>
      <c r="O720">
        <v>1000</v>
      </c>
    </row>
    <row r="721" spans="1:15" x14ac:dyDescent="0.25">
      <c r="A721" t="s">
        <v>1544</v>
      </c>
      <c r="B721" s="2">
        <v>46377</v>
      </c>
      <c r="C721" t="s">
        <v>1022</v>
      </c>
      <c r="D721" t="s">
        <v>1023</v>
      </c>
      <c r="E721" t="s">
        <v>96</v>
      </c>
      <c r="F721" t="s">
        <v>196</v>
      </c>
      <c r="G721" t="s">
        <v>28</v>
      </c>
      <c r="H721" t="s">
        <v>63</v>
      </c>
      <c r="I721" t="s">
        <v>64</v>
      </c>
      <c r="J721">
        <v>3</v>
      </c>
      <c r="K721">
        <v>2400</v>
      </c>
      <c r="L721">
        <v>0.05</v>
      </c>
      <c r="M721">
        <v>6840</v>
      </c>
      <c r="N721">
        <v>4950</v>
      </c>
      <c r="O721">
        <v>1890</v>
      </c>
    </row>
    <row r="722" spans="1:15" x14ac:dyDescent="0.25">
      <c r="A722" t="s">
        <v>1545</v>
      </c>
      <c r="B722" s="2">
        <v>46378</v>
      </c>
      <c r="C722" t="s">
        <v>287</v>
      </c>
      <c r="D722" t="s">
        <v>288</v>
      </c>
      <c r="E722" t="s">
        <v>26</v>
      </c>
      <c r="F722" t="s">
        <v>27</v>
      </c>
      <c r="G722" t="s">
        <v>20</v>
      </c>
      <c r="H722" t="s">
        <v>84</v>
      </c>
      <c r="I722" t="s">
        <v>169</v>
      </c>
      <c r="J722">
        <v>3</v>
      </c>
      <c r="K722">
        <v>450</v>
      </c>
      <c r="L722">
        <v>0.2</v>
      </c>
      <c r="M722">
        <v>1080</v>
      </c>
      <c r="N722">
        <v>780</v>
      </c>
      <c r="O722">
        <v>300</v>
      </c>
    </row>
    <row r="723" spans="1:15" x14ac:dyDescent="0.25">
      <c r="A723" t="s">
        <v>1546</v>
      </c>
      <c r="B723" s="2">
        <v>46379</v>
      </c>
      <c r="C723" t="s">
        <v>538</v>
      </c>
      <c r="D723" t="s">
        <v>539</v>
      </c>
      <c r="E723" t="s">
        <v>96</v>
      </c>
      <c r="F723" t="s">
        <v>120</v>
      </c>
      <c r="G723" t="s">
        <v>51</v>
      </c>
      <c r="H723" t="s">
        <v>52</v>
      </c>
      <c r="I723" t="s">
        <v>53</v>
      </c>
      <c r="J723">
        <v>5</v>
      </c>
      <c r="K723">
        <v>2200</v>
      </c>
      <c r="L723">
        <v>0.2</v>
      </c>
      <c r="M723">
        <v>8800</v>
      </c>
      <c r="N723">
        <v>7250</v>
      </c>
      <c r="O723">
        <v>1550</v>
      </c>
    </row>
    <row r="724" spans="1:15" x14ac:dyDescent="0.25">
      <c r="A724" t="s">
        <v>1547</v>
      </c>
      <c r="B724" s="2">
        <v>46380</v>
      </c>
      <c r="C724" t="s">
        <v>1333</v>
      </c>
      <c r="D724" t="s">
        <v>1334</v>
      </c>
      <c r="E724" t="s">
        <v>26</v>
      </c>
      <c r="F724" t="s">
        <v>204</v>
      </c>
      <c r="G724" t="s">
        <v>57</v>
      </c>
      <c r="H724" t="s">
        <v>58</v>
      </c>
      <c r="I724" t="s">
        <v>129</v>
      </c>
      <c r="J724">
        <v>5</v>
      </c>
      <c r="K724">
        <v>4800</v>
      </c>
      <c r="L724">
        <v>0.25</v>
      </c>
      <c r="M724">
        <v>18000</v>
      </c>
      <c r="N724">
        <v>16500</v>
      </c>
      <c r="O724">
        <v>1500</v>
      </c>
    </row>
    <row r="725" spans="1:15" x14ac:dyDescent="0.25">
      <c r="A725" t="s">
        <v>1548</v>
      </c>
      <c r="B725" s="2">
        <v>46381</v>
      </c>
      <c r="C725" t="s">
        <v>1442</v>
      </c>
      <c r="D725" t="s">
        <v>1443</v>
      </c>
      <c r="E725" t="s">
        <v>39</v>
      </c>
      <c r="F725" t="s">
        <v>76</v>
      </c>
      <c r="G725" t="s">
        <v>20</v>
      </c>
      <c r="H725" t="s">
        <v>84</v>
      </c>
      <c r="I725" t="s">
        <v>210</v>
      </c>
      <c r="J725">
        <v>1</v>
      </c>
      <c r="K725">
        <v>300</v>
      </c>
      <c r="L725">
        <v>0</v>
      </c>
      <c r="M725">
        <v>300</v>
      </c>
      <c r="N725">
        <v>170</v>
      </c>
      <c r="O725">
        <v>130</v>
      </c>
    </row>
    <row r="726" spans="1:15" x14ac:dyDescent="0.25">
      <c r="A726" t="s">
        <v>1549</v>
      </c>
      <c r="B726" s="2">
        <v>46382</v>
      </c>
      <c r="C726" t="s">
        <v>49</v>
      </c>
      <c r="D726" t="s">
        <v>50</v>
      </c>
      <c r="E726" t="s">
        <v>26</v>
      </c>
      <c r="F726" t="s">
        <v>128</v>
      </c>
      <c r="G726" t="s">
        <v>20</v>
      </c>
      <c r="H726" t="s">
        <v>21</v>
      </c>
      <c r="I726" t="s">
        <v>22</v>
      </c>
      <c r="J726">
        <v>2</v>
      </c>
      <c r="K726">
        <v>650</v>
      </c>
      <c r="L726">
        <v>0.2</v>
      </c>
      <c r="M726">
        <v>1040</v>
      </c>
      <c r="N726">
        <v>780</v>
      </c>
      <c r="O726">
        <v>260</v>
      </c>
    </row>
    <row r="727" spans="1:15" x14ac:dyDescent="0.25">
      <c r="A727" t="s">
        <v>1550</v>
      </c>
      <c r="B727" s="2">
        <v>46383</v>
      </c>
      <c r="C727" t="s">
        <v>1551</v>
      </c>
      <c r="D727" t="s">
        <v>1552</v>
      </c>
      <c r="E727" t="s">
        <v>39</v>
      </c>
      <c r="F727" t="s">
        <v>71</v>
      </c>
      <c r="G727" t="s">
        <v>57</v>
      </c>
      <c r="H727" t="s">
        <v>188</v>
      </c>
      <c r="I727" t="s">
        <v>189</v>
      </c>
      <c r="J727">
        <v>3</v>
      </c>
      <c r="K727">
        <v>6200</v>
      </c>
      <c r="L727">
        <v>0.1</v>
      </c>
      <c r="M727">
        <v>16740</v>
      </c>
      <c r="N727">
        <v>12900</v>
      </c>
      <c r="O727">
        <v>3840</v>
      </c>
    </row>
    <row r="728" spans="1:15" x14ac:dyDescent="0.25">
      <c r="A728" t="s">
        <v>1553</v>
      </c>
      <c r="B728" s="2">
        <v>46384</v>
      </c>
      <c r="C728" t="s">
        <v>567</v>
      </c>
      <c r="D728" t="s">
        <v>568</v>
      </c>
      <c r="E728" t="s">
        <v>26</v>
      </c>
      <c r="F728" t="s">
        <v>46</v>
      </c>
      <c r="G728" t="s">
        <v>28</v>
      </c>
      <c r="H728" t="s">
        <v>29</v>
      </c>
      <c r="I728" t="s">
        <v>30</v>
      </c>
      <c r="J728">
        <v>1</v>
      </c>
      <c r="K728">
        <v>1900</v>
      </c>
      <c r="L728">
        <v>0.15</v>
      </c>
      <c r="M728">
        <v>1615</v>
      </c>
      <c r="N728">
        <v>1250</v>
      </c>
      <c r="O728">
        <v>365</v>
      </c>
    </row>
    <row r="729" spans="1:15" x14ac:dyDescent="0.25">
      <c r="A729" t="s">
        <v>1554</v>
      </c>
      <c r="B729" s="2">
        <v>46385</v>
      </c>
      <c r="C729" t="s">
        <v>1025</v>
      </c>
      <c r="D729" t="s">
        <v>1026</v>
      </c>
      <c r="E729" t="s">
        <v>39</v>
      </c>
      <c r="F729" t="s">
        <v>40</v>
      </c>
      <c r="G729" t="s">
        <v>51</v>
      </c>
      <c r="H729" t="s">
        <v>52</v>
      </c>
      <c r="I729" t="s">
        <v>208</v>
      </c>
      <c r="J729">
        <v>3</v>
      </c>
      <c r="K729">
        <v>2800</v>
      </c>
      <c r="L729">
        <v>0.05</v>
      </c>
      <c r="M729">
        <v>7980</v>
      </c>
      <c r="N729">
        <v>5400</v>
      </c>
      <c r="O729">
        <v>2580</v>
      </c>
    </row>
    <row r="730" spans="1:15" x14ac:dyDescent="0.25">
      <c r="A730" t="s">
        <v>1555</v>
      </c>
      <c r="B730" s="2">
        <v>46386</v>
      </c>
      <c r="C730" t="s">
        <v>1556</v>
      </c>
      <c r="D730" t="s">
        <v>1557</v>
      </c>
      <c r="E730" t="s">
        <v>18</v>
      </c>
      <c r="F730" t="s">
        <v>94</v>
      </c>
      <c r="G730" t="s">
        <v>51</v>
      </c>
      <c r="H730" t="s">
        <v>21</v>
      </c>
      <c r="I730" t="s">
        <v>72</v>
      </c>
      <c r="J730">
        <v>5</v>
      </c>
      <c r="K730">
        <v>1800</v>
      </c>
      <c r="L730">
        <v>0.2</v>
      </c>
      <c r="M730">
        <v>7200</v>
      </c>
      <c r="N730">
        <v>5500</v>
      </c>
      <c r="O730">
        <v>1700</v>
      </c>
    </row>
    <row r="731" spans="1:15" x14ac:dyDescent="0.25">
      <c r="A731" t="s">
        <v>1558</v>
      </c>
      <c r="B731" s="2">
        <v>46387</v>
      </c>
      <c r="C731" t="s">
        <v>140</v>
      </c>
      <c r="D731" t="s">
        <v>141</v>
      </c>
      <c r="E731" t="s">
        <v>26</v>
      </c>
      <c r="F731" t="s">
        <v>46</v>
      </c>
      <c r="G731" t="s">
        <v>20</v>
      </c>
      <c r="H731" t="s">
        <v>84</v>
      </c>
      <c r="I731" t="s">
        <v>169</v>
      </c>
      <c r="J731">
        <v>2</v>
      </c>
      <c r="K731">
        <v>450</v>
      </c>
      <c r="L731">
        <v>0.2</v>
      </c>
      <c r="M731">
        <v>720</v>
      </c>
      <c r="N731">
        <v>520</v>
      </c>
      <c r="O731">
        <v>200</v>
      </c>
    </row>
    <row r="732" spans="1:15" x14ac:dyDescent="0.25">
      <c r="A732" t="s">
        <v>1559</v>
      </c>
      <c r="B732" s="2">
        <v>46388</v>
      </c>
      <c r="C732" t="s">
        <v>1040</v>
      </c>
      <c r="D732" t="s">
        <v>1041</v>
      </c>
      <c r="E732" t="s">
        <v>26</v>
      </c>
      <c r="F732" t="s">
        <v>128</v>
      </c>
      <c r="G732" t="s">
        <v>20</v>
      </c>
      <c r="H732" t="s">
        <v>84</v>
      </c>
      <c r="I732" t="s">
        <v>169</v>
      </c>
      <c r="J732">
        <v>3</v>
      </c>
      <c r="K732">
        <v>450</v>
      </c>
      <c r="L732">
        <v>0.1</v>
      </c>
      <c r="M732">
        <v>1215</v>
      </c>
      <c r="N732">
        <v>780</v>
      </c>
      <c r="O732">
        <v>435</v>
      </c>
    </row>
    <row r="733" spans="1:15" x14ac:dyDescent="0.25">
      <c r="A733" t="s">
        <v>1560</v>
      </c>
      <c r="B733" s="2">
        <v>46389</v>
      </c>
      <c r="C733" t="s">
        <v>775</v>
      </c>
      <c r="D733" t="s">
        <v>776</v>
      </c>
      <c r="E733" t="s">
        <v>26</v>
      </c>
      <c r="F733" t="s">
        <v>46</v>
      </c>
      <c r="G733" t="s">
        <v>57</v>
      </c>
      <c r="H733" t="s">
        <v>58</v>
      </c>
      <c r="I733" t="s">
        <v>59</v>
      </c>
      <c r="J733">
        <v>3</v>
      </c>
      <c r="K733">
        <v>5600</v>
      </c>
      <c r="L733">
        <v>0.05</v>
      </c>
      <c r="M733">
        <v>15960</v>
      </c>
      <c r="N733">
        <v>11700</v>
      </c>
      <c r="O733">
        <v>4260</v>
      </c>
    </row>
    <row r="734" spans="1:15" x14ac:dyDescent="0.25">
      <c r="A734" t="s">
        <v>1561</v>
      </c>
      <c r="B734" s="2">
        <v>46390</v>
      </c>
      <c r="C734" t="s">
        <v>524</v>
      </c>
      <c r="D734" t="s">
        <v>525</v>
      </c>
      <c r="E734" t="s">
        <v>39</v>
      </c>
      <c r="F734" t="s">
        <v>124</v>
      </c>
      <c r="G734" t="s">
        <v>51</v>
      </c>
      <c r="H734" t="s">
        <v>21</v>
      </c>
      <c r="I734" t="s">
        <v>116</v>
      </c>
      <c r="J734">
        <v>1</v>
      </c>
      <c r="K734">
        <v>1400</v>
      </c>
      <c r="L734">
        <v>0.05</v>
      </c>
      <c r="M734">
        <v>1330</v>
      </c>
      <c r="N734">
        <v>900</v>
      </c>
      <c r="O734">
        <v>430</v>
      </c>
    </row>
    <row r="735" spans="1:15" x14ac:dyDescent="0.25">
      <c r="A735" t="s">
        <v>1562</v>
      </c>
      <c r="B735" s="2">
        <v>46391</v>
      </c>
      <c r="C735" t="s">
        <v>1563</v>
      </c>
      <c r="D735" t="s">
        <v>1564</v>
      </c>
      <c r="E735" t="s">
        <v>26</v>
      </c>
      <c r="F735" t="s">
        <v>46</v>
      </c>
      <c r="G735" t="s">
        <v>51</v>
      </c>
      <c r="H735" t="s">
        <v>21</v>
      </c>
      <c r="I735" t="s">
        <v>72</v>
      </c>
      <c r="J735">
        <v>5</v>
      </c>
      <c r="K735">
        <v>1800</v>
      </c>
      <c r="L735">
        <v>0.2</v>
      </c>
      <c r="M735">
        <v>7200</v>
      </c>
      <c r="N735">
        <v>5500</v>
      </c>
      <c r="O735">
        <v>1700</v>
      </c>
    </row>
    <row r="736" spans="1:15" x14ac:dyDescent="0.25">
      <c r="A736" t="s">
        <v>1565</v>
      </c>
      <c r="B736" s="2">
        <v>46392</v>
      </c>
      <c r="C736" t="s">
        <v>1003</v>
      </c>
      <c r="D736" t="s">
        <v>1004</v>
      </c>
      <c r="E736" t="s">
        <v>26</v>
      </c>
      <c r="F736" t="s">
        <v>46</v>
      </c>
      <c r="G736" t="s">
        <v>57</v>
      </c>
      <c r="H736" t="s">
        <v>58</v>
      </c>
      <c r="I736" t="s">
        <v>129</v>
      </c>
      <c r="J736">
        <v>1</v>
      </c>
      <c r="K736">
        <v>4800</v>
      </c>
      <c r="L736">
        <v>0.1</v>
      </c>
      <c r="M736">
        <v>4320</v>
      </c>
      <c r="N736">
        <v>3300</v>
      </c>
      <c r="O736">
        <v>1020</v>
      </c>
    </row>
    <row r="737" spans="1:15" x14ac:dyDescent="0.25">
      <c r="A737" t="s">
        <v>1566</v>
      </c>
      <c r="B737" s="2">
        <v>46393</v>
      </c>
      <c r="C737" t="s">
        <v>1567</v>
      </c>
      <c r="D737" t="s">
        <v>1568</v>
      </c>
      <c r="E737" t="s">
        <v>96</v>
      </c>
      <c r="F737" t="s">
        <v>97</v>
      </c>
      <c r="G737" t="s">
        <v>20</v>
      </c>
      <c r="H737" t="s">
        <v>84</v>
      </c>
      <c r="I737" t="s">
        <v>169</v>
      </c>
      <c r="J737">
        <v>2</v>
      </c>
      <c r="K737">
        <v>450</v>
      </c>
      <c r="L737">
        <v>0.15</v>
      </c>
      <c r="M737">
        <v>765</v>
      </c>
      <c r="N737">
        <v>520</v>
      </c>
      <c r="O737">
        <v>245</v>
      </c>
    </row>
    <row r="738" spans="1:15" x14ac:dyDescent="0.25">
      <c r="A738" t="s">
        <v>1569</v>
      </c>
      <c r="B738" s="2">
        <v>46394</v>
      </c>
      <c r="C738" t="s">
        <v>588</v>
      </c>
      <c r="D738" t="s">
        <v>589</v>
      </c>
      <c r="E738" t="s">
        <v>96</v>
      </c>
      <c r="F738" t="s">
        <v>200</v>
      </c>
      <c r="G738" t="s">
        <v>28</v>
      </c>
      <c r="H738" t="s">
        <v>29</v>
      </c>
      <c r="I738" t="s">
        <v>47</v>
      </c>
      <c r="J738">
        <v>1</v>
      </c>
      <c r="K738">
        <v>6800</v>
      </c>
      <c r="L738">
        <v>0.1</v>
      </c>
      <c r="M738">
        <v>6120</v>
      </c>
      <c r="N738">
        <v>4700</v>
      </c>
      <c r="O738">
        <v>1420</v>
      </c>
    </row>
    <row r="739" spans="1:15" x14ac:dyDescent="0.25">
      <c r="A739" t="s">
        <v>1570</v>
      </c>
      <c r="B739" s="2">
        <v>46395</v>
      </c>
      <c r="C739" t="s">
        <v>1354</v>
      </c>
      <c r="D739" t="s">
        <v>1355</v>
      </c>
      <c r="E739" t="s">
        <v>26</v>
      </c>
      <c r="F739" t="s">
        <v>27</v>
      </c>
      <c r="G739" t="s">
        <v>57</v>
      </c>
      <c r="H739" t="s">
        <v>58</v>
      </c>
      <c r="I739" t="s">
        <v>129</v>
      </c>
      <c r="J739">
        <v>5</v>
      </c>
      <c r="K739">
        <v>4800</v>
      </c>
      <c r="L739">
        <v>0.15</v>
      </c>
      <c r="M739">
        <v>20400</v>
      </c>
      <c r="N739">
        <v>16500</v>
      </c>
      <c r="O739">
        <v>3900</v>
      </c>
    </row>
    <row r="740" spans="1:15" x14ac:dyDescent="0.25">
      <c r="A740" t="s">
        <v>1571</v>
      </c>
      <c r="B740" s="2">
        <v>46396</v>
      </c>
      <c r="C740" t="s">
        <v>393</v>
      </c>
      <c r="D740" t="s">
        <v>394</v>
      </c>
      <c r="E740" t="s">
        <v>18</v>
      </c>
      <c r="F740" t="s">
        <v>227</v>
      </c>
      <c r="G740" t="s">
        <v>28</v>
      </c>
      <c r="H740" t="s">
        <v>29</v>
      </c>
      <c r="I740" t="s">
        <v>47</v>
      </c>
      <c r="J740">
        <v>4</v>
      </c>
      <c r="K740">
        <v>6800</v>
      </c>
      <c r="L740">
        <v>0.05</v>
      </c>
      <c r="M740">
        <v>25840</v>
      </c>
      <c r="N740">
        <v>18800</v>
      </c>
      <c r="O740">
        <v>7040</v>
      </c>
    </row>
    <row r="741" spans="1:15" x14ac:dyDescent="0.25">
      <c r="A741" t="s">
        <v>1572</v>
      </c>
      <c r="B741" s="2">
        <v>46397</v>
      </c>
      <c r="C741" t="s">
        <v>453</v>
      </c>
      <c r="D741" t="s">
        <v>454</v>
      </c>
      <c r="E741" t="s">
        <v>96</v>
      </c>
      <c r="F741" t="s">
        <v>196</v>
      </c>
      <c r="G741" t="s">
        <v>28</v>
      </c>
      <c r="H741" t="s">
        <v>29</v>
      </c>
      <c r="I741" t="s">
        <v>35</v>
      </c>
      <c r="J741">
        <v>4</v>
      </c>
      <c r="K741">
        <v>4200</v>
      </c>
      <c r="L741">
        <v>0.1</v>
      </c>
      <c r="M741">
        <v>15120</v>
      </c>
      <c r="N741">
        <v>11600</v>
      </c>
      <c r="O741">
        <v>3520</v>
      </c>
    </row>
    <row r="742" spans="1:15" x14ac:dyDescent="0.25">
      <c r="A742" t="s">
        <v>1573</v>
      </c>
      <c r="B742" s="2">
        <v>46398</v>
      </c>
      <c r="C742" t="s">
        <v>760</v>
      </c>
      <c r="D742" t="s">
        <v>761</v>
      </c>
      <c r="E742" t="s">
        <v>39</v>
      </c>
      <c r="F742" t="s">
        <v>124</v>
      </c>
      <c r="G742" t="s">
        <v>28</v>
      </c>
      <c r="H742" t="s">
        <v>63</v>
      </c>
      <c r="I742" t="s">
        <v>64</v>
      </c>
      <c r="J742">
        <v>2</v>
      </c>
      <c r="K742">
        <v>2400</v>
      </c>
      <c r="L742">
        <v>0.05</v>
      </c>
      <c r="M742">
        <v>4560</v>
      </c>
      <c r="N742">
        <v>3300</v>
      </c>
      <c r="O742">
        <v>1260</v>
      </c>
    </row>
    <row r="743" spans="1:15" x14ac:dyDescent="0.25">
      <c r="A743" t="s">
        <v>1574</v>
      </c>
      <c r="B743" s="2">
        <v>46399</v>
      </c>
      <c r="C743" t="s">
        <v>459</v>
      </c>
      <c r="D743" t="s">
        <v>460</v>
      </c>
      <c r="E743" t="s">
        <v>39</v>
      </c>
      <c r="F743" t="s">
        <v>71</v>
      </c>
      <c r="G743" t="s">
        <v>57</v>
      </c>
      <c r="H743" t="s">
        <v>188</v>
      </c>
      <c r="I743" t="s">
        <v>189</v>
      </c>
      <c r="J743">
        <v>4</v>
      </c>
      <c r="K743">
        <v>6200</v>
      </c>
      <c r="L743">
        <v>0</v>
      </c>
      <c r="M743">
        <v>24800</v>
      </c>
      <c r="N743">
        <v>17200</v>
      </c>
      <c r="O743">
        <v>7600</v>
      </c>
    </row>
    <row r="744" spans="1:15" x14ac:dyDescent="0.25">
      <c r="A744" t="s">
        <v>1575</v>
      </c>
      <c r="B744" s="2">
        <v>46400</v>
      </c>
      <c r="C744" t="s">
        <v>1281</v>
      </c>
      <c r="D744" t="s">
        <v>1282</v>
      </c>
      <c r="E744" t="s">
        <v>26</v>
      </c>
      <c r="F744" t="s">
        <v>27</v>
      </c>
      <c r="G744" t="s">
        <v>20</v>
      </c>
      <c r="H744" t="s">
        <v>84</v>
      </c>
      <c r="I744" t="s">
        <v>169</v>
      </c>
      <c r="J744">
        <v>2</v>
      </c>
      <c r="K744">
        <v>450</v>
      </c>
      <c r="L744">
        <v>0.25</v>
      </c>
      <c r="M744">
        <v>675</v>
      </c>
      <c r="N744">
        <v>520</v>
      </c>
      <c r="O744">
        <v>155</v>
      </c>
    </row>
    <row r="745" spans="1:15" x14ac:dyDescent="0.25">
      <c r="A745" t="s">
        <v>1576</v>
      </c>
      <c r="B745" s="2">
        <v>46401</v>
      </c>
      <c r="C745" t="s">
        <v>912</v>
      </c>
      <c r="D745" t="s">
        <v>913</v>
      </c>
      <c r="E745" t="s">
        <v>18</v>
      </c>
      <c r="F745" t="s">
        <v>94</v>
      </c>
      <c r="G745" t="s">
        <v>57</v>
      </c>
      <c r="H745" t="s">
        <v>104</v>
      </c>
      <c r="I745" t="s">
        <v>105</v>
      </c>
      <c r="J745">
        <v>2</v>
      </c>
      <c r="K745">
        <v>7500</v>
      </c>
      <c r="L745">
        <v>0.1</v>
      </c>
      <c r="M745">
        <v>13500</v>
      </c>
      <c r="N745">
        <v>10400</v>
      </c>
      <c r="O745">
        <v>3100</v>
      </c>
    </row>
    <row r="746" spans="1:15" x14ac:dyDescent="0.25">
      <c r="A746" t="s">
        <v>1577</v>
      </c>
      <c r="B746" s="2">
        <v>46402</v>
      </c>
      <c r="C746" t="s">
        <v>876</v>
      </c>
      <c r="D746" t="s">
        <v>877</v>
      </c>
      <c r="E746" t="s">
        <v>39</v>
      </c>
      <c r="F746" t="s">
        <v>124</v>
      </c>
      <c r="G746" t="s">
        <v>57</v>
      </c>
      <c r="H746" t="s">
        <v>104</v>
      </c>
      <c r="I746" t="s">
        <v>105</v>
      </c>
      <c r="J746">
        <v>5</v>
      </c>
      <c r="K746">
        <v>7500</v>
      </c>
      <c r="L746">
        <v>0.05</v>
      </c>
      <c r="M746">
        <v>35625</v>
      </c>
      <c r="N746">
        <v>26000</v>
      </c>
      <c r="O746">
        <v>9625</v>
      </c>
    </row>
    <row r="747" spans="1:15" x14ac:dyDescent="0.25">
      <c r="A747" t="s">
        <v>1578</v>
      </c>
      <c r="B747" s="2">
        <v>46403</v>
      </c>
      <c r="C747" t="s">
        <v>1417</v>
      </c>
      <c r="D747" t="s">
        <v>1418</v>
      </c>
      <c r="E747" t="s">
        <v>26</v>
      </c>
      <c r="F747" t="s">
        <v>46</v>
      </c>
      <c r="G747" t="s">
        <v>57</v>
      </c>
      <c r="H747" t="s">
        <v>58</v>
      </c>
      <c r="I747" t="s">
        <v>59</v>
      </c>
      <c r="J747">
        <v>5</v>
      </c>
      <c r="K747">
        <v>5600</v>
      </c>
      <c r="L747">
        <v>0.1</v>
      </c>
      <c r="M747">
        <v>25200</v>
      </c>
      <c r="N747">
        <v>19500</v>
      </c>
      <c r="O747">
        <v>5700</v>
      </c>
    </row>
    <row r="748" spans="1:15" x14ac:dyDescent="0.25">
      <c r="A748" t="s">
        <v>1579</v>
      </c>
      <c r="B748" s="2">
        <v>46404</v>
      </c>
      <c r="C748" t="s">
        <v>1031</v>
      </c>
      <c r="D748" t="s">
        <v>1032</v>
      </c>
      <c r="E748" t="s">
        <v>26</v>
      </c>
      <c r="F748" t="s">
        <v>128</v>
      </c>
      <c r="G748" t="s">
        <v>20</v>
      </c>
      <c r="H748" t="s">
        <v>41</v>
      </c>
      <c r="I748" t="s">
        <v>42</v>
      </c>
      <c r="J748">
        <v>2</v>
      </c>
      <c r="K748">
        <v>520</v>
      </c>
      <c r="L748">
        <v>0.2</v>
      </c>
      <c r="M748">
        <v>832</v>
      </c>
      <c r="N748">
        <v>660</v>
      </c>
      <c r="O748">
        <v>172</v>
      </c>
    </row>
    <row r="749" spans="1:15" x14ac:dyDescent="0.25">
      <c r="A749" t="s">
        <v>1580</v>
      </c>
      <c r="B749" s="2">
        <v>46405</v>
      </c>
      <c r="C749" t="s">
        <v>1581</v>
      </c>
      <c r="D749" t="s">
        <v>1582</v>
      </c>
      <c r="E749" t="s">
        <v>26</v>
      </c>
      <c r="F749" t="s">
        <v>27</v>
      </c>
      <c r="G749" t="s">
        <v>28</v>
      </c>
      <c r="H749" t="s">
        <v>29</v>
      </c>
      <c r="I749" t="s">
        <v>47</v>
      </c>
      <c r="J749">
        <v>1</v>
      </c>
      <c r="K749">
        <v>6800</v>
      </c>
      <c r="L749">
        <v>0.25</v>
      </c>
      <c r="M749">
        <v>5100</v>
      </c>
      <c r="N749">
        <v>4700</v>
      </c>
      <c r="O749">
        <v>400</v>
      </c>
    </row>
    <row r="750" spans="1:15" x14ac:dyDescent="0.25">
      <c r="A750" t="s">
        <v>1583</v>
      </c>
      <c r="B750" s="2">
        <v>46406</v>
      </c>
      <c r="C750" t="s">
        <v>1584</v>
      </c>
      <c r="D750" t="s">
        <v>1585</v>
      </c>
      <c r="E750" t="s">
        <v>96</v>
      </c>
      <c r="F750" t="s">
        <v>200</v>
      </c>
      <c r="G750" t="s">
        <v>51</v>
      </c>
      <c r="H750" t="s">
        <v>21</v>
      </c>
      <c r="I750" t="s">
        <v>72</v>
      </c>
      <c r="J750">
        <v>2</v>
      </c>
      <c r="K750">
        <v>1800</v>
      </c>
      <c r="L750">
        <v>0.2</v>
      </c>
      <c r="M750">
        <v>2880</v>
      </c>
      <c r="N750">
        <v>2200</v>
      </c>
      <c r="O750">
        <v>680</v>
      </c>
    </row>
    <row r="751" spans="1:15" x14ac:dyDescent="0.25">
      <c r="A751" t="s">
        <v>1586</v>
      </c>
      <c r="B751" s="2">
        <v>46407</v>
      </c>
      <c r="C751" t="s">
        <v>1246</v>
      </c>
      <c r="D751" t="s">
        <v>1247</v>
      </c>
      <c r="E751" t="s">
        <v>26</v>
      </c>
      <c r="F751" t="s">
        <v>34</v>
      </c>
      <c r="G751" t="s">
        <v>51</v>
      </c>
      <c r="H751" t="s">
        <v>21</v>
      </c>
      <c r="I751" t="s">
        <v>72</v>
      </c>
      <c r="J751">
        <v>4</v>
      </c>
      <c r="K751">
        <v>1800</v>
      </c>
      <c r="L751">
        <v>0.05</v>
      </c>
      <c r="M751">
        <v>6840</v>
      </c>
      <c r="N751">
        <v>4400</v>
      </c>
      <c r="O751">
        <v>2440</v>
      </c>
    </row>
    <row r="752" spans="1:15" x14ac:dyDescent="0.25">
      <c r="A752" t="s">
        <v>1587</v>
      </c>
      <c r="B752" s="2">
        <v>46408</v>
      </c>
      <c r="C752" t="s">
        <v>562</v>
      </c>
      <c r="D752" t="s">
        <v>563</v>
      </c>
      <c r="E752" t="s">
        <v>26</v>
      </c>
      <c r="F752" t="s">
        <v>46</v>
      </c>
      <c r="G752" t="s">
        <v>20</v>
      </c>
      <c r="H752" t="s">
        <v>21</v>
      </c>
      <c r="I752" t="s">
        <v>22</v>
      </c>
      <c r="J752">
        <v>4</v>
      </c>
      <c r="K752">
        <v>650</v>
      </c>
      <c r="L752">
        <v>0</v>
      </c>
      <c r="M752">
        <v>2600</v>
      </c>
      <c r="N752">
        <v>1560</v>
      </c>
      <c r="O752">
        <v>1040</v>
      </c>
    </row>
    <row r="753" spans="1:15" x14ac:dyDescent="0.25">
      <c r="A753" t="s">
        <v>1588</v>
      </c>
      <c r="B753" s="2">
        <v>46409</v>
      </c>
      <c r="C753" t="s">
        <v>1589</v>
      </c>
      <c r="D753" t="s">
        <v>1590</v>
      </c>
      <c r="E753" t="s">
        <v>96</v>
      </c>
      <c r="F753" t="s">
        <v>97</v>
      </c>
      <c r="G753" t="s">
        <v>51</v>
      </c>
      <c r="H753" t="s">
        <v>21</v>
      </c>
      <c r="I753" t="s">
        <v>116</v>
      </c>
      <c r="J753">
        <v>3</v>
      </c>
      <c r="K753">
        <v>1400</v>
      </c>
      <c r="L753">
        <v>0</v>
      </c>
      <c r="M753">
        <v>4200</v>
      </c>
      <c r="N753">
        <v>2700</v>
      </c>
      <c r="O753">
        <v>1500</v>
      </c>
    </row>
    <row r="754" spans="1:15" x14ac:dyDescent="0.25">
      <c r="A754" t="s">
        <v>1591</v>
      </c>
      <c r="B754" s="2">
        <v>46410</v>
      </c>
      <c r="C754" t="s">
        <v>82</v>
      </c>
      <c r="D754" t="s">
        <v>83</v>
      </c>
      <c r="E754" t="s">
        <v>26</v>
      </c>
      <c r="F754" t="s">
        <v>46</v>
      </c>
      <c r="G754" t="s">
        <v>28</v>
      </c>
      <c r="H754" t="s">
        <v>29</v>
      </c>
      <c r="I754" t="s">
        <v>35</v>
      </c>
      <c r="J754">
        <v>3</v>
      </c>
      <c r="K754">
        <v>4200</v>
      </c>
      <c r="L754">
        <v>0.2</v>
      </c>
      <c r="M754">
        <v>10080</v>
      </c>
      <c r="N754">
        <v>8700</v>
      </c>
      <c r="O754">
        <v>1380</v>
      </c>
    </row>
    <row r="755" spans="1:15" x14ac:dyDescent="0.25">
      <c r="A755" t="s">
        <v>1592</v>
      </c>
      <c r="B755" s="2">
        <v>46411</v>
      </c>
      <c r="C755" t="s">
        <v>314</v>
      </c>
      <c r="D755" t="s">
        <v>315</v>
      </c>
      <c r="E755" t="s">
        <v>26</v>
      </c>
      <c r="F755" t="s">
        <v>204</v>
      </c>
      <c r="G755" t="s">
        <v>51</v>
      </c>
      <c r="H755" t="s">
        <v>21</v>
      </c>
      <c r="I755" t="s">
        <v>116</v>
      </c>
      <c r="J755">
        <v>3</v>
      </c>
      <c r="K755">
        <v>1400</v>
      </c>
      <c r="L755">
        <v>0.2</v>
      </c>
      <c r="M755">
        <v>3360</v>
      </c>
      <c r="N755">
        <v>2700</v>
      </c>
      <c r="O755">
        <v>660</v>
      </c>
    </row>
    <row r="756" spans="1:15" x14ac:dyDescent="0.25">
      <c r="A756" t="s">
        <v>1593</v>
      </c>
      <c r="B756" s="2">
        <v>46412</v>
      </c>
      <c r="C756" t="s">
        <v>853</v>
      </c>
      <c r="D756" t="s">
        <v>854</v>
      </c>
      <c r="E756" t="s">
        <v>39</v>
      </c>
      <c r="F756" t="s">
        <v>124</v>
      </c>
      <c r="G756" t="s">
        <v>28</v>
      </c>
      <c r="H756" t="s">
        <v>29</v>
      </c>
      <c r="I756" t="s">
        <v>30</v>
      </c>
      <c r="J756">
        <v>5</v>
      </c>
      <c r="K756">
        <v>1900</v>
      </c>
      <c r="L756">
        <v>0.15</v>
      </c>
      <c r="M756">
        <v>8075</v>
      </c>
      <c r="N756">
        <v>6250</v>
      </c>
      <c r="O756">
        <v>1825</v>
      </c>
    </row>
    <row r="757" spans="1:15" x14ac:dyDescent="0.25">
      <c r="A757" t="s">
        <v>1594</v>
      </c>
      <c r="B757" s="2">
        <v>46413</v>
      </c>
      <c r="C757" t="s">
        <v>1595</v>
      </c>
      <c r="D757" t="s">
        <v>1596</v>
      </c>
      <c r="E757" t="s">
        <v>39</v>
      </c>
      <c r="F757" t="s">
        <v>76</v>
      </c>
      <c r="G757" t="s">
        <v>20</v>
      </c>
      <c r="H757" t="s">
        <v>21</v>
      </c>
      <c r="I757" t="s">
        <v>22</v>
      </c>
      <c r="J757">
        <v>4</v>
      </c>
      <c r="K757">
        <v>650</v>
      </c>
      <c r="L757">
        <v>0.15</v>
      </c>
      <c r="M757">
        <v>2210</v>
      </c>
      <c r="N757">
        <v>1560</v>
      </c>
      <c r="O757">
        <v>650</v>
      </c>
    </row>
    <row r="758" spans="1:15" x14ac:dyDescent="0.25">
      <c r="A758" t="s">
        <v>1597</v>
      </c>
      <c r="B758" s="2">
        <v>46414</v>
      </c>
      <c r="C758" t="s">
        <v>1598</v>
      </c>
      <c r="D758" t="s">
        <v>1599</v>
      </c>
      <c r="E758" t="s">
        <v>39</v>
      </c>
      <c r="F758" t="s">
        <v>124</v>
      </c>
      <c r="G758" t="s">
        <v>20</v>
      </c>
      <c r="H758" t="s">
        <v>84</v>
      </c>
      <c r="I758" t="s">
        <v>210</v>
      </c>
      <c r="J758">
        <v>2</v>
      </c>
      <c r="K758">
        <v>300</v>
      </c>
      <c r="L758">
        <v>0.2</v>
      </c>
      <c r="M758">
        <v>480</v>
      </c>
      <c r="N758">
        <v>340</v>
      </c>
      <c r="O758">
        <v>140</v>
      </c>
    </row>
    <row r="759" spans="1:15" x14ac:dyDescent="0.25">
      <c r="A759" t="s">
        <v>1600</v>
      </c>
      <c r="B759" s="2">
        <v>46415</v>
      </c>
      <c r="C759" t="s">
        <v>1268</v>
      </c>
      <c r="D759" t="s">
        <v>1269</v>
      </c>
      <c r="E759" t="s">
        <v>26</v>
      </c>
      <c r="F759" t="s">
        <v>27</v>
      </c>
      <c r="G759" t="s">
        <v>57</v>
      </c>
      <c r="H759" t="s">
        <v>104</v>
      </c>
      <c r="I759" t="s">
        <v>105</v>
      </c>
      <c r="J759">
        <v>3</v>
      </c>
      <c r="K759">
        <v>7500</v>
      </c>
      <c r="L759">
        <v>0.1</v>
      </c>
      <c r="M759">
        <v>20250</v>
      </c>
      <c r="N759">
        <v>15600</v>
      </c>
      <c r="O759">
        <v>4650</v>
      </c>
    </row>
    <row r="760" spans="1:15" x14ac:dyDescent="0.25">
      <c r="A760" t="s">
        <v>1601</v>
      </c>
      <c r="B760" s="2">
        <v>46416</v>
      </c>
      <c r="C760" t="s">
        <v>1602</v>
      </c>
      <c r="D760" t="s">
        <v>1603</v>
      </c>
      <c r="E760" t="s">
        <v>26</v>
      </c>
      <c r="F760" t="s">
        <v>204</v>
      </c>
      <c r="G760" t="s">
        <v>57</v>
      </c>
      <c r="H760" t="s">
        <v>104</v>
      </c>
      <c r="I760" t="s">
        <v>105</v>
      </c>
      <c r="J760">
        <v>2</v>
      </c>
      <c r="K760">
        <v>7500</v>
      </c>
      <c r="L760">
        <v>0</v>
      </c>
      <c r="M760">
        <v>15000</v>
      </c>
      <c r="N760">
        <v>10400</v>
      </c>
      <c r="O760">
        <v>4600</v>
      </c>
    </row>
    <row r="761" spans="1:15" x14ac:dyDescent="0.25">
      <c r="A761" t="s">
        <v>1604</v>
      </c>
      <c r="B761" s="2">
        <v>46417</v>
      </c>
      <c r="C761" t="s">
        <v>1434</v>
      </c>
      <c r="D761" t="s">
        <v>1435</v>
      </c>
      <c r="E761" t="s">
        <v>26</v>
      </c>
      <c r="F761" t="s">
        <v>34</v>
      </c>
      <c r="G761" t="s">
        <v>20</v>
      </c>
      <c r="H761" t="s">
        <v>84</v>
      </c>
      <c r="I761" t="s">
        <v>85</v>
      </c>
      <c r="J761">
        <v>4</v>
      </c>
      <c r="K761">
        <v>280</v>
      </c>
      <c r="L761">
        <v>0</v>
      </c>
      <c r="M761">
        <v>1120</v>
      </c>
      <c r="N761">
        <v>640</v>
      </c>
      <c r="O761">
        <v>480</v>
      </c>
    </row>
    <row r="762" spans="1:15" x14ac:dyDescent="0.25">
      <c r="A762" t="s">
        <v>1605</v>
      </c>
      <c r="B762" s="2">
        <v>46418</v>
      </c>
      <c r="C762" t="s">
        <v>593</v>
      </c>
      <c r="D762" t="s">
        <v>594</v>
      </c>
      <c r="E762" t="s">
        <v>26</v>
      </c>
      <c r="F762" t="s">
        <v>34</v>
      </c>
      <c r="G762" t="s">
        <v>51</v>
      </c>
      <c r="H762" t="s">
        <v>21</v>
      </c>
      <c r="I762" t="s">
        <v>80</v>
      </c>
      <c r="J762">
        <v>1</v>
      </c>
      <c r="K762">
        <v>850</v>
      </c>
      <c r="L762">
        <v>0.15</v>
      </c>
      <c r="M762">
        <v>722.5</v>
      </c>
      <c r="N762">
        <v>560</v>
      </c>
      <c r="O762">
        <v>162.5</v>
      </c>
    </row>
    <row r="763" spans="1:15" x14ac:dyDescent="0.25">
      <c r="A763" t="s">
        <v>1606</v>
      </c>
      <c r="B763" s="2">
        <v>46419</v>
      </c>
      <c r="C763" t="s">
        <v>167</v>
      </c>
      <c r="D763" t="s">
        <v>168</v>
      </c>
      <c r="E763" t="s">
        <v>96</v>
      </c>
      <c r="F763" t="s">
        <v>120</v>
      </c>
      <c r="G763" t="s">
        <v>51</v>
      </c>
      <c r="H763" t="s">
        <v>52</v>
      </c>
      <c r="I763" t="s">
        <v>208</v>
      </c>
      <c r="J763">
        <v>3</v>
      </c>
      <c r="K763">
        <v>2800</v>
      </c>
      <c r="L763">
        <v>0.1</v>
      </c>
      <c r="M763">
        <v>7560</v>
      </c>
      <c r="N763">
        <v>5400</v>
      </c>
      <c r="O763">
        <v>2160</v>
      </c>
    </row>
    <row r="764" spans="1:15" x14ac:dyDescent="0.25">
      <c r="A764" t="s">
        <v>1607</v>
      </c>
      <c r="B764" s="2">
        <v>46420</v>
      </c>
      <c r="C764" t="s">
        <v>229</v>
      </c>
      <c r="D764" t="s">
        <v>230</v>
      </c>
      <c r="E764" t="s">
        <v>26</v>
      </c>
      <c r="F764" t="s">
        <v>204</v>
      </c>
      <c r="G764" t="s">
        <v>51</v>
      </c>
      <c r="H764" t="s">
        <v>52</v>
      </c>
      <c r="I764" t="s">
        <v>53</v>
      </c>
      <c r="J764">
        <v>2</v>
      </c>
      <c r="K764">
        <v>2200</v>
      </c>
      <c r="L764">
        <v>0.2</v>
      </c>
      <c r="M764">
        <v>3520</v>
      </c>
      <c r="N764">
        <v>2900</v>
      </c>
      <c r="O764">
        <v>620</v>
      </c>
    </row>
    <row r="765" spans="1:15" x14ac:dyDescent="0.25">
      <c r="A765" t="s">
        <v>1608</v>
      </c>
      <c r="B765" s="2">
        <v>46421</v>
      </c>
      <c r="C765" t="s">
        <v>436</v>
      </c>
      <c r="D765" t="s">
        <v>437</v>
      </c>
      <c r="E765" t="s">
        <v>39</v>
      </c>
      <c r="F765" t="s">
        <v>124</v>
      </c>
      <c r="G765" t="s">
        <v>20</v>
      </c>
      <c r="H765" t="s">
        <v>84</v>
      </c>
      <c r="I765" t="s">
        <v>210</v>
      </c>
      <c r="J765">
        <v>2</v>
      </c>
      <c r="K765">
        <v>300</v>
      </c>
      <c r="L765">
        <v>0.1</v>
      </c>
      <c r="M765">
        <v>540</v>
      </c>
      <c r="N765">
        <v>340</v>
      </c>
      <c r="O765">
        <v>200</v>
      </c>
    </row>
    <row r="766" spans="1:15" x14ac:dyDescent="0.25">
      <c r="A766" t="s">
        <v>1609</v>
      </c>
      <c r="B766" s="2">
        <v>46422</v>
      </c>
      <c r="C766" t="s">
        <v>753</v>
      </c>
      <c r="D766" t="s">
        <v>754</v>
      </c>
      <c r="E766" t="s">
        <v>39</v>
      </c>
      <c r="F766" t="s">
        <v>76</v>
      </c>
      <c r="G766" t="s">
        <v>57</v>
      </c>
      <c r="H766" t="s">
        <v>104</v>
      </c>
      <c r="I766" t="s">
        <v>105</v>
      </c>
      <c r="J766">
        <v>3</v>
      </c>
      <c r="K766">
        <v>7500</v>
      </c>
      <c r="L766">
        <v>0</v>
      </c>
      <c r="M766">
        <v>22500</v>
      </c>
      <c r="N766">
        <v>15600</v>
      </c>
      <c r="O766">
        <v>6900</v>
      </c>
    </row>
    <row r="767" spans="1:15" x14ac:dyDescent="0.25">
      <c r="A767" t="s">
        <v>1610</v>
      </c>
      <c r="B767" s="2">
        <v>46423</v>
      </c>
      <c r="C767" t="s">
        <v>343</v>
      </c>
      <c r="D767" t="s">
        <v>344</v>
      </c>
      <c r="E767" t="s">
        <v>39</v>
      </c>
      <c r="F767" t="s">
        <v>124</v>
      </c>
      <c r="G767" t="s">
        <v>51</v>
      </c>
      <c r="H767" t="s">
        <v>52</v>
      </c>
      <c r="I767" t="s">
        <v>208</v>
      </c>
      <c r="J767">
        <v>4</v>
      </c>
      <c r="K767">
        <v>2800</v>
      </c>
      <c r="L767">
        <v>0.1</v>
      </c>
      <c r="M767">
        <v>10080</v>
      </c>
      <c r="N767">
        <v>7200</v>
      </c>
      <c r="O767">
        <v>2880</v>
      </c>
    </row>
    <row r="768" spans="1:15" x14ac:dyDescent="0.25">
      <c r="A768" t="s">
        <v>1611</v>
      </c>
      <c r="B768" s="2">
        <v>46424</v>
      </c>
      <c r="C768" t="s">
        <v>1612</v>
      </c>
      <c r="D768" t="s">
        <v>1613</v>
      </c>
      <c r="E768" t="s">
        <v>96</v>
      </c>
      <c r="F768" t="s">
        <v>200</v>
      </c>
      <c r="G768" t="s">
        <v>28</v>
      </c>
      <c r="H768" t="s">
        <v>29</v>
      </c>
      <c r="I768" t="s">
        <v>30</v>
      </c>
      <c r="J768">
        <v>3</v>
      </c>
      <c r="K768">
        <v>1900</v>
      </c>
      <c r="L768">
        <v>0.1</v>
      </c>
      <c r="M768">
        <v>5130</v>
      </c>
      <c r="N768">
        <v>3750</v>
      </c>
      <c r="O768">
        <v>1380</v>
      </c>
    </row>
    <row r="769" spans="1:15" x14ac:dyDescent="0.25">
      <c r="A769" t="s">
        <v>1614</v>
      </c>
      <c r="B769" s="2">
        <v>46425</v>
      </c>
      <c r="C769" t="s">
        <v>1354</v>
      </c>
      <c r="D769" t="s">
        <v>1355</v>
      </c>
      <c r="E769" t="s">
        <v>26</v>
      </c>
      <c r="F769" t="s">
        <v>34</v>
      </c>
      <c r="G769" t="s">
        <v>28</v>
      </c>
      <c r="H769" t="s">
        <v>29</v>
      </c>
      <c r="I769" t="s">
        <v>35</v>
      </c>
      <c r="J769">
        <v>5</v>
      </c>
      <c r="K769">
        <v>4200</v>
      </c>
      <c r="L769">
        <v>0.1</v>
      </c>
      <c r="M769">
        <v>18900</v>
      </c>
      <c r="N769">
        <v>14500</v>
      </c>
      <c r="O769">
        <v>4400</v>
      </c>
    </row>
    <row r="770" spans="1:15" x14ac:dyDescent="0.25">
      <c r="A770" t="s">
        <v>1615</v>
      </c>
      <c r="B770" s="2">
        <v>46426</v>
      </c>
      <c r="C770" t="s">
        <v>1616</v>
      </c>
      <c r="D770" t="s">
        <v>1617</v>
      </c>
      <c r="E770" t="s">
        <v>96</v>
      </c>
      <c r="F770" t="s">
        <v>120</v>
      </c>
      <c r="G770" t="s">
        <v>20</v>
      </c>
      <c r="H770" t="s">
        <v>41</v>
      </c>
      <c r="I770" t="s">
        <v>42</v>
      </c>
      <c r="J770">
        <v>4</v>
      </c>
      <c r="K770">
        <v>520</v>
      </c>
      <c r="L770">
        <v>0.1</v>
      </c>
      <c r="M770">
        <v>1872</v>
      </c>
      <c r="N770">
        <v>1320</v>
      </c>
      <c r="O770">
        <v>552</v>
      </c>
    </row>
    <row r="771" spans="1:15" x14ac:dyDescent="0.25">
      <c r="A771" t="s">
        <v>1618</v>
      </c>
      <c r="B771" s="2">
        <v>46427</v>
      </c>
      <c r="C771" t="s">
        <v>562</v>
      </c>
      <c r="D771" t="s">
        <v>563</v>
      </c>
      <c r="E771" t="s">
        <v>26</v>
      </c>
      <c r="F771" t="s">
        <v>34</v>
      </c>
      <c r="G771" t="s">
        <v>20</v>
      </c>
      <c r="H771" t="s">
        <v>41</v>
      </c>
      <c r="I771" t="s">
        <v>42</v>
      </c>
      <c r="J771">
        <v>1</v>
      </c>
      <c r="K771">
        <v>520</v>
      </c>
      <c r="L771">
        <v>0.05</v>
      </c>
      <c r="M771">
        <v>494</v>
      </c>
      <c r="N771">
        <v>330</v>
      </c>
      <c r="O771">
        <v>164</v>
      </c>
    </row>
    <row r="772" spans="1:15" x14ac:dyDescent="0.25">
      <c r="A772" t="s">
        <v>1619</v>
      </c>
      <c r="B772" s="2">
        <v>46428</v>
      </c>
      <c r="C772" t="s">
        <v>1620</v>
      </c>
      <c r="D772" t="s">
        <v>1621</v>
      </c>
      <c r="E772" t="s">
        <v>26</v>
      </c>
      <c r="F772" t="s">
        <v>34</v>
      </c>
      <c r="G772" t="s">
        <v>28</v>
      </c>
      <c r="H772" t="s">
        <v>29</v>
      </c>
      <c r="I772" t="s">
        <v>47</v>
      </c>
      <c r="J772">
        <v>4</v>
      </c>
      <c r="K772">
        <v>6800</v>
      </c>
      <c r="L772">
        <v>0.1</v>
      </c>
      <c r="M772">
        <v>24480</v>
      </c>
      <c r="N772">
        <v>18800</v>
      </c>
      <c r="O772">
        <v>5680</v>
      </c>
    </row>
    <row r="773" spans="1:15" x14ac:dyDescent="0.25">
      <c r="A773" t="s">
        <v>1622</v>
      </c>
      <c r="B773" s="2">
        <v>46429</v>
      </c>
      <c r="C773" t="s">
        <v>1623</v>
      </c>
      <c r="D773" t="s">
        <v>1624</v>
      </c>
      <c r="E773" t="s">
        <v>26</v>
      </c>
      <c r="F773" t="s">
        <v>128</v>
      </c>
      <c r="G773" t="s">
        <v>20</v>
      </c>
      <c r="H773" t="s">
        <v>84</v>
      </c>
      <c r="I773" t="s">
        <v>210</v>
      </c>
      <c r="J773">
        <v>4</v>
      </c>
      <c r="K773">
        <v>300</v>
      </c>
      <c r="L773">
        <v>0.15</v>
      </c>
      <c r="M773">
        <v>1020</v>
      </c>
      <c r="N773">
        <v>680</v>
      </c>
      <c r="O773">
        <v>340</v>
      </c>
    </row>
    <row r="774" spans="1:15" x14ac:dyDescent="0.25">
      <c r="A774" t="s">
        <v>1625</v>
      </c>
      <c r="B774" s="2">
        <v>46430</v>
      </c>
      <c r="C774" t="s">
        <v>1626</v>
      </c>
      <c r="D774" t="s">
        <v>1627</v>
      </c>
      <c r="E774" t="s">
        <v>18</v>
      </c>
      <c r="F774" t="s">
        <v>19</v>
      </c>
      <c r="G774" t="s">
        <v>20</v>
      </c>
      <c r="H774" t="s">
        <v>41</v>
      </c>
      <c r="I774" t="s">
        <v>42</v>
      </c>
      <c r="J774">
        <v>1</v>
      </c>
      <c r="K774">
        <v>520</v>
      </c>
      <c r="L774">
        <v>0.1</v>
      </c>
      <c r="M774">
        <v>468</v>
      </c>
      <c r="N774">
        <v>330</v>
      </c>
      <c r="O774">
        <v>138</v>
      </c>
    </row>
    <row r="775" spans="1:15" x14ac:dyDescent="0.25">
      <c r="A775" t="s">
        <v>1628</v>
      </c>
      <c r="B775" s="2">
        <v>46431</v>
      </c>
      <c r="C775" t="s">
        <v>1629</v>
      </c>
      <c r="D775" t="s">
        <v>1630</v>
      </c>
      <c r="E775" t="s">
        <v>26</v>
      </c>
      <c r="F775" t="s">
        <v>46</v>
      </c>
      <c r="G775" t="s">
        <v>20</v>
      </c>
      <c r="H775" t="s">
        <v>21</v>
      </c>
      <c r="I775" t="s">
        <v>22</v>
      </c>
      <c r="J775">
        <v>2</v>
      </c>
      <c r="K775">
        <v>650</v>
      </c>
      <c r="L775">
        <v>0.2</v>
      </c>
      <c r="M775">
        <v>1040</v>
      </c>
      <c r="N775">
        <v>780</v>
      </c>
      <c r="O775">
        <v>260</v>
      </c>
    </row>
    <row r="776" spans="1:15" x14ac:dyDescent="0.25">
      <c r="A776" t="s">
        <v>1631</v>
      </c>
      <c r="B776" s="2">
        <v>46432</v>
      </c>
      <c r="C776" t="s">
        <v>860</v>
      </c>
      <c r="D776" t="s">
        <v>861</v>
      </c>
      <c r="E776" t="s">
        <v>26</v>
      </c>
      <c r="F776" t="s">
        <v>46</v>
      </c>
      <c r="G776" t="s">
        <v>57</v>
      </c>
      <c r="H776" t="s">
        <v>58</v>
      </c>
      <c r="I776" t="s">
        <v>129</v>
      </c>
      <c r="J776">
        <v>4</v>
      </c>
      <c r="K776">
        <v>4800</v>
      </c>
      <c r="L776">
        <v>0.05</v>
      </c>
      <c r="M776">
        <v>18240</v>
      </c>
      <c r="N776">
        <v>13200</v>
      </c>
      <c r="O776">
        <v>5040</v>
      </c>
    </row>
    <row r="777" spans="1:15" x14ac:dyDescent="0.25">
      <c r="A777" t="s">
        <v>1632</v>
      </c>
      <c r="B777" s="2">
        <v>46433</v>
      </c>
      <c r="C777" t="s">
        <v>1049</v>
      </c>
      <c r="D777" t="s">
        <v>1050</v>
      </c>
      <c r="E777" t="s">
        <v>26</v>
      </c>
      <c r="F777" t="s">
        <v>27</v>
      </c>
      <c r="G777" t="s">
        <v>28</v>
      </c>
      <c r="H777" t="s">
        <v>29</v>
      </c>
      <c r="I777" t="s">
        <v>47</v>
      </c>
      <c r="J777">
        <v>5</v>
      </c>
      <c r="K777">
        <v>6800</v>
      </c>
      <c r="L777">
        <v>0.25</v>
      </c>
      <c r="M777">
        <v>25500</v>
      </c>
      <c r="N777">
        <v>23500</v>
      </c>
      <c r="O777">
        <v>2000</v>
      </c>
    </row>
    <row r="778" spans="1:15" x14ac:dyDescent="0.25">
      <c r="A778" t="s">
        <v>1633</v>
      </c>
      <c r="B778" s="2">
        <v>46434</v>
      </c>
      <c r="C778" t="s">
        <v>1207</v>
      </c>
      <c r="D778" t="s">
        <v>1208</v>
      </c>
      <c r="E778" t="s">
        <v>39</v>
      </c>
      <c r="F778" t="s">
        <v>71</v>
      </c>
      <c r="G778" t="s">
        <v>57</v>
      </c>
      <c r="H778" t="s">
        <v>58</v>
      </c>
      <c r="I778" t="s">
        <v>59</v>
      </c>
      <c r="J778">
        <v>2</v>
      </c>
      <c r="K778">
        <v>5600</v>
      </c>
      <c r="L778">
        <v>0.1</v>
      </c>
      <c r="M778">
        <v>10080</v>
      </c>
      <c r="N778">
        <v>7800</v>
      </c>
      <c r="O778">
        <v>2280</v>
      </c>
    </row>
    <row r="779" spans="1:15" x14ac:dyDescent="0.25">
      <c r="A779" t="s">
        <v>1634</v>
      </c>
      <c r="B779" s="2">
        <v>46435</v>
      </c>
      <c r="C779" t="s">
        <v>1201</v>
      </c>
      <c r="D779" t="s">
        <v>1202</v>
      </c>
      <c r="E779" t="s">
        <v>96</v>
      </c>
      <c r="F779" t="s">
        <v>120</v>
      </c>
      <c r="G779" t="s">
        <v>20</v>
      </c>
      <c r="H779" t="s">
        <v>41</v>
      </c>
      <c r="I779" t="s">
        <v>42</v>
      </c>
      <c r="J779">
        <v>4</v>
      </c>
      <c r="K779">
        <v>520</v>
      </c>
      <c r="L779">
        <v>0.05</v>
      </c>
      <c r="M779">
        <v>1976</v>
      </c>
      <c r="N779">
        <v>1320</v>
      </c>
      <c r="O779">
        <v>656</v>
      </c>
    </row>
    <row r="780" spans="1:15" x14ac:dyDescent="0.25">
      <c r="A780" t="s">
        <v>1635</v>
      </c>
      <c r="B780" s="2">
        <v>46436</v>
      </c>
      <c r="C780" t="s">
        <v>1636</v>
      </c>
      <c r="D780" t="s">
        <v>1637</v>
      </c>
      <c r="E780" t="s">
        <v>39</v>
      </c>
      <c r="F780" t="s">
        <v>71</v>
      </c>
      <c r="G780" t="s">
        <v>51</v>
      </c>
      <c r="H780" t="s">
        <v>52</v>
      </c>
      <c r="I780" t="s">
        <v>53</v>
      </c>
      <c r="J780">
        <v>5</v>
      </c>
      <c r="K780">
        <v>2200</v>
      </c>
      <c r="L780">
        <v>0.15</v>
      </c>
      <c r="M780">
        <v>9350</v>
      </c>
      <c r="N780">
        <v>7250</v>
      </c>
      <c r="O780">
        <v>2100</v>
      </c>
    </row>
    <row r="781" spans="1:15" x14ac:dyDescent="0.25">
      <c r="A781" t="s">
        <v>1638</v>
      </c>
      <c r="B781" s="2">
        <v>46437</v>
      </c>
      <c r="C781" t="s">
        <v>1067</v>
      </c>
      <c r="D781" t="s">
        <v>1068</v>
      </c>
      <c r="E781" t="s">
        <v>26</v>
      </c>
      <c r="F781" t="s">
        <v>204</v>
      </c>
      <c r="G781" t="s">
        <v>20</v>
      </c>
      <c r="H781" t="s">
        <v>84</v>
      </c>
      <c r="I781" t="s">
        <v>210</v>
      </c>
      <c r="J781">
        <v>2</v>
      </c>
      <c r="K781">
        <v>300</v>
      </c>
      <c r="L781">
        <v>0.05</v>
      </c>
      <c r="M781">
        <v>570</v>
      </c>
      <c r="N781">
        <v>340</v>
      </c>
      <c r="O781">
        <v>230</v>
      </c>
    </row>
    <row r="782" spans="1:15" x14ac:dyDescent="0.25">
      <c r="A782" t="s">
        <v>1639</v>
      </c>
      <c r="B782" s="2">
        <v>46438</v>
      </c>
      <c r="C782" t="s">
        <v>1477</v>
      </c>
      <c r="D782" t="s">
        <v>1478</v>
      </c>
      <c r="E782" t="s">
        <v>39</v>
      </c>
      <c r="F782" t="s">
        <v>124</v>
      </c>
      <c r="G782" t="s">
        <v>20</v>
      </c>
      <c r="H782" t="s">
        <v>84</v>
      </c>
      <c r="I782" t="s">
        <v>210</v>
      </c>
      <c r="J782">
        <v>5</v>
      </c>
      <c r="K782">
        <v>300</v>
      </c>
      <c r="L782">
        <v>0.05</v>
      </c>
      <c r="M782">
        <v>1425</v>
      </c>
      <c r="N782">
        <v>850</v>
      </c>
      <c r="O782">
        <v>575</v>
      </c>
    </row>
    <row r="783" spans="1:15" x14ac:dyDescent="0.25">
      <c r="A783" t="s">
        <v>1640</v>
      </c>
      <c r="B783" s="2">
        <v>46439</v>
      </c>
      <c r="C783" t="s">
        <v>1641</v>
      </c>
      <c r="D783" t="s">
        <v>1642</v>
      </c>
      <c r="E783" t="s">
        <v>26</v>
      </c>
      <c r="F783" t="s">
        <v>34</v>
      </c>
      <c r="G783" t="s">
        <v>20</v>
      </c>
      <c r="H783" t="s">
        <v>84</v>
      </c>
      <c r="I783" t="s">
        <v>210</v>
      </c>
      <c r="J783">
        <v>2</v>
      </c>
      <c r="K783">
        <v>300</v>
      </c>
      <c r="L783">
        <v>0.05</v>
      </c>
      <c r="M783">
        <v>570</v>
      </c>
      <c r="N783">
        <v>340</v>
      </c>
      <c r="O783">
        <v>230</v>
      </c>
    </row>
    <row r="784" spans="1:15" x14ac:dyDescent="0.25">
      <c r="A784" t="s">
        <v>1643</v>
      </c>
      <c r="B784" s="2">
        <v>46440</v>
      </c>
      <c r="C784" t="s">
        <v>1556</v>
      </c>
      <c r="D784" t="s">
        <v>1557</v>
      </c>
      <c r="E784" t="s">
        <v>26</v>
      </c>
      <c r="F784" t="s">
        <v>204</v>
      </c>
      <c r="G784" t="s">
        <v>20</v>
      </c>
      <c r="H784" t="s">
        <v>84</v>
      </c>
      <c r="I784" t="s">
        <v>85</v>
      </c>
      <c r="J784">
        <v>3</v>
      </c>
      <c r="K784">
        <v>280</v>
      </c>
      <c r="L784">
        <v>0.15</v>
      </c>
      <c r="M784">
        <v>714</v>
      </c>
      <c r="N784">
        <v>480</v>
      </c>
      <c r="O784">
        <v>234</v>
      </c>
    </row>
    <row r="785" spans="1:15" x14ac:dyDescent="0.25">
      <c r="A785" t="s">
        <v>1644</v>
      </c>
      <c r="B785" s="2">
        <v>46441</v>
      </c>
      <c r="C785" t="s">
        <v>1193</v>
      </c>
      <c r="D785" t="s">
        <v>1194</v>
      </c>
      <c r="E785" t="s">
        <v>26</v>
      </c>
      <c r="F785" t="s">
        <v>128</v>
      </c>
      <c r="G785" t="s">
        <v>51</v>
      </c>
      <c r="H785" t="s">
        <v>89</v>
      </c>
      <c r="I785" t="s">
        <v>90</v>
      </c>
      <c r="J785">
        <v>1</v>
      </c>
      <c r="K785">
        <v>10500</v>
      </c>
      <c r="L785">
        <v>0.05</v>
      </c>
      <c r="M785">
        <v>9975</v>
      </c>
      <c r="N785">
        <v>7600</v>
      </c>
      <c r="O785">
        <v>2375</v>
      </c>
    </row>
    <row r="786" spans="1:15" x14ac:dyDescent="0.25">
      <c r="A786" t="s">
        <v>1645</v>
      </c>
      <c r="B786" s="2">
        <v>46442</v>
      </c>
      <c r="C786" t="s">
        <v>487</v>
      </c>
      <c r="D786" t="s">
        <v>488</v>
      </c>
      <c r="E786" t="s">
        <v>26</v>
      </c>
      <c r="F786" t="s">
        <v>128</v>
      </c>
      <c r="G786" t="s">
        <v>28</v>
      </c>
      <c r="H786" t="s">
        <v>29</v>
      </c>
      <c r="I786" t="s">
        <v>47</v>
      </c>
      <c r="J786">
        <v>5</v>
      </c>
      <c r="K786">
        <v>6800</v>
      </c>
      <c r="L786">
        <v>0.15</v>
      </c>
      <c r="M786">
        <v>28900</v>
      </c>
      <c r="N786">
        <v>23500</v>
      </c>
      <c r="O786">
        <v>5400</v>
      </c>
    </row>
    <row r="787" spans="1:15" x14ac:dyDescent="0.25">
      <c r="A787" t="s">
        <v>1646</v>
      </c>
      <c r="B787" s="2">
        <v>46443</v>
      </c>
      <c r="C787" t="s">
        <v>977</v>
      </c>
      <c r="D787" t="s">
        <v>978</v>
      </c>
      <c r="E787" t="s">
        <v>39</v>
      </c>
      <c r="F787" t="s">
        <v>40</v>
      </c>
      <c r="G787" t="s">
        <v>51</v>
      </c>
      <c r="H787" t="s">
        <v>21</v>
      </c>
      <c r="I787" t="s">
        <v>80</v>
      </c>
      <c r="J787">
        <v>4</v>
      </c>
      <c r="K787">
        <v>850</v>
      </c>
      <c r="L787">
        <v>0.1</v>
      </c>
      <c r="M787">
        <v>3060</v>
      </c>
      <c r="N787">
        <v>2240</v>
      </c>
      <c r="O787">
        <v>820</v>
      </c>
    </row>
    <row r="788" spans="1:15" x14ac:dyDescent="0.25">
      <c r="A788" t="s">
        <v>1647</v>
      </c>
      <c r="B788" s="2">
        <v>46444</v>
      </c>
      <c r="C788" t="s">
        <v>948</v>
      </c>
      <c r="D788" t="s">
        <v>949</v>
      </c>
      <c r="E788" t="s">
        <v>26</v>
      </c>
      <c r="F788" t="s">
        <v>27</v>
      </c>
      <c r="G788" t="s">
        <v>57</v>
      </c>
      <c r="H788" t="s">
        <v>58</v>
      </c>
      <c r="I788" t="s">
        <v>59</v>
      </c>
      <c r="J788">
        <v>4</v>
      </c>
      <c r="K788">
        <v>5600</v>
      </c>
      <c r="L788">
        <v>0.15</v>
      </c>
      <c r="M788">
        <v>19040</v>
      </c>
      <c r="N788">
        <v>15600</v>
      </c>
      <c r="O788">
        <v>3440</v>
      </c>
    </row>
    <row r="789" spans="1:15" x14ac:dyDescent="0.25">
      <c r="A789" t="s">
        <v>1648</v>
      </c>
      <c r="B789" s="2">
        <v>46445</v>
      </c>
      <c r="C789" t="s">
        <v>405</v>
      </c>
      <c r="D789" t="s">
        <v>406</v>
      </c>
      <c r="E789" t="s">
        <v>96</v>
      </c>
      <c r="F789" t="s">
        <v>97</v>
      </c>
      <c r="G789" t="s">
        <v>28</v>
      </c>
      <c r="H789" t="s">
        <v>29</v>
      </c>
      <c r="I789" t="s">
        <v>35</v>
      </c>
      <c r="J789">
        <v>4</v>
      </c>
      <c r="K789">
        <v>4200</v>
      </c>
      <c r="L789">
        <v>0.1</v>
      </c>
      <c r="M789">
        <v>15120</v>
      </c>
      <c r="N789">
        <v>11600</v>
      </c>
      <c r="O789">
        <v>3520</v>
      </c>
    </row>
    <row r="790" spans="1:15" x14ac:dyDescent="0.25">
      <c r="A790" t="s">
        <v>1649</v>
      </c>
      <c r="B790" s="2">
        <v>46446</v>
      </c>
      <c r="C790" t="s">
        <v>463</v>
      </c>
      <c r="D790" t="s">
        <v>464</v>
      </c>
      <c r="E790" t="s">
        <v>26</v>
      </c>
      <c r="F790" t="s">
        <v>27</v>
      </c>
      <c r="G790" t="s">
        <v>20</v>
      </c>
      <c r="H790" t="s">
        <v>84</v>
      </c>
      <c r="I790" t="s">
        <v>169</v>
      </c>
      <c r="J790">
        <v>1</v>
      </c>
      <c r="K790">
        <v>450</v>
      </c>
      <c r="L790">
        <v>0.1</v>
      </c>
      <c r="M790">
        <v>405</v>
      </c>
      <c r="N790">
        <v>260</v>
      </c>
      <c r="O790">
        <v>145</v>
      </c>
    </row>
    <row r="791" spans="1:15" x14ac:dyDescent="0.25">
      <c r="A791" t="s">
        <v>1650</v>
      </c>
      <c r="B791" s="2">
        <v>46447</v>
      </c>
      <c r="C791" t="s">
        <v>772</v>
      </c>
      <c r="D791" t="s">
        <v>773</v>
      </c>
      <c r="E791" t="s">
        <v>39</v>
      </c>
      <c r="F791" t="s">
        <v>124</v>
      </c>
      <c r="G791" t="s">
        <v>51</v>
      </c>
      <c r="H791" t="s">
        <v>89</v>
      </c>
      <c r="I791" t="s">
        <v>90</v>
      </c>
      <c r="J791">
        <v>1</v>
      </c>
      <c r="K791">
        <v>10500</v>
      </c>
      <c r="L791">
        <v>0.1</v>
      </c>
      <c r="M791">
        <v>9450</v>
      </c>
      <c r="N791">
        <v>7600</v>
      </c>
      <c r="O791">
        <v>1850</v>
      </c>
    </row>
    <row r="792" spans="1:15" x14ac:dyDescent="0.25">
      <c r="A792" t="s">
        <v>1651</v>
      </c>
      <c r="B792" s="2">
        <v>46448</v>
      </c>
      <c r="C792" t="s">
        <v>372</v>
      </c>
      <c r="D792" t="s">
        <v>373</v>
      </c>
      <c r="E792" t="s">
        <v>26</v>
      </c>
      <c r="F792" t="s">
        <v>204</v>
      </c>
      <c r="G792" t="s">
        <v>51</v>
      </c>
      <c r="H792" t="s">
        <v>21</v>
      </c>
      <c r="I792" t="s">
        <v>116</v>
      </c>
      <c r="J792">
        <v>3</v>
      </c>
      <c r="K792">
        <v>1400</v>
      </c>
      <c r="L792">
        <v>0</v>
      </c>
      <c r="M792">
        <v>4200</v>
      </c>
      <c r="N792">
        <v>2700</v>
      </c>
      <c r="O792">
        <v>1500</v>
      </c>
    </row>
    <row r="793" spans="1:15" x14ac:dyDescent="0.25">
      <c r="A793" t="s">
        <v>1652</v>
      </c>
      <c r="B793" s="2">
        <v>46449</v>
      </c>
      <c r="C793" t="s">
        <v>1494</v>
      </c>
      <c r="D793" t="s">
        <v>1495</v>
      </c>
      <c r="E793" t="s">
        <v>26</v>
      </c>
      <c r="F793" t="s">
        <v>27</v>
      </c>
      <c r="G793" t="s">
        <v>20</v>
      </c>
      <c r="H793" t="s">
        <v>84</v>
      </c>
      <c r="I793" t="s">
        <v>169</v>
      </c>
      <c r="J793">
        <v>5</v>
      </c>
      <c r="K793">
        <v>450</v>
      </c>
      <c r="L793">
        <v>0.1</v>
      </c>
      <c r="M793">
        <v>2025</v>
      </c>
      <c r="N793">
        <v>1300</v>
      </c>
      <c r="O793">
        <v>725</v>
      </c>
    </row>
    <row r="794" spans="1:15" x14ac:dyDescent="0.25">
      <c r="A794" t="s">
        <v>1653</v>
      </c>
      <c r="B794" s="2">
        <v>46450</v>
      </c>
      <c r="C794" t="s">
        <v>439</v>
      </c>
      <c r="D794" t="s">
        <v>440</v>
      </c>
      <c r="E794" t="s">
        <v>39</v>
      </c>
      <c r="F794" t="s">
        <v>76</v>
      </c>
      <c r="G794" t="s">
        <v>51</v>
      </c>
      <c r="H794" t="s">
        <v>52</v>
      </c>
      <c r="I794" t="s">
        <v>53</v>
      </c>
      <c r="J794">
        <v>2</v>
      </c>
      <c r="K794">
        <v>2200</v>
      </c>
      <c r="L794">
        <v>0.1</v>
      </c>
      <c r="M794">
        <v>3960</v>
      </c>
      <c r="N794">
        <v>2900</v>
      </c>
      <c r="O794">
        <v>1060</v>
      </c>
    </row>
    <row r="795" spans="1:15" x14ac:dyDescent="0.25">
      <c r="A795" t="s">
        <v>1654</v>
      </c>
      <c r="B795" s="2">
        <v>46451</v>
      </c>
      <c r="C795" t="s">
        <v>1268</v>
      </c>
      <c r="D795" t="s">
        <v>1269</v>
      </c>
      <c r="E795" t="s">
        <v>39</v>
      </c>
      <c r="F795" t="s">
        <v>71</v>
      </c>
      <c r="G795" t="s">
        <v>51</v>
      </c>
      <c r="H795" t="s">
        <v>89</v>
      </c>
      <c r="I795" t="s">
        <v>90</v>
      </c>
      <c r="J795">
        <v>5</v>
      </c>
      <c r="K795">
        <v>10500</v>
      </c>
      <c r="L795">
        <v>0.15</v>
      </c>
      <c r="M795">
        <v>44625</v>
      </c>
      <c r="N795">
        <v>38000</v>
      </c>
      <c r="O795">
        <v>6625</v>
      </c>
    </row>
    <row r="796" spans="1:15" x14ac:dyDescent="0.25">
      <c r="A796" t="s">
        <v>1655</v>
      </c>
      <c r="B796" s="2">
        <v>46452</v>
      </c>
      <c r="C796" t="s">
        <v>915</v>
      </c>
      <c r="D796" t="s">
        <v>916</v>
      </c>
      <c r="E796" t="s">
        <v>26</v>
      </c>
      <c r="F796" t="s">
        <v>204</v>
      </c>
      <c r="G796" t="s">
        <v>28</v>
      </c>
      <c r="H796" t="s">
        <v>29</v>
      </c>
      <c r="I796" t="s">
        <v>30</v>
      </c>
      <c r="J796">
        <v>2</v>
      </c>
      <c r="K796">
        <v>1900</v>
      </c>
      <c r="L796">
        <v>0.15</v>
      </c>
      <c r="M796">
        <v>3230</v>
      </c>
      <c r="N796">
        <v>2500</v>
      </c>
      <c r="O796">
        <v>730</v>
      </c>
    </row>
    <row r="797" spans="1:15" x14ac:dyDescent="0.25">
      <c r="A797" t="s">
        <v>1656</v>
      </c>
      <c r="B797" s="2">
        <v>46453</v>
      </c>
      <c r="C797" t="s">
        <v>1657</v>
      </c>
      <c r="D797" t="s">
        <v>1658</v>
      </c>
      <c r="E797" t="s">
        <v>96</v>
      </c>
      <c r="F797" t="s">
        <v>97</v>
      </c>
      <c r="G797" t="s">
        <v>28</v>
      </c>
      <c r="H797" t="s">
        <v>63</v>
      </c>
      <c r="I797" t="s">
        <v>64</v>
      </c>
      <c r="J797">
        <v>2</v>
      </c>
      <c r="K797">
        <v>2400</v>
      </c>
      <c r="L797">
        <v>0.1</v>
      </c>
      <c r="M797">
        <v>4320</v>
      </c>
      <c r="N797">
        <v>3300</v>
      </c>
      <c r="O797">
        <v>1020</v>
      </c>
    </row>
    <row r="798" spans="1:15" x14ac:dyDescent="0.25">
      <c r="A798" t="s">
        <v>1659</v>
      </c>
      <c r="B798" s="2">
        <v>46454</v>
      </c>
      <c r="C798" t="s">
        <v>1660</v>
      </c>
      <c r="D798" t="s">
        <v>1661</v>
      </c>
      <c r="E798" t="s">
        <v>26</v>
      </c>
      <c r="F798" t="s">
        <v>128</v>
      </c>
      <c r="G798" t="s">
        <v>28</v>
      </c>
      <c r="H798" t="s">
        <v>29</v>
      </c>
      <c r="I798" t="s">
        <v>30</v>
      </c>
      <c r="J798">
        <v>3</v>
      </c>
      <c r="K798">
        <v>1900</v>
      </c>
      <c r="L798">
        <v>0.15</v>
      </c>
      <c r="M798">
        <v>4845</v>
      </c>
      <c r="N798">
        <v>3750</v>
      </c>
      <c r="O798">
        <v>1095</v>
      </c>
    </row>
    <row r="799" spans="1:15" x14ac:dyDescent="0.25">
      <c r="A799" t="s">
        <v>1662</v>
      </c>
      <c r="B799" s="2">
        <v>46455</v>
      </c>
      <c r="C799" t="s">
        <v>627</v>
      </c>
      <c r="D799" t="s">
        <v>628</v>
      </c>
      <c r="E799" t="s">
        <v>39</v>
      </c>
      <c r="F799" t="s">
        <v>71</v>
      </c>
      <c r="G799" t="s">
        <v>20</v>
      </c>
      <c r="H799" t="s">
        <v>84</v>
      </c>
      <c r="I799" t="s">
        <v>169</v>
      </c>
      <c r="J799">
        <v>3</v>
      </c>
      <c r="K799">
        <v>450</v>
      </c>
      <c r="L799">
        <v>0.2</v>
      </c>
      <c r="M799">
        <v>1080</v>
      </c>
      <c r="N799">
        <v>780</v>
      </c>
      <c r="O799">
        <v>300</v>
      </c>
    </row>
    <row r="800" spans="1:15" x14ac:dyDescent="0.25">
      <c r="A800" t="s">
        <v>1663</v>
      </c>
      <c r="B800" s="2">
        <v>46456</v>
      </c>
      <c r="C800" t="s">
        <v>137</v>
      </c>
      <c r="D800" t="s">
        <v>138</v>
      </c>
      <c r="E800" t="s">
        <v>39</v>
      </c>
      <c r="F800" t="s">
        <v>71</v>
      </c>
      <c r="G800" t="s">
        <v>28</v>
      </c>
      <c r="H800" t="s">
        <v>29</v>
      </c>
      <c r="I800" t="s">
        <v>35</v>
      </c>
      <c r="J800">
        <v>5</v>
      </c>
      <c r="K800">
        <v>4200</v>
      </c>
      <c r="L800">
        <v>0.05</v>
      </c>
      <c r="M800">
        <v>19950</v>
      </c>
      <c r="N800">
        <v>14500</v>
      </c>
      <c r="O800">
        <v>5450</v>
      </c>
    </row>
    <row r="801" spans="1:15" x14ac:dyDescent="0.25">
      <c r="A801" t="s">
        <v>1664</v>
      </c>
      <c r="B801" s="2">
        <v>46457</v>
      </c>
      <c r="C801" t="s">
        <v>1665</v>
      </c>
      <c r="D801" t="s">
        <v>1666</v>
      </c>
      <c r="E801" t="s">
        <v>18</v>
      </c>
      <c r="F801" t="s">
        <v>19</v>
      </c>
      <c r="G801" t="s">
        <v>51</v>
      </c>
      <c r="H801" t="s">
        <v>21</v>
      </c>
      <c r="I801" t="s">
        <v>116</v>
      </c>
      <c r="J801">
        <v>5</v>
      </c>
      <c r="K801">
        <v>1400</v>
      </c>
      <c r="L801">
        <v>0.1</v>
      </c>
      <c r="M801">
        <v>6300</v>
      </c>
      <c r="N801">
        <v>4500</v>
      </c>
      <c r="O801">
        <v>1800</v>
      </c>
    </row>
    <row r="802" spans="1:15" x14ac:dyDescent="0.25">
      <c r="A802" t="s">
        <v>1667</v>
      </c>
      <c r="B802" s="2">
        <v>46458</v>
      </c>
      <c r="C802" t="s">
        <v>1268</v>
      </c>
      <c r="D802" t="s">
        <v>1269</v>
      </c>
      <c r="E802" t="s">
        <v>96</v>
      </c>
      <c r="F802" t="s">
        <v>196</v>
      </c>
      <c r="G802" t="s">
        <v>51</v>
      </c>
      <c r="H802" t="s">
        <v>52</v>
      </c>
      <c r="I802" t="s">
        <v>53</v>
      </c>
      <c r="J802">
        <v>1</v>
      </c>
      <c r="K802">
        <v>2200</v>
      </c>
      <c r="L802">
        <v>0.1</v>
      </c>
      <c r="M802">
        <v>1980</v>
      </c>
      <c r="N802">
        <v>1450</v>
      </c>
      <c r="O802">
        <v>530</v>
      </c>
    </row>
    <row r="803" spans="1:15" x14ac:dyDescent="0.25">
      <c r="A803" t="s">
        <v>1668</v>
      </c>
      <c r="B803" s="2">
        <v>46459</v>
      </c>
      <c r="C803" t="s">
        <v>1127</v>
      </c>
      <c r="D803" t="s">
        <v>1128</v>
      </c>
      <c r="E803" t="s">
        <v>26</v>
      </c>
      <c r="F803" t="s">
        <v>204</v>
      </c>
      <c r="G803" t="s">
        <v>57</v>
      </c>
      <c r="H803" t="s">
        <v>58</v>
      </c>
      <c r="I803" t="s">
        <v>59</v>
      </c>
      <c r="J803">
        <v>2</v>
      </c>
      <c r="K803">
        <v>5600</v>
      </c>
      <c r="L803">
        <v>0.1</v>
      </c>
      <c r="M803">
        <v>10080</v>
      </c>
      <c r="N803">
        <v>7800</v>
      </c>
      <c r="O803">
        <v>2280</v>
      </c>
    </row>
    <row r="804" spans="1:15" x14ac:dyDescent="0.25">
      <c r="A804" t="s">
        <v>1669</v>
      </c>
      <c r="B804" s="2">
        <v>46460</v>
      </c>
      <c r="C804" t="s">
        <v>1660</v>
      </c>
      <c r="D804" t="s">
        <v>1661</v>
      </c>
      <c r="E804" t="s">
        <v>26</v>
      </c>
      <c r="F804" t="s">
        <v>46</v>
      </c>
      <c r="G804" t="s">
        <v>57</v>
      </c>
      <c r="H804" t="s">
        <v>188</v>
      </c>
      <c r="I804" t="s">
        <v>189</v>
      </c>
      <c r="J804">
        <v>1</v>
      </c>
      <c r="K804">
        <v>6200</v>
      </c>
      <c r="L804">
        <v>0.15</v>
      </c>
      <c r="M804">
        <v>5270</v>
      </c>
      <c r="N804">
        <v>4300</v>
      </c>
      <c r="O804">
        <v>970</v>
      </c>
    </row>
    <row r="805" spans="1:15" x14ac:dyDescent="0.25">
      <c r="A805" t="s">
        <v>1670</v>
      </c>
      <c r="B805" s="2">
        <v>46461</v>
      </c>
      <c r="C805" t="s">
        <v>1671</v>
      </c>
      <c r="D805" t="s">
        <v>1672</v>
      </c>
      <c r="E805" t="s">
        <v>96</v>
      </c>
      <c r="F805" t="s">
        <v>200</v>
      </c>
      <c r="G805" t="s">
        <v>20</v>
      </c>
      <c r="H805" t="s">
        <v>84</v>
      </c>
      <c r="I805" t="s">
        <v>210</v>
      </c>
      <c r="J805">
        <v>3</v>
      </c>
      <c r="K805">
        <v>300</v>
      </c>
      <c r="L805">
        <v>0.1</v>
      </c>
      <c r="M805">
        <v>810</v>
      </c>
      <c r="N805">
        <v>510</v>
      </c>
      <c r="O805">
        <v>300</v>
      </c>
    </row>
    <row r="806" spans="1:15" x14ac:dyDescent="0.25">
      <c r="A806" t="s">
        <v>1673</v>
      </c>
      <c r="B806" s="2">
        <v>46462</v>
      </c>
      <c r="C806" t="s">
        <v>472</v>
      </c>
      <c r="D806" t="s">
        <v>473</v>
      </c>
      <c r="E806" t="s">
        <v>26</v>
      </c>
      <c r="F806" t="s">
        <v>46</v>
      </c>
      <c r="G806" t="s">
        <v>51</v>
      </c>
      <c r="H806" t="s">
        <v>21</v>
      </c>
      <c r="I806" t="s">
        <v>80</v>
      </c>
      <c r="J806">
        <v>1</v>
      </c>
      <c r="K806">
        <v>850</v>
      </c>
      <c r="L806">
        <v>0.1</v>
      </c>
      <c r="M806">
        <v>765</v>
      </c>
      <c r="N806">
        <v>560</v>
      </c>
      <c r="O806">
        <v>205</v>
      </c>
    </row>
    <row r="807" spans="1:15" x14ac:dyDescent="0.25">
      <c r="A807" t="s">
        <v>1674</v>
      </c>
      <c r="B807" s="2">
        <v>46463</v>
      </c>
      <c r="C807" t="s">
        <v>1201</v>
      </c>
      <c r="D807" t="s">
        <v>1202</v>
      </c>
      <c r="E807" t="s">
        <v>39</v>
      </c>
      <c r="F807" t="s">
        <v>71</v>
      </c>
      <c r="G807" t="s">
        <v>28</v>
      </c>
      <c r="H807" t="s">
        <v>29</v>
      </c>
      <c r="I807" t="s">
        <v>35</v>
      </c>
      <c r="J807">
        <v>1</v>
      </c>
      <c r="K807">
        <v>4200</v>
      </c>
      <c r="L807">
        <v>0.05</v>
      </c>
      <c r="M807">
        <v>3990</v>
      </c>
      <c r="N807">
        <v>2900</v>
      </c>
      <c r="O807">
        <v>1090</v>
      </c>
    </row>
    <row r="808" spans="1:15" x14ac:dyDescent="0.25">
      <c r="A808" t="s">
        <v>1675</v>
      </c>
      <c r="B808" s="2">
        <v>46464</v>
      </c>
      <c r="C808" t="s">
        <v>472</v>
      </c>
      <c r="D808" t="s">
        <v>473</v>
      </c>
      <c r="E808" t="s">
        <v>39</v>
      </c>
      <c r="F808" t="s">
        <v>40</v>
      </c>
      <c r="G808" t="s">
        <v>28</v>
      </c>
      <c r="H808" t="s">
        <v>63</v>
      </c>
      <c r="I808" t="s">
        <v>64</v>
      </c>
      <c r="J808">
        <v>5</v>
      </c>
      <c r="K808">
        <v>2400</v>
      </c>
      <c r="L808">
        <v>0.25</v>
      </c>
      <c r="M808">
        <v>9000</v>
      </c>
      <c r="N808">
        <v>8250</v>
      </c>
      <c r="O808">
        <v>750</v>
      </c>
    </row>
    <row r="809" spans="1:15" x14ac:dyDescent="0.25">
      <c r="A809" t="s">
        <v>1676</v>
      </c>
      <c r="B809" s="2">
        <v>46465</v>
      </c>
      <c r="C809" t="s">
        <v>570</v>
      </c>
      <c r="D809" t="s">
        <v>571</v>
      </c>
      <c r="E809" t="s">
        <v>26</v>
      </c>
      <c r="F809" t="s">
        <v>34</v>
      </c>
      <c r="G809" t="s">
        <v>28</v>
      </c>
      <c r="H809" t="s">
        <v>29</v>
      </c>
      <c r="I809" t="s">
        <v>35</v>
      </c>
      <c r="J809">
        <v>3</v>
      </c>
      <c r="K809">
        <v>4200</v>
      </c>
      <c r="L809">
        <v>0.05</v>
      </c>
      <c r="M809">
        <v>11970</v>
      </c>
      <c r="N809">
        <v>8700</v>
      </c>
      <c r="O809">
        <v>3270</v>
      </c>
    </row>
    <row r="810" spans="1:15" x14ac:dyDescent="0.25">
      <c r="A810" t="s">
        <v>1677</v>
      </c>
      <c r="B810" s="2">
        <v>46466</v>
      </c>
      <c r="C810" t="s">
        <v>37</v>
      </c>
      <c r="D810" t="s">
        <v>38</v>
      </c>
      <c r="E810" t="s">
        <v>39</v>
      </c>
      <c r="F810" t="s">
        <v>71</v>
      </c>
      <c r="G810" t="s">
        <v>28</v>
      </c>
      <c r="H810" t="s">
        <v>29</v>
      </c>
      <c r="I810" t="s">
        <v>30</v>
      </c>
      <c r="J810">
        <v>3</v>
      </c>
      <c r="K810">
        <v>1900</v>
      </c>
      <c r="L810">
        <v>0.15</v>
      </c>
      <c r="M810">
        <v>4845</v>
      </c>
      <c r="N810">
        <v>3750</v>
      </c>
      <c r="O810">
        <v>1095</v>
      </c>
    </row>
    <row r="811" spans="1:15" x14ac:dyDescent="0.25">
      <c r="A811" t="s">
        <v>1678</v>
      </c>
      <c r="B811" s="2">
        <v>46467</v>
      </c>
      <c r="C811" t="s">
        <v>1679</v>
      </c>
      <c r="D811" t="s">
        <v>1680</v>
      </c>
      <c r="E811" t="s">
        <v>39</v>
      </c>
      <c r="F811" t="s">
        <v>40</v>
      </c>
      <c r="G811" t="s">
        <v>20</v>
      </c>
      <c r="H811" t="s">
        <v>21</v>
      </c>
      <c r="I811" t="s">
        <v>22</v>
      </c>
      <c r="J811">
        <v>3</v>
      </c>
      <c r="K811">
        <v>650</v>
      </c>
      <c r="L811">
        <v>0</v>
      </c>
      <c r="M811">
        <v>1950</v>
      </c>
      <c r="N811">
        <v>1170</v>
      </c>
      <c r="O811">
        <v>780</v>
      </c>
    </row>
    <row r="812" spans="1:15" x14ac:dyDescent="0.25">
      <c r="A812" t="s">
        <v>1681</v>
      </c>
      <c r="B812" s="2">
        <v>46468</v>
      </c>
      <c r="C812" t="s">
        <v>1682</v>
      </c>
      <c r="D812" t="s">
        <v>1683</v>
      </c>
      <c r="E812" t="s">
        <v>96</v>
      </c>
      <c r="F812" t="s">
        <v>120</v>
      </c>
      <c r="G812" t="s">
        <v>57</v>
      </c>
      <c r="H812" t="s">
        <v>104</v>
      </c>
      <c r="I812" t="s">
        <v>105</v>
      </c>
      <c r="J812">
        <v>4</v>
      </c>
      <c r="K812">
        <v>7500</v>
      </c>
      <c r="L812">
        <v>0.05</v>
      </c>
      <c r="M812">
        <v>28500</v>
      </c>
      <c r="N812">
        <v>20800</v>
      </c>
      <c r="O812">
        <v>7700</v>
      </c>
    </row>
    <row r="813" spans="1:15" x14ac:dyDescent="0.25">
      <c r="A813" t="s">
        <v>1684</v>
      </c>
      <c r="B813" s="2">
        <v>46469</v>
      </c>
      <c r="C813" t="s">
        <v>1167</v>
      </c>
      <c r="D813" t="s">
        <v>1168</v>
      </c>
      <c r="E813" t="s">
        <v>26</v>
      </c>
      <c r="F813" t="s">
        <v>204</v>
      </c>
      <c r="G813" t="s">
        <v>28</v>
      </c>
      <c r="H813" t="s">
        <v>29</v>
      </c>
      <c r="I813" t="s">
        <v>35</v>
      </c>
      <c r="J813">
        <v>5</v>
      </c>
      <c r="K813">
        <v>4200</v>
      </c>
      <c r="L813">
        <v>0</v>
      </c>
      <c r="M813">
        <v>21000</v>
      </c>
      <c r="N813">
        <v>14500</v>
      </c>
      <c r="O813">
        <v>6500</v>
      </c>
    </row>
    <row r="814" spans="1:15" x14ac:dyDescent="0.25">
      <c r="A814" t="s">
        <v>1685</v>
      </c>
      <c r="B814" s="2">
        <v>46470</v>
      </c>
      <c r="C814" t="s">
        <v>588</v>
      </c>
      <c r="D814" t="s">
        <v>589</v>
      </c>
      <c r="E814" t="s">
        <v>26</v>
      </c>
      <c r="F814" t="s">
        <v>128</v>
      </c>
      <c r="G814" t="s">
        <v>28</v>
      </c>
      <c r="H814" t="s">
        <v>63</v>
      </c>
      <c r="I814" t="s">
        <v>64</v>
      </c>
      <c r="J814">
        <v>2</v>
      </c>
      <c r="K814">
        <v>2400</v>
      </c>
      <c r="L814">
        <v>0.15</v>
      </c>
      <c r="M814">
        <v>4080</v>
      </c>
      <c r="N814">
        <v>3300</v>
      </c>
      <c r="O814">
        <v>780</v>
      </c>
    </row>
    <row r="815" spans="1:15" x14ac:dyDescent="0.25">
      <c r="A815" t="s">
        <v>1686</v>
      </c>
      <c r="B815" s="2">
        <v>46471</v>
      </c>
      <c r="C815" t="s">
        <v>1616</v>
      </c>
      <c r="D815" t="s">
        <v>1617</v>
      </c>
      <c r="E815" t="s">
        <v>26</v>
      </c>
      <c r="F815" t="s">
        <v>204</v>
      </c>
      <c r="G815" t="s">
        <v>20</v>
      </c>
      <c r="H815" t="s">
        <v>84</v>
      </c>
      <c r="I815" t="s">
        <v>169</v>
      </c>
      <c r="J815">
        <v>1</v>
      </c>
      <c r="K815">
        <v>450</v>
      </c>
      <c r="L815">
        <v>0</v>
      </c>
      <c r="M815">
        <v>450</v>
      </c>
      <c r="N815">
        <v>260</v>
      </c>
      <c r="O815">
        <v>190</v>
      </c>
    </row>
    <row r="816" spans="1:15" x14ac:dyDescent="0.25">
      <c r="A816" t="s">
        <v>1687</v>
      </c>
      <c r="B816" s="2">
        <v>46472</v>
      </c>
      <c r="C816" t="s">
        <v>757</v>
      </c>
      <c r="D816" t="s">
        <v>758</v>
      </c>
      <c r="E816" t="s">
        <v>26</v>
      </c>
      <c r="F816" t="s">
        <v>204</v>
      </c>
      <c r="G816" t="s">
        <v>28</v>
      </c>
      <c r="H816" t="s">
        <v>29</v>
      </c>
      <c r="I816" t="s">
        <v>47</v>
      </c>
      <c r="J816">
        <v>3</v>
      </c>
      <c r="K816">
        <v>6800</v>
      </c>
      <c r="L816">
        <v>0.2</v>
      </c>
      <c r="M816">
        <v>16320</v>
      </c>
      <c r="N816">
        <v>14100</v>
      </c>
      <c r="O816">
        <v>2220</v>
      </c>
    </row>
    <row r="817" spans="1:15" x14ac:dyDescent="0.25">
      <c r="A817" t="s">
        <v>1688</v>
      </c>
      <c r="B817" s="2">
        <v>46473</v>
      </c>
      <c r="C817" t="s">
        <v>1003</v>
      </c>
      <c r="D817" t="s">
        <v>1004</v>
      </c>
      <c r="E817" t="s">
        <v>96</v>
      </c>
      <c r="F817" t="s">
        <v>97</v>
      </c>
      <c r="G817" t="s">
        <v>51</v>
      </c>
      <c r="H817" t="s">
        <v>52</v>
      </c>
      <c r="I817" t="s">
        <v>53</v>
      </c>
      <c r="J817">
        <v>4</v>
      </c>
      <c r="K817">
        <v>2200</v>
      </c>
      <c r="L817">
        <v>0.2</v>
      </c>
      <c r="M817">
        <v>7040</v>
      </c>
      <c r="N817">
        <v>5800</v>
      </c>
      <c r="O817">
        <v>1240</v>
      </c>
    </row>
    <row r="818" spans="1:15" x14ac:dyDescent="0.25">
      <c r="A818" t="s">
        <v>1689</v>
      </c>
      <c r="B818" s="2">
        <v>46474</v>
      </c>
      <c r="C818" t="s">
        <v>1690</v>
      </c>
      <c r="D818" t="s">
        <v>1691</v>
      </c>
      <c r="E818" t="s">
        <v>26</v>
      </c>
      <c r="F818" t="s">
        <v>34</v>
      </c>
      <c r="G818" t="s">
        <v>28</v>
      </c>
      <c r="H818" t="s">
        <v>29</v>
      </c>
      <c r="I818" t="s">
        <v>30</v>
      </c>
      <c r="J818">
        <v>4</v>
      </c>
      <c r="K818">
        <v>1900</v>
      </c>
      <c r="L818">
        <v>0</v>
      </c>
      <c r="M818">
        <v>7600</v>
      </c>
      <c r="N818">
        <v>5000</v>
      </c>
      <c r="O818">
        <v>2600</v>
      </c>
    </row>
    <row r="819" spans="1:15" x14ac:dyDescent="0.25">
      <c r="A819" t="s">
        <v>1692</v>
      </c>
      <c r="B819" s="2">
        <v>46475</v>
      </c>
      <c r="C819" t="s">
        <v>1693</v>
      </c>
      <c r="D819" t="s">
        <v>1694</v>
      </c>
      <c r="E819" t="s">
        <v>96</v>
      </c>
      <c r="F819" t="s">
        <v>200</v>
      </c>
      <c r="G819" t="s">
        <v>28</v>
      </c>
      <c r="H819" t="s">
        <v>29</v>
      </c>
      <c r="I819" t="s">
        <v>30</v>
      </c>
      <c r="J819">
        <v>3</v>
      </c>
      <c r="K819">
        <v>1900</v>
      </c>
      <c r="L819">
        <v>0.15</v>
      </c>
      <c r="M819">
        <v>4845</v>
      </c>
      <c r="N819">
        <v>3750</v>
      </c>
      <c r="O819">
        <v>1095</v>
      </c>
    </row>
    <row r="820" spans="1:15" x14ac:dyDescent="0.25">
      <c r="A820" t="s">
        <v>1695</v>
      </c>
      <c r="B820" s="2">
        <v>46476</v>
      </c>
      <c r="C820" t="s">
        <v>1556</v>
      </c>
      <c r="D820" t="s">
        <v>1557</v>
      </c>
      <c r="E820" t="s">
        <v>26</v>
      </c>
      <c r="F820" t="s">
        <v>46</v>
      </c>
      <c r="G820" t="s">
        <v>20</v>
      </c>
      <c r="H820" t="s">
        <v>84</v>
      </c>
      <c r="I820" t="s">
        <v>169</v>
      </c>
      <c r="J820">
        <v>5</v>
      </c>
      <c r="K820">
        <v>450</v>
      </c>
      <c r="L820">
        <v>0.15</v>
      </c>
      <c r="M820">
        <v>1912.5</v>
      </c>
      <c r="N820">
        <v>1300</v>
      </c>
      <c r="O820">
        <v>612.5</v>
      </c>
    </row>
    <row r="821" spans="1:15" x14ac:dyDescent="0.25">
      <c r="A821" t="s">
        <v>1696</v>
      </c>
      <c r="B821" s="2">
        <v>46477</v>
      </c>
      <c r="C821" t="s">
        <v>593</v>
      </c>
      <c r="D821" t="s">
        <v>594</v>
      </c>
      <c r="E821" t="s">
        <v>26</v>
      </c>
      <c r="F821" t="s">
        <v>128</v>
      </c>
      <c r="G821" t="s">
        <v>20</v>
      </c>
      <c r="H821" t="s">
        <v>84</v>
      </c>
      <c r="I821" t="s">
        <v>85</v>
      </c>
      <c r="J821">
        <v>3</v>
      </c>
      <c r="K821">
        <v>280</v>
      </c>
      <c r="L821">
        <v>0.2</v>
      </c>
      <c r="M821">
        <v>672</v>
      </c>
      <c r="N821">
        <v>480</v>
      </c>
      <c r="O821">
        <v>192</v>
      </c>
    </row>
    <row r="822" spans="1:15" x14ac:dyDescent="0.25">
      <c r="A822" t="s">
        <v>1697</v>
      </c>
      <c r="B822" s="2">
        <v>46478</v>
      </c>
      <c r="C822" t="s">
        <v>1556</v>
      </c>
      <c r="D822" t="s">
        <v>1557</v>
      </c>
      <c r="E822" t="s">
        <v>26</v>
      </c>
      <c r="F822" t="s">
        <v>128</v>
      </c>
      <c r="G822" t="s">
        <v>51</v>
      </c>
      <c r="H822" t="s">
        <v>52</v>
      </c>
      <c r="I822" t="s">
        <v>208</v>
      </c>
      <c r="J822">
        <v>2</v>
      </c>
      <c r="K822">
        <v>2800</v>
      </c>
      <c r="L822">
        <v>0.05</v>
      </c>
      <c r="M822">
        <v>5320</v>
      </c>
      <c r="N822">
        <v>3600</v>
      </c>
      <c r="O822">
        <v>1720</v>
      </c>
    </row>
    <row r="823" spans="1:15" x14ac:dyDescent="0.25">
      <c r="A823" t="s">
        <v>1698</v>
      </c>
      <c r="B823" s="2">
        <v>46479</v>
      </c>
      <c r="C823" t="s">
        <v>1699</v>
      </c>
      <c r="D823" t="s">
        <v>1700</v>
      </c>
      <c r="E823" t="s">
        <v>96</v>
      </c>
      <c r="F823" t="s">
        <v>97</v>
      </c>
      <c r="G823" t="s">
        <v>51</v>
      </c>
      <c r="H823" t="s">
        <v>21</v>
      </c>
      <c r="I823" t="s">
        <v>80</v>
      </c>
      <c r="J823">
        <v>3</v>
      </c>
      <c r="K823">
        <v>850</v>
      </c>
      <c r="L823">
        <v>0.1</v>
      </c>
      <c r="M823">
        <v>2295</v>
      </c>
      <c r="N823">
        <v>1680</v>
      </c>
      <c r="O823">
        <v>615</v>
      </c>
    </row>
    <row r="824" spans="1:15" x14ac:dyDescent="0.25">
      <c r="A824" t="s">
        <v>1701</v>
      </c>
      <c r="B824" s="2">
        <v>46480</v>
      </c>
      <c r="C824" t="s">
        <v>721</v>
      </c>
      <c r="D824" t="s">
        <v>722</v>
      </c>
      <c r="E824" t="s">
        <v>39</v>
      </c>
      <c r="F824" t="s">
        <v>40</v>
      </c>
      <c r="G824" t="s">
        <v>51</v>
      </c>
      <c r="H824" t="s">
        <v>21</v>
      </c>
      <c r="I824" t="s">
        <v>80</v>
      </c>
      <c r="J824">
        <v>2</v>
      </c>
      <c r="K824">
        <v>850</v>
      </c>
      <c r="L824">
        <v>0.1</v>
      </c>
      <c r="M824">
        <v>1530</v>
      </c>
      <c r="N824">
        <v>1120</v>
      </c>
      <c r="O824">
        <v>410</v>
      </c>
    </row>
    <row r="825" spans="1:15" x14ac:dyDescent="0.25">
      <c r="A825" t="s">
        <v>1702</v>
      </c>
      <c r="B825" s="2">
        <v>46481</v>
      </c>
      <c r="C825" t="s">
        <v>158</v>
      </c>
      <c r="D825" t="s">
        <v>159</v>
      </c>
      <c r="E825" t="s">
        <v>96</v>
      </c>
      <c r="F825" t="s">
        <v>120</v>
      </c>
      <c r="G825" t="s">
        <v>51</v>
      </c>
      <c r="H825" t="s">
        <v>89</v>
      </c>
      <c r="I825" t="s">
        <v>90</v>
      </c>
      <c r="J825">
        <v>1</v>
      </c>
      <c r="K825">
        <v>10500</v>
      </c>
      <c r="L825">
        <v>0.25</v>
      </c>
      <c r="M825">
        <v>7875</v>
      </c>
      <c r="N825">
        <v>7600</v>
      </c>
      <c r="O825">
        <v>275</v>
      </c>
    </row>
    <row r="826" spans="1:15" x14ac:dyDescent="0.25">
      <c r="A826" t="s">
        <v>1703</v>
      </c>
      <c r="B826" s="2">
        <v>46482</v>
      </c>
      <c r="C826" t="s">
        <v>340</v>
      </c>
      <c r="D826" t="s">
        <v>341</v>
      </c>
      <c r="E826" t="s">
        <v>26</v>
      </c>
      <c r="F826" t="s">
        <v>34</v>
      </c>
      <c r="G826" t="s">
        <v>51</v>
      </c>
      <c r="H826" t="s">
        <v>21</v>
      </c>
      <c r="I826" t="s">
        <v>72</v>
      </c>
      <c r="J826">
        <v>4</v>
      </c>
      <c r="K826">
        <v>1800</v>
      </c>
      <c r="L826">
        <v>0.2</v>
      </c>
      <c r="M826">
        <v>5760</v>
      </c>
      <c r="N826">
        <v>4400</v>
      </c>
      <c r="O826">
        <v>1360</v>
      </c>
    </row>
    <row r="827" spans="1:15" x14ac:dyDescent="0.25">
      <c r="A827" t="s">
        <v>1704</v>
      </c>
      <c r="B827" s="2">
        <v>46483</v>
      </c>
      <c r="C827" t="s">
        <v>301</v>
      </c>
      <c r="D827" t="s">
        <v>302</v>
      </c>
      <c r="E827" t="s">
        <v>26</v>
      </c>
      <c r="F827" t="s">
        <v>34</v>
      </c>
      <c r="G827" t="s">
        <v>28</v>
      </c>
      <c r="H827" t="s">
        <v>29</v>
      </c>
      <c r="I827" t="s">
        <v>47</v>
      </c>
      <c r="J827">
        <v>2</v>
      </c>
      <c r="K827">
        <v>6800</v>
      </c>
      <c r="L827">
        <v>0.1</v>
      </c>
      <c r="M827">
        <v>12240</v>
      </c>
      <c r="N827">
        <v>9400</v>
      </c>
      <c r="O827">
        <v>2840</v>
      </c>
    </row>
    <row r="828" spans="1:15" x14ac:dyDescent="0.25">
      <c r="A828" t="s">
        <v>1705</v>
      </c>
      <c r="B828" s="2">
        <v>46484</v>
      </c>
      <c r="C828" t="s">
        <v>682</v>
      </c>
      <c r="D828" t="s">
        <v>683</v>
      </c>
      <c r="E828" t="s">
        <v>26</v>
      </c>
      <c r="F828" t="s">
        <v>27</v>
      </c>
      <c r="G828" t="s">
        <v>51</v>
      </c>
      <c r="H828" t="s">
        <v>52</v>
      </c>
      <c r="I828" t="s">
        <v>53</v>
      </c>
      <c r="J828">
        <v>2</v>
      </c>
      <c r="K828">
        <v>2200</v>
      </c>
      <c r="L828">
        <v>0.1</v>
      </c>
      <c r="M828">
        <v>3960</v>
      </c>
      <c r="N828">
        <v>2900</v>
      </c>
      <c r="O828">
        <v>1060</v>
      </c>
    </row>
    <row r="829" spans="1:15" x14ac:dyDescent="0.25">
      <c r="A829" t="s">
        <v>1706</v>
      </c>
      <c r="B829" s="2">
        <v>46485</v>
      </c>
      <c r="C829" t="s">
        <v>1046</v>
      </c>
      <c r="D829" t="s">
        <v>1047</v>
      </c>
      <c r="E829" t="s">
        <v>26</v>
      </c>
      <c r="F829" t="s">
        <v>46</v>
      </c>
      <c r="G829" t="s">
        <v>57</v>
      </c>
      <c r="H829" t="s">
        <v>188</v>
      </c>
      <c r="I829" t="s">
        <v>189</v>
      </c>
      <c r="J829">
        <v>4</v>
      </c>
      <c r="K829">
        <v>6200</v>
      </c>
      <c r="L829">
        <v>0.15</v>
      </c>
      <c r="M829">
        <v>21080</v>
      </c>
      <c r="N829">
        <v>17200</v>
      </c>
      <c r="O829">
        <v>3880</v>
      </c>
    </row>
    <row r="830" spans="1:15" x14ac:dyDescent="0.25">
      <c r="A830" t="s">
        <v>1707</v>
      </c>
      <c r="B830" s="2">
        <v>46486</v>
      </c>
      <c r="C830" t="s">
        <v>1671</v>
      </c>
      <c r="D830" t="s">
        <v>1672</v>
      </c>
      <c r="E830" t="s">
        <v>26</v>
      </c>
      <c r="F830" t="s">
        <v>27</v>
      </c>
      <c r="G830" t="s">
        <v>57</v>
      </c>
      <c r="H830" t="s">
        <v>58</v>
      </c>
      <c r="I830" t="s">
        <v>59</v>
      </c>
      <c r="J830">
        <v>4</v>
      </c>
      <c r="K830">
        <v>5600</v>
      </c>
      <c r="L830">
        <v>0.05</v>
      </c>
      <c r="M830">
        <v>21280</v>
      </c>
      <c r="N830">
        <v>15600</v>
      </c>
      <c r="O830">
        <v>5680</v>
      </c>
    </row>
    <row r="831" spans="1:15" x14ac:dyDescent="0.25">
      <c r="A831" t="s">
        <v>1708</v>
      </c>
      <c r="B831" s="2">
        <v>46487</v>
      </c>
      <c r="C831" t="s">
        <v>868</v>
      </c>
      <c r="D831" t="s">
        <v>869</v>
      </c>
      <c r="E831" t="s">
        <v>39</v>
      </c>
      <c r="F831" t="s">
        <v>40</v>
      </c>
      <c r="G831" t="s">
        <v>51</v>
      </c>
      <c r="H831" t="s">
        <v>21</v>
      </c>
      <c r="I831" t="s">
        <v>72</v>
      </c>
      <c r="J831">
        <v>3</v>
      </c>
      <c r="K831">
        <v>1800</v>
      </c>
      <c r="L831">
        <v>0.15</v>
      </c>
      <c r="M831">
        <v>4590</v>
      </c>
      <c r="N831">
        <v>3300</v>
      </c>
      <c r="O831">
        <v>1290</v>
      </c>
    </row>
    <row r="832" spans="1:15" x14ac:dyDescent="0.25">
      <c r="A832" t="s">
        <v>1709</v>
      </c>
      <c r="B832" s="2">
        <v>46488</v>
      </c>
      <c r="C832" t="s">
        <v>1201</v>
      </c>
      <c r="D832" t="s">
        <v>1202</v>
      </c>
      <c r="E832" t="s">
        <v>96</v>
      </c>
      <c r="F832" t="s">
        <v>97</v>
      </c>
      <c r="G832" t="s">
        <v>51</v>
      </c>
      <c r="H832" t="s">
        <v>89</v>
      </c>
      <c r="I832" t="s">
        <v>90</v>
      </c>
      <c r="J832">
        <v>1</v>
      </c>
      <c r="K832">
        <v>10500</v>
      </c>
      <c r="L832">
        <v>0.05</v>
      </c>
      <c r="M832">
        <v>9975</v>
      </c>
      <c r="N832">
        <v>7600</v>
      </c>
      <c r="O832">
        <v>2375</v>
      </c>
    </row>
    <row r="833" spans="1:15" x14ac:dyDescent="0.25">
      <c r="A833" t="s">
        <v>1710</v>
      </c>
      <c r="B833" s="2">
        <v>46489</v>
      </c>
      <c r="C833" t="s">
        <v>1660</v>
      </c>
      <c r="D833" t="s">
        <v>1661</v>
      </c>
      <c r="E833" t="s">
        <v>26</v>
      </c>
      <c r="F833" t="s">
        <v>27</v>
      </c>
      <c r="G833" t="s">
        <v>57</v>
      </c>
      <c r="H833" t="s">
        <v>188</v>
      </c>
      <c r="I833" t="s">
        <v>189</v>
      </c>
      <c r="J833">
        <v>1</v>
      </c>
      <c r="K833">
        <v>6200</v>
      </c>
      <c r="L833">
        <v>0.05</v>
      </c>
      <c r="M833">
        <v>5890</v>
      </c>
      <c r="N833">
        <v>4300</v>
      </c>
      <c r="O833">
        <v>1590</v>
      </c>
    </row>
    <row r="834" spans="1:15" x14ac:dyDescent="0.25">
      <c r="A834" t="s">
        <v>1711</v>
      </c>
      <c r="B834" s="2">
        <v>46490</v>
      </c>
      <c r="C834" t="s">
        <v>513</v>
      </c>
      <c r="D834" t="s">
        <v>514</v>
      </c>
      <c r="E834" t="s">
        <v>26</v>
      </c>
      <c r="F834" t="s">
        <v>128</v>
      </c>
      <c r="G834" t="s">
        <v>51</v>
      </c>
      <c r="H834" t="s">
        <v>21</v>
      </c>
      <c r="I834" t="s">
        <v>80</v>
      </c>
      <c r="J834">
        <v>3</v>
      </c>
      <c r="K834">
        <v>850</v>
      </c>
      <c r="L834">
        <v>0</v>
      </c>
      <c r="M834">
        <v>2550</v>
      </c>
      <c r="N834">
        <v>1680</v>
      </c>
      <c r="O834">
        <v>870</v>
      </c>
    </row>
    <row r="835" spans="1:15" x14ac:dyDescent="0.25">
      <c r="A835" t="s">
        <v>1712</v>
      </c>
      <c r="B835" s="2">
        <v>46491</v>
      </c>
      <c r="C835" t="s">
        <v>838</v>
      </c>
      <c r="D835" t="s">
        <v>839</v>
      </c>
      <c r="E835" t="s">
        <v>26</v>
      </c>
      <c r="F835" t="s">
        <v>128</v>
      </c>
      <c r="G835" t="s">
        <v>28</v>
      </c>
      <c r="H835" t="s">
        <v>29</v>
      </c>
      <c r="I835" t="s">
        <v>47</v>
      </c>
      <c r="J835">
        <v>1</v>
      </c>
      <c r="K835">
        <v>6800</v>
      </c>
      <c r="L835">
        <v>0.05</v>
      </c>
      <c r="M835">
        <v>6460</v>
      </c>
      <c r="N835">
        <v>4700</v>
      </c>
      <c r="O835">
        <v>1760</v>
      </c>
    </row>
    <row r="836" spans="1:15" x14ac:dyDescent="0.25">
      <c r="A836" t="s">
        <v>1713</v>
      </c>
      <c r="B836" s="2">
        <v>46492</v>
      </c>
      <c r="C836" t="s">
        <v>1714</v>
      </c>
      <c r="D836" t="s">
        <v>1715</v>
      </c>
      <c r="E836" t="s">
        <v>39</v>
      </c>
      <c r="F836" t="s">
        <v>76</v>
      </c>
      <c r="G836" t="s">
        <v>28</v>
      </c>
      <c r="H836" t="s">
        <v>63</v>
      </c>
      <c r="I836" t="s">
        <v>64</v>
      </c>
      <c r="J836">
        <v>2</v>
      </c>
      <c r="K836">
        <v>2400</v>
      </c>
      <c r="L836">
        <v>0.25</v>
      </c>
      <c r="M836">
        <v>3600</v>
      </c>
      <c r="N836">
        <v>3300</v>
      </c>
      <c r="O836">
        <v>300</v>
      </c>
    </row>
    <row r="837" spans="1:15" x14ac:dyDescent="0.25">
      <c r="A837" t="s">
        <v>1716</v>
      </c>
      <c r="B837" s="2">
        <v>46493</v>
      </c>
      <c r="C837" t="s">
        <v>37</v>
      </c>
      <c r="D837" t="s">
        <v>38</v>
      </c>
      <c r="E837" t="s">
        <v>26</v>
      </c>
      <c r="F837" t="s">
        <v>128</v>
      </c>
      <c r="G837" t="s">
        <v>51</v>
      </c>
      <c r="H837" t="s">
        <v>21</v>
      </c>
      <c r="I837" t="s">
        <v>80</v>
      </c>
      <c r="J837">
        <v>3</v>
      </c>
      <c r="K837">
        <v>850</v>
      </c>
      <c r="L837">
        <v>0.1</v>
      </c>
      <c r="M837">
        <v>2295</v>
      </c>
      <c r="N837">
        <v>1680</v>
      </c>
      <c r="O837">
        <v>615</v>
      </c>
    </row>
    <row r="838" spans="1:15" x14ac:dyDescent="0.25">
      <c r="A838" t="s">
        <v>1717</v>
      </c>
      <c r="B838" s="2">
        <v>46494</v>
      </c>
      <c r="C838" t="s">
        <v>24</v>
      </c>
      <c r="D838" t="s">
        <v>25</v>
      </c>
      <c r="E838" t="s">
        <v>39</v>
      </c>
      <c r="F838" t="s">
        <v>76</v>
      </c>
      <c r="G838" t="s">
        <v>20</v>
      </c>
      <c r="H838" t="s">
        <v>41</v>
      </c>
      <c r="I838" t="s">
        <v>42</v>
      </c>
      <c r="J838">
        <v>1</v>
      </c>
      <c r="K838">
        <v>520</v>
      </c>
      <c r="L838">
        <v>0.1</v>
      </c>
      <c r="M838">
        <v>468</v>
      </c>
      <c r="N838">
        <v>330</v>
      </c>
      <c r="O838">
        <v>138</v>
      </c>
    </row>
    <row r="839" spans="1:15" x14ac:dyDescent="0.25">
      <c r="A839" t="s">
        <v>1718</v>
      </c>
      <c r="B839" s="2">
        <v>46495</v>
      </c>
      <c r="C839" t="s">
        <v>912</v>
      </c>
      <c r="D839" t="s">
        <v>913</v>
      </c>
      <c r="E839" t="s">
        <v>26</v>
      </c>
      <c r="F839" t="s">
        <v>34</v>
      </c>
      <c r="G839" t="s">
        <v>20</v>
      </c>
      <c r="H839" t="s">
        <v>41</v>
      </c>
      <c r="I839" t="s">
        <v>42</v>
      </c>
      <c r="J839">
        <v>5</v>
      </c>
      <c r="K839">
        <v>520</v>
      </c>
      <c r="L839">
        <v>0.15</v>
      </c>
      <c r="M839">
        <v>2210</v>
      </c>
      <c r="N839">
        <v>1650</v>
      </c>
      <c r="O839">
        <v>560</v>
      </c>
    </row>
    <row r="840" spans="1:15" x14ac:dyDescent="0.25">
      <c r="A840" t="s">
        <v>1719</v>
      </c>
      <c r="B840" s="2">
        <v>46496</v>
      </c>
      <c r="C840" t="s">
        <v>1720</v>
      </c>
      <c r="D840" t="s">
        <v>1721</v>
      </c>
      <c r="E840" t="s">
        <v>26</v>
      </c>
      <c r="F840" t="s">
        <v>27</v>
      </c>
      <c r="G840" t="s">
        <v>28</v>
      </c>
      <c r="H840" t="s">
        <v>29</v>
      </c>
      <c r="I840" t="s">
        <v>35</v>
      </c>
      <c r="J840">
        <v>2</v>
      </c>
      <c r="K840">
        <v>4200</v>
      </c>
      <c r="L840">
        <v>0.2</v>
      </c>
      <c r="M840">
        <v>6720</v>
      </c>
      <c r="N840">
        <v>5800</v>
      </c>
      <c r="O840">
        <v>920</v>
      </c>
    </row>
    <row r="841" spans="1:15" x14ac:dyDescent="0.25">
      <c r="A841" t="s">
        <v>1722</v>
      </c>
      <c r="B841" s="2">
        <v>46497</v>
      </c>
      <c r="C841" t="s">
        <v>535</v>
      </c>
      <c r="D841" t="s">
        <v>536</v>
      </c>
      <c r="E841" t="s">
        <v>39</v>
      </c>
      <c r="F841" t="s">
        <v>71</v>
      </c>
      <c r="G841" t="s">
        <v>28</v>
      </c>
      <c r="H841" t="s">
        <v>63</v>
      </c>
      <c r="I841" t="s">
        <v>64</v>
      </c>
      <c r="J841">
        <v>5</v>
      </c>
      <c r="K841">
        <v>2400</v>
      </c>
      <c r="L841">
        <v>0.1</v>
      </c>
      <c r="M841">
        <v>10800</v>
      </c>
      <c r="N841">
        <v>8250</v>
      </c>
      <c r="O841">
        <v>2550</v>
      </c>
    </row>
    <row r="842" spans="1:15" x14ac:dyDescent="0.25">
      <c r="A842" t="s">
        <v>1723</v>
      </c>
      <c r="B842" s="2">
        <v>46498</v>
      </c>
      <c r="C842" t="s">
        <v>1724</v>
      </c>
      <c r="D842" t="s">
        <v>1725</v>
      </c>
      <c r="E842" t="s">
        <v>26</v>
      </c>
      <c r="F842" t="s">
        <v>27</v>
      </c>
      <c r="G842" t="s">
        <v>51</v>
      </c>
      <c r="H842" t="s">
        <v>21</v>
      </c>
      <c r="I842" t="s">
        <v>80</v>
      </c>
      <c r="J842">
        <v>5</v>
      </c>
      <c r="K842">
        <v>850</v>
      </c>
      <c r="L842">
        <v>0.1</v>
      </c>
      <c r="M842">
        <v>3825</v>
      </c>
      <c r="N842">
        <v>2800</v>
      </c>
      <c r="O842">
        <v>1025</v>
      </c>
    </row>
    <row r="843" spans="1:15" x14ac:dyDescent="0.25">
      <c r="A843" t="s">
        <v>1726</v>
      </c>
      <c r="B843" s="2">
        <v>46499</v>
      </c>
      <c r="C843" t="s">
        <v>216</v>
      </c>
      <c r="D843" t="s">
        <v>217</v>
      </c>
      <c r="E843" t="s">
        <v>96</v>
      </c>
      <c r="F843" t="s">
        <v>120</v>
      </c>
      <c r="G843" t="s">
        <v>51</v>
      </c>
      <c r="H843" t="s">
        <v>21</v>
      </c>
      <c r="I843" t="s">
        <v>116</v>
      </c>
      <c r="J843">
        <v>2</v>
      </c>
      <c r="K843">
        <v>1400</v>
      </c>
      <c r="L843">
        <v>0.15</v>
      </c>
      <c r="M843">
        <v>2380</v>
      </c>
      <c r="N843">
        <v>1800</v>
      </c>
      <c r="O843">
        <v>580</v>
      </c>
    </row>
    <row r="844" spans="1:15" x14ac:dyDescent="0.25">
      <c r="A844" t="s">
        <v>1727</v>
      </c>
      <c r="B844" s="2">
        <v>46500</v>
      </c>
      <c r="C844" t="s">
        <v>887</v>
      </c>
      <c r="D844" t="s">
        <v>888</v>
      </c>
      <c r="E844" t="s">
        <v>26</v>
      </c>
      <c r="F844" t="s">
        <v>204</v>
      </c>
      <c r="G844" t="s">
        <v>20</v>
      </c>
      <c r="H844" t="s">
        <v>84</v>
      </c>
      <c r="I844" t="s">
        <v>169</v>
      </c>
      <c r="J844">
        <v>4</v>
      </c>
      <c r="K844">
        <v>450</v>
      </c>
      <c r="L844">
        <v>0.15</v>
      </c>
      <c r="M844">
        <v>1530</v>
      </c>
      <c r="N844">
        <v>1040</v>
      </c>
      <c r="O844">
        <v>490</v>
      </c>
    </row>
    <row r="845" spans="1:15" x14ac:dyDescent="0.25">
      <c r="A845" t="s">
        <v>1728</v>
      </c>
      <c r="B845" s="2">
        <v>46501</v>
      </c>
      <c r="C845" t="s">
        <v>1616</v>
      </c>
      <c r="D845" t="s">
        <v>1617</v>
      </c>
      <c r="E845" t="s">
        <v>18</v>
      </c>
      <c r="F845" t="s">
        <v>115</v>
      </c>
      <c r="G845" t="s">
        <v>28</v>
      </c>
      <c r="H845" t="s">
        <v>29</v>
      </c>
      <c r="I845" t="s">
        <v>47</v>
      </c>
      <c r="J845">
        <v>2</v>
      </c>
      <c r="K845">
        <v>6800</v>
      </c>
      <c r="L845">
        <v>0.2</v>
      </c>
      <c r="M845">
        <v>10880</v>
      </c>
      <c r="N845">
        <v>9400</v>
      </c>
      <c r="O845">
        <v>1480</v>
      </c>
    </row>
    <row r="846" spans="1:15" x14ac:dyDescent="0.25">
      <c r="A846" t="s">
        <v>1729</v>
      </c>
      <c r="B846" s="2">
        <v>46502</v>
      </c>
      <c r="C846" t="s">
        <v>718</v>
      </c>
      <c r="D846" t="s">
        <v>719</v>
      </c>
      <c r="E846" t="s">
        <v>26</v>
      </c>
      <c r="F846" t="s">
        <v>34</v>
      </c>
      <c r="G846" t="s">
        <v>51</v>
      </c>
      <c r="H846" t="s">
        <v>21</v>
      </c>
      <c r="I846" t="s">
        <v>80</v>
      </c>
      <c r="J846">
        <v>1</v>
      </c>
      <c r="K846">
        <v>850</v>
      </c>
      <c r="L846">
        <v>0.15</v>
      </c>
      <c r="M846">
        <v>722.5</v>
      </c>
      <c r="N846">
        <v>560</v>
      </c>
      <c r="O846">
        <v>162.5</v>
      </c>
    </row>
    <row r="847" spans="1:15" x14ac:dyDescent="0.25">
      <c r="A847" t="s">
        <v>1730</v>
      </c>
      <c r="B847" s="2">
        <v>46503</v>
      </c>
      <c r="C847" t="s">
        <v>1731</v>
      </c>
      <c r="D847" t="s">
        <v>1732</v>
      </c>
      <c r="E847" t="s">
        <v>26</v>
      </c>
      <c r="F847" t="s">
        <v>204</v>
      </c>
      <c r="G847" t="s">
        <v>51</v>
      </c>
      <c r="H847" t="s">
        <v>21</v>
      </c>
      <c r="I847" t="s">
        <v>116</v>
      </c>
      <c r="J847">
        <v>5</v>
      </c>
      <c r="K847">
        <v>1400</v>
      </c>
      <c r="L847">
        <v>0.1</v>
      </c>
      <c r="M847">
        <v>6300</v>
      </c>
      <c r="N847">
        <v>4500</v>
      </c>
      <c r="O847">
        <v>1800</v>
      </c>
    </row>
    <row r="848" spans="1:15" x14ac:dyDescent="0.25">
      <c r="A848" t="s">
        <v>1733</v>
      </c>
      <c r="B848" s="2">
        <v>46504</v>
      </c>
      <c r="C848" t="s">
        <v>1734</v>
      </c>
      <c r="D848" t="s">
        <v>1735</v>
      </c>
      <c r="E848" t="s">
        <v>96</v>
      </c>
      <c r="F848" t="s">
        <v>97</v>
      </c>
      <c r="G848" t="s">
        <v>20</v>
      </c>
      <c r="H848" t="s">
        <v>84</v>
      </c>
      <c r="I848" t="s">
        <v>169</v>
      </c>
      <c r="J848">
        <v>4</v>
      </c>
      <c r="K848">
        <v>450</v>
      </c>
      <c r="L848">
        <v>0.1</v>
      </c>
      <c r="M848">
        <v>1620</v>
      </c>
      <c r="N848">
        <v>1040</v>
      </c>
      <c r="O848">
        <v>580</v>
      </c>
    </row>
    <row r="849" spans="1:15" x14ac:dyDescent="0.25">
      <c r="A849" t="s">
        <v>1736</v>
      </c>
      <c r="B849" s="2">
        <v>46505</v>
      </c>
      <c r="C849" t="s">
        <v>1227</v>
      </c>
      <c r="D849" t="s">
        <v>1228</v>
      </c>
      <c r="E849" t="s">
        <v>26</v>
      </c>
      <c r="F849" t="s">
        <v>34</v>
      </c>
      <c r="G849" t="s">
        <v>57</v>
      </c>
      <c r="H849" t="s">
        <v>58</v>
      </c>
      <c r="I849" t="s">
        <v>129</v>
      </c>
      <c r="J849">
        <v>2</v>
      </c>
      <c r="K849">
        <v>4800</v>
      </c>
      <c r="L849">
        <v>0</v>
      </c>
      <c r="M849">
        <v>9600</v>
      </c>
      <c r="N849">
        <v>6600</v>
      </c>
      <c r="O849">
        <v>3000</v>
      </c>
    </row>
    <row r="850" spans="1:15" x14ac:dyDescent="0.25">
      <c r="A850" t="s">
        <v>1737</v>
      </c>
      <c r="B850" s="2">
        <v>46506</v>
      </c>
      <c r="C850" t="s">
        <v>1551</v>
      </c>
      <c r="D850" t="s">
        <v>1552</v>
      </c>
      <c r="E850" t="s">
        <v>18</v>
      </c>
      <c r="F850" t="s">
        <v>19</v>
      </c>
      <c r="G850" t="s">
        <v>20</v>
      </c>
      <c r="H850" t="s">
        <v>84</v>
      </c>
      <c r="I850" t="s">
        <v>169</v>
      </c>
      <c r="J850">
        <v>1</v>
      </c>
      <c r="K850">
        <v>450</v>
      </c>
      <c r="L850">
        <v>0</v>
      </c>
      <c r="M850">
        <v>450</v>
      </c>
      <c r="N850">
        <v>260</v>
      </c>
      <c r="O850">
        <v>190</v>
      </c>
    </row>
    <row r="851" spans="1:15" x14ac:dyDescent="0.25">
      <c r="A851" t="s">
        <v>1738</v>
      </c>
      <c r="B851" s="2">
        <v>46507</v>
      </c>
      <c r="C851" t="s">
        <v>1739</v>
      </c>
      <c r="D851" t="s">
        <v>1740</v>
      </c>
      <c r="E851" t="s">
        <v>39</v>
      </c>
      <c r="F851" t="s">
        <v>40</v>
      </c>
      <c r="G851" t="s">
        <v>28</v>
      </c>
      <c r="H851" t="s">
        <v>29</v>
      </c>
      <c r="I851" t="s">
        <v>47</v>
      </c>
      <c r="J851">
        <v>1</v>
      </c>
      <c r="K851">
        <v>6800</v>
      </c>
      <c r="L851">
        <v>0.15</v>
      </c>
      <c r="M851">
        <v>5780</v>
      </c>
      <c r="N851">
        <v>4700</v>
      </c>
      <c r="O851">
        <v>1080</v>
      </c>
    </row>
    <row r="852" spans="1:15" x14ac:dyDescent="0.25">
      <c r="A852" t="s">
        <v>1741</v>
      </c>
      <c r="B852" s="2">
        <v>46508</v>
      </c>
      <c r="C852" t="s">
        <v>1742</v>
      </c>
      <c r="D852" t="s">
        <v>1743</v>
      </c>
      <c r="E852" t="s">
        <v>26</v>
      </c>
      <c r="F852" t="s">
        <v>34</v>
      </c>
      <c r="G852" t="s">
        <v>51</v>
      </c>
      <c r="H852" t="s">
        <v>21</v>
      </c>
      <c r="I852" t="s">
        <v>80</v>
      </c>
      <c r="J852">
        <v>4</v>
      </c>
      <c r="K852">
        <v>850</v>
      </c>
      <c r="L852">
        <v>0.2</v>
      </c>
      <c r="M852">
        <v>2720</v>
      </c>
      <c r="N852">
        <v>2240</v>
      </c>
      <c r="O852">
        <v>480</v>
      </c>
    </row>
    <row r="853" spans="1:15" x14ac:dyDescent="0.25">
      <c r="A853" t="s">
        <v>1744</v>
      </c>
      <c r="B853" s="2">
        <v>46509</v>
      </c>
      <c r="C853" t="s">
        <v>1745</v>
      </c>
      <c r="D853" t="s">
        <v>1746</v>
      </c>
      <c r="E853" t="s">
        <v>26</v>
      </c>
      <c r="F853" t="s">
        <v>27</v>
      </c>
      <c r="G853" t="s">
        <v>20</v>
      </c>
      <c r="H853" t="s">
        <v>84</v>
      </c>
      <c r="I853" t="s">
        <v>169</v>
      </c>
      <c r="J853">
        <v>4</v>
      </c>
      <c r="K853">
        <v>450</v>
      </c>
      <c r="L853">
        <v>0.15</v>
      </c>
      <c r="M853">
        <v>1530</v>
      </c>
      <c r="N853">
        <v>1040</v>
      </c>
      <c r="O853">
        <v>490</v>
      </c>
    </row>
    <row r="854" spans="1:15" x14ac:dyDescent="0.25">
      <c r="A854" t="s">
        <v>1747</v>
      </c>
      <c r="B854" s="2">
        <v>46510</v>
      </c>
      <c r="C854" t="s">
        <v>1693</v>
      </c>
      <c r="D854" t="s">
        <v>1694</v>
      </c>
      <c r="E854" t="s">
        <v>18</v>
      </c>
      <c r="F854" t="s">
        <v>227</v>
      </c>
      <c r="G854" t="s">
        <v>28</v>
      </c>
      <c r="H854" t="s">
        <v>29</v>
      </c>
      <c r="I854" t="s">
        <v>47</v>
      </c>
      <c r="J854">
        <v>1</v>
      </c>
      <c r="K854">
        <v>6800</v>
      </c>
      <c r="L854">
        <v>0.2</v>
      </c>
      <c r="M854">
        <v>5440</v>
      </c>
      <c r="N854">
        <v>4700</v>
      </c>
      <c r="O854">
        <v>740</v>
      </c>
    </row>
    <row r="855" spans="1:15" x14ac:dyDescent="0.25">
      <c r="A855" t="s">
        <v>1748</v>
      </c>
      <c r="B855" s="2">
        <v>46511</v>
      </c>
      <c r="C855" t="s">
        <v>954</v>
      </c>
      <c r="D855" t="s">
        <v>955</v>
      </c>
      <c r="E855" t="s">
        <v>39</v>
      </c>
      <c r="F855" t="s">
        <v>124</v>
      </c>
      <c r="G855" t="s">
        <v>20</v>
      </c>
      <c r="H855" t="s">
        <v>41</v>
      </c>
      <c r="I855" t="s">
        <v>42</v>
      </c>
      <c r="J855">
        <v>4</v>
      </c>
      <c r="K855">
        <v>520</v>
      </c>
      <c r="L855">
        <v>0.2</v>
      </c>
      <c r="M855">
        <v>1664</v>
      </c>
      <c r="N855">
        <v>1320</v>
      </c>
      <c r="O855">
        <v>344</v>
      </c>
    </row>
    <row r="856" spans="1:15" x14ac:dyDescent="0.25">
      <c r="A856" t="s">
        <v>1749</v>
      </c>
      <c r="B856" s="2">
        <v>46512</v>
      </c>
      <c r="C856" t="s">
        <v>1750</v>
      </c>
      <c r="D856" t="s">
        <v>1751</v>
      </c>
      <c r="E856" t="s">
        <v>26</v>
      </c>
      <c r="F856" t="s">
        <v>204</v>
      </c>
      <c r="G856" t="s">
        <v>28</v>
      </c>
      <c r="H856" t="s">
        <v>29</v>
      </c>
      <c r="I856" t="s">
        <v>30</v>
      </c>
      <c r="J856">
        <v>2</v>
      </c>
      <c r="K856">
        <v>1900</v>
      </c>
      <c r="L856">
        <v>0</v>
      </c>
      <c r="M856">
        <v>3800</v>
      </c>
      <c r="N856">
        <v>2500</v>
      </c>
      <c r="O856">
        <v>1300</v>
      </c>
    </row>
    <row r="857" spans="1:15" x14ac:dyDescent="0.25">
      <c r="A857" t="s">
        <v>1752</v>
      </c>
      <c r="B857" s="2">
        <v>46513</v>
      </c>
      <c r="C857" t="s">
        <v>637</v>
      </c>
      <c r="D857" t="s">
        <v>638</v>
      </c>
      <c r="E857" t="s">
        <v>26</v>
      </c>
      <c r="F857" t="s">
        <v>34</v>
      </c>
      <c r="G857" t="s">
        <v>28</v>
      </c>
      <c r="H857" t="s">
        <v>29</v>
      </c>
      <c r="I857" t="s">
        <v>47</v>
      </c>
      <c r="J857">
        <v>5</v>
      </c>
      <c r="K857">
        <v>6800</v>
      </c>
      <c r="L857">
        <v>0.1</v>
      </c>
      <c r="M857">
        <v>30600</v>
      </c>
      <c r="N857">
        <v>23500</v>
      </c>
      <c r="O857">
        <v>7100</v>
      </c>
    </row>
    <row r="858" spans="1:15" x14ac:dyDescent="0.25">
      <c r="A858" t="s">
        <v>1753</v>
      </c>
      <c r="B858" s="2">
        <v>46514</v>
      </c>
      <c r="C858" t="s">
        <v>1259</v>
      </c>
      <c r="D858" t="s">
        <v>1260</v>
      </c>
      <c r="E858" t="s">
        <v>39</v>
      </c>
      <c r="F858" t="s">
        <v>40</v>
      </c>
      <c r="G858" t="s">
        <v>51</v>
      </c>
      <c r="H858" t="s">
        <v>21</v>
      </c>
      <c r="I858" t="s">
        <v>72</v>
      </c>
      <c r="J858">
        <v>3</v>
      </c>
      <c r="K858">
        <v>1800</v>
      </c>
      <c r="L858">
        <v>0.2</v>
      </c>
      <c r="M858">
        <v>4320</v>
      </c>
      <c r="N858">
        <v>3300</v>
      </c>
      <c r="O858">
        <v>1020</v>
      </c>
    </row>
    <row r="859" spans="1:15" x14ac:dyDescent="0.25">
      <c r="A859" t="s">
        <v>1754</v>
      </c>
      <c r="B859" s="2">
        <v>46515</v>
      </c>
      <c r="C859" t="s">
        <v>1755</v>
      </c>
      <c r="D859" t="s">
        <v>1756</v>
      </c>
      <c r="E859" t="s">
        <v>18</v>
      </c>
      <c r="F859" t="s">
        <v>115</v>
      </c>
      <c r="G859" t="s">
        <v>20</v>
      </c>
      <c r="H859" t="s">
        <v>21</v>
      </c>
      <c r="I859" t="s">
        <v>22</v>
      </c>
      <c r="J859">
        <v>5</v>
      </c>
      <c r="K859">
        <v>650</v>
      </c>
      <c r="L859">
        <v>0.25</v>
      </c>
      <c r="M859">
        <v>2437.5</v>
      </c>
      <c r="N859">
        <v>1950</v>
      </c>
      <c r="O859">
        <v>487.5</v>
      </c>
    </row>
    <row r="860" spans="1:15" x14ac:dyDescent="0.25">
      <c r="A860" t="s">
        <v>1757</v>
      </c>
      <c r="B860" s="2">
        <v>46516</v>
      </c>
      <c r="C860" t="s">
        <v>1758</v>
      </c>
      <c r="D860" t="s">
        <v>1759</v>
      </c>
      <c r="E860" t="s">
        <v>18</v>
      </c>
      <c r="F860" t="s">
        <v>19</v>
      </c>
      <c r="G860" t="s">
        <v>51</v>
      </c>
      <c r="H860" t="s">
        <v>21</v>
      </c>
      <c r="I860" t="s">
        <v>80</v>
      </c>
      <c r="J860">
        <v>1</v>
      </c>
      <c r="K860">
        <v>850</v>
      </c>
      <c r="L860">
        <v>0</v>
      </c>
      <c r="M860">
        <v>850</v>
      </c>
      <c r="N860">
        <v>560</v>
      </c>
      <c r="O860">
        <v>290</v>
      </c>
    </row>
    <row r="861" spans="1:15" x14ac:dyDescent="0.25">
      <c r="A861" t="s">
        <v>1760</v>
      </c>
      <c r="B861" s="2">
        <v>46517</v>
      </c>
      <c r="C861" t="s">
        <v>167</v>
      </c>
      <c r="D861" t="s">
        <v>168</v>
      </c>
      <c r="E861" t="s">
        <v>96</v>
      </c>
      <c r="F861" t="s">
        <v>120</v>
      </c>
      <c r="G861" t="s">
        <v>20</v>
      </c>
      <c r="H861" t="s">
        <v>84</v>
      </c>
      <c r="I861" t="s">
        <v>210</v>
      </c>
      <c r="J861">
        <v>1</v>
      </c>
      <c r="K861">
        <v>300</v>
      </c>
      <c r="L861">
        <v>0.15</v>
      </c>
      <c r="M861">
        <v>255</v>
      </c>
      <c r="N861">
        <v>170</v>
      </c>
      <c r="O861">
        <v>85</v>
      </c>
    </row>
    <row r="862" spans="1:15" x14ac:dyDescent="0.25">
      <c r="A862" t="s">
        <v>1761</v>
      </c>
      <c r="B862" s="2">
        <v>46518</v>
      </c>
      <c r="C862" t="s">
        <v>1762</v>
      </c>
      <c r="D862" t="s">
        <v>1763</v>
      </c>
      <c r="E862" t="s">
        <v>26</v>
      </c>
      <c r="F862" t="s">
        <v>34</v>
      </c>
      <c r="G862" t="s">
        <v>28</v>
      </c>
      <c r="H862" t="s">
        <v>29</v>
      </c>
      <c r="I862" t="s">
        <v>47</v>
      </c>
      <c r="J862">
        <v>1</v>
      </c>
      <c r="K862">
        <v>6800</v>
      </c>
      <c r="L862">
        <v>0.2</v>
      </c>
      <c r="M862">
        <v>5440</v>
      </c>
      <c r="N862">
        <v>4700</v>
      </c>
      <c r="O862">
        <v>740</v>
      </c>
    </row>
    <row r="863" spans="1:15" x14ac:dyDescent="0.25">
      <c r="A863" t="s">
        <v>1764</v>
      </c>
      <c r="B863" s="2">
        <v>46519</v>
      </c>
      <c r="C863" t="s">
        <v>360</v>
      </c>
      <c r="D863" t="s">
        <v>361</v>
      </c>
      <c r="E863" t="s">
        <v>39</v>
      </c>
      <c r="F863" t="s">
        <v>124</v>
      </c>
      <c r="G863" t="s">
        <v>57</v>
      </c>
      <c r="H863" t="s">
        <v>188</v>
      </c>
      <c r="I863" t="s">
        <v>189</v>
      </c>
      <c r="J863">
        <v>2</v>
      </c>
      <c r="K863">
        <v>6200</v>
      </c>
      <c r="L863">
        <v>0.15</v>
      </c>
      <c r="M863">
        <v>10540</v>
      </c>
      <c r="N863">
        <v>8600</v>
      </c>
      <c r="O863">
        <v>1940</v>
      </c>
    </row>
    <row r="864" spans="1:15" x14ac:dyDescent="0.25">
      <c r="A864" t="s">
        <v>1765</v>
      </c>
      <c r="B864" s="2">
        <v>46520</v>
      </c>
      <c r="C864" t="s">
        <v>796</v>
      </c>
      <c r="D864" t="s">
        <v>797</v>
      </c>
      <c r="E864" t="s">
        <v>26</v>
      </c>
      <c r="F864" t="s">
        <v>27</v>
      </c>
      <c r="G864" t="s">
        <v>51</v>
      </c>
      <c r="H864" t="s">
        <v>21</v>
      </c>
      <c r="I864" t="s">
        <v>116</v>
      </c>
      <c r="J864">
        <v>1</v>
      </c>
      <c r="K864">
        <v>1400</v>
      </c>
      <c r="L864">
        <v>0.2</v>
      </c>
      <c r="M864">
        <v>1120</v>
      </c>
      <c r="N864">
        <v>900</v>
      </c>
      <c r="O864">
        <v>220</v>
      </c>
    </row>
    <row r="865" spans="1:15" x14ac:dyDescent="0.25">
      <c r="A865" t="s">
        <v>1766</v>
      </c>
      <c r="B865" s="2">
        <v>46521</v>
      </c>
      <c r="C865" t="s">
        <v>265</v>
      </c>
      <c r="D865" t="s">
        <v>266</v>
      </c>
      <c r="E865" t="s">
        <v>39</v>
      </c>
      <c r="F865" t="s">
        <v>76</v>
      </c>
      <c r="G865" t="s">
        <v>57</v>
      </c>
      <c r="H865" t="s">
        <v>104</v>
      </c>
      <c r="I865" t="s">
        <v>105</v>
      </c>
      <c r="J865">
        <v>4</v>
      </c>
      <c r="K865">
        <v>7500</v>
      </c>
      <c r="L865">
        <v>0.1</v>
      </c>
      <c r="M865">
        <v>27000</v>
      </c>
      <c r="N865">
        <v>20800</v>
      </c>
      <c r="O865">
        <v>6200</v>
      </c>
    </row>
    <row r="866" spans="1:15" x14ac:dyDescent="0.25">
      <c r="A866" t="s">
        <v>1767</v>
      </c>
      <c r="B866" s="2">
        <v>46522</v>
      </c>
      <c r="C866" t="s">
        <v>143</v>
      </c>
      <c r="D866" t="s">
        <v>144</v>
      </c>
      <c r="E866" t="s">
        <v>26</v>
      </c>
      <c r="F866" t="s">
        <v>128</v>
      </c>
      <c r="G866" t="s">
        <v>57</v>
      </c>
      <c r="H866" t="s">
        <v>58</v>
      </c>
      <c r="I866" t="s">
        <v>129</v>
      </c>
      <c r="J866">
        <v>3</v>
      </c>
      <c r="K866">
        <v>4800</v>
      </c>
      <c r="L866">
        <v>0.1</v>
      </c>
      <c r="M866">
        <v>12960</v>
      </c>
      <c r="N866">
        <v>9900</v>
      </c>
      <c r="O866">
        <v>3060</v>
      </c>
    </row>
    <row r="867" spans="1:15" x14ac:dyDescent="0.25">
      <c r="A867" t="s">
        <v>1768</v>
      </c>
      <c r="B867" s="2">
        <v>46523</v>
      </c>
      <c r="C867" t="s">
        <v>708</v>
      </c>
      <c r="D867" t="s">
        <v>709</v>
      </c>
      <c r="E867" t="s">
        <v>39</v>
      </c>
      <c r="F867" t="s">
        <v>40</v>
      </c>
      <c r="G867" t="s">
        <v>51</v>
      </c>
      <c r="H867" t="s">
        <v>21</v>
      </c>
      <c r="I867" t="s">
        <v>72</v>
      </c>
      <c r="J867">
        <v>3</v>
      </c>
      <c r="K867">
        <v>1800</v>
      </c>
      <c r="L867">
        <v>0</v>
      </c>
      <c r="M867">
        <v>5400</v>
      </c>
      <c r="N867">
        <v>3300</v>
      </c>
      <c r="O867">
        <v>2100</v>
      </c>
    </row>
    <row r="868" spans="1:15" x14ac:dyDescent="0.25">
      <c r="A868" t="s">
        <v>1769</v>
      </c>
      <c r="B868" s="2">
        <v>46524</v>
      </c>
      <c r="C868" t="s">
        <v>929</v>
      </c>
      <c r="D868" t="s">
        <v>930</v>
      </c>
      <c r="E868" t="s">
        <v>26</v>
      </c>
      <c r="F868" t="s">
        <v>27</v>
      </c>
      <c r="G868" t="s">
        <v>51</v>
      </c>
      <c r="H868" t="s">
        <v>89</v>
      </c>
      <c r="I868" t="s">
        <v>90</v>
      </c>
      <c r="J868">
        <v>2</v>
      </c>
      <c r="K868">
        <v>10500</v>
      </c>
      <c r="L868">
        <v>0</v>
      </c>
      <c r="M868">
        <v>21000</v>
      </c>
      <c r="N868">
        <v>15200</v>
      </c>
      <c r="O868">
        <v>5800</v>
      </c>
    </row>
    <row r="869" spans="1:15" x14ac:dyDescent="0.25">
      <c r="A869" t="s">
        <v>1770</v>
      </c>
      <c r="B869" s="2">
        <v>46525</v>
      </c>
      <c r="C869" t="s">
        <v>284</v>
      </c>
      <c r="D869" t="s">
        <v>285</v>
      </c>
      <c r="E869" t="s">
        <v>26</v>
      </c>
      <c r="F869" t="s">
        <v>46</v>
      </c>
      <c r="G869" t="s">
        <v>51</v>
      </c>
      <c r="H869" t="s">
        <v>21</v>
      </c>
      <c r="I869" t="s">
        <v>80</v>
      </c>
      <c r="J869">
        <v>4</v>
      </c>
      <c r="K869">
        <v>850</v>
      </c>
      <c r="L869">
        <v>0.1</v>
      </c>
      <c r="M869">
        <v>3060</v>
      </c>
      <c r="N869">
        <v>2240</v>
      </c>
      <c r="O869">
        <v>820</v>
      </c>
    </row>
    <row r="870" spans="1:15" x14ac:dyDescent="0.25">
      <c r="A870" t="s">
        <v>1771</v>
      </c>
      <c r="B870" s="2">
        <v>46526</v>
      </c>
      <c r="C870" t="s">
        <v>177</v>
      </c>
      <c r="D870" t="s">
        <v>178</v>
      </c>
      <c r="E870" t="s">
        <v>39</v>
      </c>
      <c r="F870" t="s">
        <v>76</v>
      </c>
      <c r="G870" t="s">
        <v>20</v>
      </c>
      <c r="H870" t="s">
        <v>84</v>
      </c>
      <c r="I870" t="s">
        <v>210</v>
      </c>
      <c r="J870">
        <v>3</v>
      </c>
      <c r="K870">
        <v>300</v>
      </c>
      <c r="L870">
        <v>0.1</v>
      </c>
      <c r="M870">
        <v>810</v>
      </c>
      <c r="N870">
        <v>510</v>
      </c>
      <c r="O870">
        <v>300</v>
      </c>
    </row>
    <row r="871" spans="1:15" x14ac:dyDescent="0.25">
      <c r="A871" t="s">
        <v>1772</v>
      </c>
      <c r="B871" s="2">
        <v>46527</v>
      </c>
      <c r="C871" t="s">
        <v>384</v>
      </c>
      <c r="D871" t="s">
        <v>385</v>
      </c>
      <c r="E871" t="s">
        <v>96</v>
      </c>
      <c r="F871" t="s">
        <v>196</v>
      </c>
      <c r="G871" t="s">
        <v>28</v>
      </c>
      <c r="H871" t="s">
        <v>29</v>
      </c>
      <c r="I871" t="s">
        <v>30</v>
      </c>
      <c r="J871">
        <v>4</v>
      </c>
      <c r="K871">
        <v>1900</v>
      </c>
      <c r="L871">
        <v>0.2</v>
      </c>
      <c r="M871">
        <v>6080</v>
      </c>
      <c r="N871">
        <v>5000</v>
      </c>
      <c r="O871">
        <v>1080</v>
      </c>
    </row>
    <row r="872" spans="1:15" x14ac:dyDescent="0.25">
      <c r="A872" t="s">
        <v>1773</v>
      </c>
      <c r="B872" s="2">
        <v>46528</v>
      </c>
      <c r="C872" t="s">
        <v>544</v>
      </c>
      <c r="D872" t="s">
        <v>545</v>
      </c>
      <c r="E872" t="s">
        <v>26</v>
      </c>
      <c r="F872" t="s">
        <v>27</v>
      </c>
      <c r="G872" t="s">
        <v>51</v>
      </c>
      <c r="H872" t="s">
        <v>89</v>
      </c>
      <c r="I872" t="s">
        <v>90</v>
      </c>
      <c r="J872">
        <v>1</v>
      </c>
      <c r="K872">
        <v>10500</v>
      </c>
      <c r="L872">
        <v>0.15</v>
      </c>
      <c r="M872">
        <v>8925</v>
      </c>
      <c r="N872">
        <v>7600</v>
      </c>
      <c r="O872">
        <v>1325</v>
      </c>
    </row>
    <row r="873" spans="1:15" x14ac:dyDescent="0.25">
      <c r="A873" t="s">
        <v>1774</v>
      </c>
      <c r="B873" s="2">
        <v>46529</v>
      </c>
      <c r="C873" t="s">
        <v>960</v>
      </c>
      <c r="D873" t="s">
        <v>961</v>
      </c>
      <c r="E873" t="s">
        <v>26</v>
      </c>
      <c r="F873" t="s">
        <v>204</v>
      </c>
      <c r="G873" t="s">
        <v>28</v>
      </c>
      <c r="H873" t="s">
        <v>29</v>
      </c>
      <c r="I873" t="s">
        <v>47</v>
      </c>
      <c r="J873">
        <v>5</v>
      </c>
      <c r="K873">
        <v>6800</v>
      </c>
      <c r="L873">
        <v>0.15</v>
      </c>
      <c r="M873">
        <v>28900</v>
      </c>
      <c r="N873">
        <v>23500</v>
      </c>
      <c r="O873">
        <v>5400</v>
      </c>
    </row>
    <row r="874" spans="1:15" x14ac:dyDescent="0.25">
      <c r="A874" t="s">
        <v>1775</v>
      </c>
      <c r="B874" s="2">
        <v>46530</v>
      </c>
      <c r="C874" t="s">
        <v>905</v>
      </c>
      <c r="D874" t="s">
        <v>906</v>
      </c>
      <c r="E874" t="s">
        <v>26</v>
      </c>
      <c r="F874" t="s">
        <v>27</v>
      </c>
      <c r="G874" t="s">
        <v>28</v>
      </c>
      <c r="H874" t="s">
        <v>29</v>
      </c>
      <c r="I874" t="s">
        <v>30</v>
      </c>
      <c r="J874">
        <v>2</v>
      </c>
      <c r="K874">
        <v>1900</v>
      </c>
      <c r="L874">
        <v>0.05</v>
      </c>
      <c r="M874">
        <v>3610</v>
      </c>
      <c r="N874">
        <v>2500</v>
      </c>
      <c r="O874">
        <v>1110</v>
      </c>
    </row>
    <row r="875" spans="1:15" x14ac:dyDescent="0.25">
      <c r="A875" t="s">
        <v>1776</v>
      </c>
      <c r="B875" s="2">
        <v>46531</v>
      </c>
      <c r="C875" t="s">
        <v>1049</v>
      </c>
      <c r="D875" t="s">
        <v>1050</v>
      </c>
      <c r="E875" t="s">
        <v>26</v>
      </c>
      <c r="F875" t="s">
        <v>128</v>
      </c>
      <c r="G875" t="s">
        <v>51</v>
      </c>
      <c r="H875" t="s">
        <v>21</v>
      </c>
      <c r="I875" t="s">
        <v>72</v>
      </c>
      <c r="J875">
        <v>5</v>
      </c>
      <c r="K875">
        <v>1800</v>
      </c>
      <c r="L875">
        <v>0.05</v>
      </c>
      <c r="M875">
        <v>8550</v>
      </c>
      <c r="N875">
        <v>5500</v>
      </c>
      <c r="O875">
        <v>3050</v>
      </c>
    </row>
    <row r="876" spans="1:15" x14ac:dyDescent="0.25">
      <c r="A876" t="s">
        <v>1777</v>
      </c>
      <c r="B876" s="2">
        <v>46532</v>
      </c>
      <c r="C876" t="s">
        <v>655</v>
      </c>
      <c r="D876" t="s">
        <v>656</v>
      </c>
      <c r="E876" t="s">
        <v>18</v>
      </c>
      <c r="F876" t="s">
        <v>94</v>
      </c>
      <c r="G876" t="s">
        <v>51</v>
      </c>
      <c r="H876" t="s">
        <v>52</v>
      </c>
      <c r="I876" t="s">
        <v>208</v>
      </c>
      <c r="J876">
        <v>1</v>
      </c>
      <c r="K876">
        <v>2800</v>
      </c>
      <c r="L876">
        <v>0.15</v>
      </c>
      <c r="M876">
        <v>2380</v>
      </c>
      <c r="N876">
        <v>1800</v>
      </c>
      <c r="O876">
        <v>580</v>
      </c>
    </row>
    <row r="877" spans="1:15" x14ac:dyDescent="0.25">
      <c r="A877" t="s">
        <v>1778</v>
      </c>
      <c r="B877" s="2">
        <v>46533</v>
      </c>
      <c r="C877" t="s">
        <v>550</v>
      </c>
      <c r="D877" t="s">
        <v>551</v>
      </c>
      <c r="E877" t="s">
        <v>26</v>
      </c>
      <c r="F877" t="s">
        <v>27</v>
      </c>
      <c r="G877" t="s">
        <v>51</v>
      </c>
      <c r="H877" t="s">
        <v>21</v>
      </c>
      <c r="I877" t="s">
        <v>116</v>
      </c>
      <c r="J877">
        <v>5</v>
      </c>
      <c r="K877">
        <v>1400</v>
      </c>
      <c r="L877">
        <v>0.1</v>
      </c>
      <c r="M877">
        <v>6300</v>
      </c>
      <c r="N877">
        <v>4500</v>
      </c>
      <c r="O877">
        <v>1800</v>
      </c>
    </row>
    <row r="878" spans="1:15" x14ac:dyDescent="0.25">
      <c r="A878" t="s">
        <v>1779</v>
      </c>
      <c r="B878" s="2">
        <v>46534</v>
      </c>
      <c r="C878" t="s">
        <v>1780</v>
      </c>
      <c r="D878" t="s">
        <v>1781</v>
      </c>
      <c r="E878" t="s">
        <v>26</v>
      </c>
      <c r="F878" t="s">
        <v>46</v>
      </c>
      <c r="G878" t="s">
        <v>57</v>
      </c>
      <c r="H878" t="s">
        <v>188</v>
      </c>
      <c r="I878" t="s">
        <v>189</v>
      </c>
      <c r="J878">
        <v>2</v>
      </c>
      <c r="K878">
        <v>6200</v>
      </c>
      <c r="L878">
        <v>0.15</v>
      </c>
      <c r="M878">
        <v>10540</v>
      </c>
      <c r="N878">
        <v>8600</v>
      </c>
      <c r="O878">
        <v>1940</v>
      </c>
    </row>
    <row r="879" spans="1:15" x14ac:dyDescent="0.25">
      <c r="A879" t="s">
        <v>1782</v>
      </c>
      <c r="B879" s="2">
        <v>46535</v>
      </c>
      <c r="C879" t="s">
        <v>1783</v>
      </c>
      <c r="D879" t="s">
        <v>1784</v>
      </c>
      <c r="E879" t="s">
        <v>96</v>
      </c>
      <c r="F879" t="s">
        <v>196</v>
      </c>
      <c r="G879" t="s">
        <v>57</v>
      </c>
      <c r="H879" t="s">
        <v>104</v>
      </c>
      <c r="I879" t="s">
        <v>105</v>
      </c>
      <c r="J879">
        <v>1</v>
      </c>
      <c r="K879">
        <v>7500</v>
      </c>
      <c r="L879">
        <v>0.2</v>
      </c>
      <c r="M879">
        <v>6000</v>
      </c>
      <c r="N879">
        <v>5200</v>
      </c>
      <c r="O879">
        <v>800</v>
      </c>
    </row>
    <row r="880" spans="1:15" x14ac:dyDescent="0.25">
      <c r="A880" t="s">
        <v>1785</v>
      </c>
      <c r="B880" s="2">
        <v>46536</v>
      </c>
      <c r="C880" t="s">
        <v>1786</v>
      </c>
      <c r="D880" t="s">
        <v>1787</v>
      </c>
      <c r="E880" t="s">
        <v>39</v>
      </c>
      <c r="F880" t="s">
        <v>40</v>
      </c>
      <c r="G880" t="s">
        <v>51</v>
      </c>
      <c r="H880" t="s">
        <v>52</v>
      </c>
      <c r="I880" t="s">
        <v>208</v>
      </c>
      <c r="J880">
        <v>5</v>
      </c>
      <c r="K880">
        <v>2800</v>
      </c>
      <c r="L880">
        <v>0.1</v>
      </c>
      <c r="M880">
        <v>12600</v>
      </c>
      <c r="N880">
        <v>9000</v>
      </c>
      <c r="O880">
        <v>3600</v>
      </c>
    </row>
    <row r="881" spans="1:15" x14ac:dyDescent="0.25">
      <c r="A881" t="s">
        <v>1788</v>
      </c>
      <c r="B881" s="2">
        <v>46537</v>
      </c>
      <c r="C881" t="s">
        <v>1789</v>
      </c>
      <c r="D881" t="s">
        <v>1790</v>
      </c>
      <c r="E881" t="s">
        <v>26</v>
      </c>
      <c r="F881" t="s">
        <v>128</v>
      </c>
      <c r="G881" t="s">
        <v>28</v>
      </c>
      <c r="H881" t="s">
        <v>29</v>
      </c>
      <c r="I881" t="s">
        <v>30</v>
      </c>
      <c r="J881">
        <v>4</v>
      </c>
      <c r="K881">
        <v>1900</v>
      </c>
      <c r="L881">
        <v>0.2</v>
      </c>
      <c r="M881">
        <v>6080</v>
      </c>
      <c r="N881">
        <v>5000</v>
      </c>
      <c r="O881">
        <v>1080</v>
      </c>
    </row>
    <row r="882" spans="1:15" x14ac:dyDescent="0.25">
      <c r="A882" t="s">
        <v>1791</v>
      </c>
      <c r="B882" s="2">
        <v>46538</v>
      </c>
      <c r="C882" t="s">
        <v>619</v>
      </c>
      <c r="D882" t="s">
        <v>620</v>
      </c>
      <c r="E882" t="s">
        <v>26</v>
      </c>
      <c r="F882" t="s">
        <v>46</v>
      </c>
      <c r="G882" t="s">
        <v>51</v>
      </c>
      <c r="H882" t="s">
        <v>52</v>
      </c>
      <c r="I882" t="s">
        <v>53</v>
      </c>
      <c r="J882">
        <v>1</v>
      </c>
      <c r="K882">
        <v>2200</v>
      </c>
      <c r="L882">
        <v>0.1</v>
      </c>
      <c r="M882">
        <v>1980</v>
      </c>
      <c r="N882">
        <v>1450</v>
      </c>
      <c r="O882">
        <v>530</v>
      </c>
    </row>
    <row r="883" spans="1:15" x14ac:dyDescent="0.25">
      <c r="A883" t="s">
        <v>1792</v>
      </c>
      <c r="B883" s="2">
        <v>46539</v>
      </c>
      <c r="C883" t="s">
        <v>1793</v>
      </c>
      <c r="D883" t="s">
        <v>1794</v>
      </c>
      <c r="E883" t="s">
        <v>39</v>
      </c>
      <c r="F883" t="s">
        <v>76</v>
      </c>
      <c r="G883" t="s">
        <v>57</v>
      </c>
      <c r="H883" t="s">
        <v>188</v>
      </c>
      <c r="I883" t="s">
        <v>189</v>
      </c>
      <c r="J883">
        <v>5</v>
      </c>
      <c r="K883">
        <v>6200</v>
      </c>
      <c r="L883">
        <v>0.15</v>
      </c>
      <c r="M883">
        <v>26350</v>
      </c>
      <c r="N883">
        <v>21500</v>
      </c>
      <c r="O883">
        <v>4850</v>
      </c>
    </row>
    <row r="884" spans="1:15" x14ac:dyDescent="0.25">
      <c r="A884" t="s">
        <v>1795</v>
      </c>
      <c r="B884" s="2">
        <v>46540</v>
      </c>
      <c r="C884" t="s">
        <v>44</v>
      </c>
      <c r="D884" t="s">
        <v>45</v>
      </c>
      <c r="E884" t="s">
        <v>26</v>
      </c>
      <c r="F884" t="s">
        <v>204</v>
      </c>
      <c r="G884" t="s">
        <v>28</v>
      </c>
      <c r="H884" t="s">
        <v>29</v>
      </c>
      <c r="I884" t="s">
        <v>30</v>
      </c>
      <c r="J884">
        <v>5</v>
      </c>
      <c r="K884">
        <v>1900</v>
      </c>
      <c r="L884">
        <v>0.05</v>
      </c>
      <c r="M884">
        <v>9025</v>
      </c>
      <c r="N884">
        <v>6250</v>
      </c>
      <c r="O884">
        <v>2775</v>
      </c>
    </row>
    <row r="885" spans="1:15" x14ac:dyDescent="0.25">
      <c r="A885" t="s">
        <v>1796</v>
      </c>
      <c r="B885" s="2">
        <v>46541</v>
      </c>
      <c r="C885" t="s">
        <v>1190</v>
      </c>
      <c r="D885" t="s">
        <v>1191</v>
      </c>
      <c r="E885" t="s">
        <v>26</v>
      </c>
      <c r="F885" t="s">
        <v>204</v>
      </c>
      <c r="G885" t="s">
        <v>20</v>
      </c>
      <c r="H885" t="s">
        <v>21</v>
      </c>
      <c r="I885" t="s">
        <v>22</v>
      </c>
      <c r="J885">
        <v>4</v>
      </c>
      <c r="K885">
        <v>650</v>
      </c>
      <c r="L885">
        <v>0.1</v>
      </c>
      <c r="M885">
        <v>2340</v>
      </c>
      <c r="N885">
        <v>1560</v>
      </c>
      <c r="O885">
        <v>780</v>
      </c>
    </row>
    <row r="886" spans="1:15" x14ac:dyDescent="0.25">
      <c r="A886" t="s">
        <v>1797</v>
      </c>
      <c r="B886" s="2">
        <v>46542</v>
      </c>
      <c r="C886" t="s">
        <v>1682</v>
      </c>
      <c r="D886" t="s">
        <v>1683</v>
      </c>
      <c r="E886" t="s">
        <v>96</v>
      </c>
      <c r="F886" t="s">
        <v>120</v>
      </c>
      <c r="G886" t="s">
        <v>20</v>
      </c>
      <c r="H886" t="s">
        <v>41</v>
      </c>
      <c r="I886" t="s">
        <v>42</v>
      </c>
      <c r="J886">
        <v>1</v>
      </c>
      <c r="K886">
        <v>520</v>
      </c>
      <c r="L886">
        <v>0.15</v>
      </c>
      <c r="M886">
        <v>442</v>
      </c>
      <c r="N886">
        <v>330</v>
      </c>
      <c r="O886">
        <v>112</v>
      </c>
    </row>
    <row r="887" spans="1:15" x14ac:dyDescent="0.25">
      <c r="A887" t="s">
        <v>1798</v>
      </c>
      <c r="B887" s="2">
        <v>46543</v>
      </c>
      <c r="C887" t="s">
        <v>122</v>
      </c>
      <c r="D887" t="s">
        <v>123</v>
      </c>
      <c r="E887" t="s">
        <v>26</v>
      </c>
      <c r="F887" t="s">
        <v>128</v>
      </c>
      <c r="G887" t="s">
        <v>28</v>
      </c>
      <c r="H887" t="s">
        <v>29</v>
      </c>
      <c r="I887" t="s">
        <v>35</v>
      </c>
      <c r="J887">
        <v>4</v>
      </c>
      <c r="K887">
        <v>4200</v>
      </c>
      <c r="L887">
        <v>0</v>
      </c>
      <c r="M887">
        <v>16800</v>
      </c>
      <c r="N887">
        <v>11600</v>
      </c>
      <c r="O887">
        <v>5200</v>
      </c>
    </row>
    <row r="888" spans="1:15" x14ac:dyDescent="0.25">
      <c r="A888" t="s">
        <v>1799</v>
      </c>
      <c r="B888" s="2">
        <v>46544</v>
      </c>
      <c r="C888" t="s">
        <v>597</v>
      </c>
      <c r="D888" t="s">
        <v>598</v>
      </c>
      <c r="E888" t="s">
        <v>18</v>
      </c>
      <c r="F888" t="s">
        <v>227</v>
      </c>
      <c r="G888" t="s">
        <v>20</v>
      </c>
      <c r="H888" t="s">
        <v>84</v>
      </c>
      <c r="I888" t="s">
        <v>85</v>
      </c>
      <c r="J888">
        <v>1</v>
      </c>
      <c r="K888">
        <v>280</v>
      </c>
      <c r="L888">
        <v>0.15</v>
      </c>
      <c r="M888">
        <v>238</v>
      </c>
      <c r="N888">
        <v>160</v>
      </c>
      <c r="O888">
        <v>78</v>
      </c>
    </row>
    <row r="889" spans="1:15" x14ac:dyDescent="0.25">
      <c r="A889" t="s">
        <v>1800</v>
      </c>
      <c r="B889" s="2">
        <v>46545</v>
      </c>
      <c r="C889" t="s">
        <v>186</v>
      </c>
      <c r="D889" t="s">
        <v>187</v>
      </c>
      <c r="E889" t="s">
        <v>39</v>
      </c>
      <c r="F889" t="s">
        <v>76</v>
      </c>
      <c r="G889" t="s">
        <v>28</v>
      </c>
      <c r="H889" t="s">
        <v>29</v>
      </c>
      <c r="I889" t="s">
        <v>47</v>
      </c>
      <c r="J889">
        <v>2</v>
      </c>
      <c r="K889">
        <v>6800</v>
      </c>
      <c r="L889">
        <v>0.1</v>
      </c>
      <c r="M889">
        <v>12240</v>
      </c>
      <c r="N889">
        <v>9400</v>
      </c>
      <c r="O889">
        <v>2840</v>
      </c>
    </row>
    <row r="890" spans="1:15" x14ac:dyDescent="0.25">
      <c r="A890" t="s">
        <v>1801</v>
      </c>
      <c r="B890" s="2">
        <v>46546</v>
      </c>
      <c r="C890" t="s">
        <v>140</v>
      </c>
      <c r="D890" t="s">
        <v>141</v>
      </c>
      <c r="E890" t="s">
        <v>39</v>
      </c>
      <c r="F890" t="s">
        <v>71</v>
      </c>
      <c r="G890" t="s">
        <v>20</v>
      </c>
      <c r="H890" t="s">
        <v>84</v>
      </c>
      <c r="I890" t="s">
        <v>85</v>
      </c>
      <c r="J890">
        <v>5</v>
      </c>
      <c r="K890">
        <v>280</v>
      </c>
      <c r="L890">
        <v>0.1</v>
      </c>
      <c r="M890">
        <v>1260</v>
      </c>
      <c r="N890">
        <v>800</v>
      </c>
      <c r="O890">
        <v>460</v>
      </c>
    </row>
    <row r="891" spans="1:15" x14ac:dyDescent="0.25">
      <c r="A891" t="s">
        <v>1802</v>
      </c>
      <c r="B891" s="2">
        <v>46547</v>
      </c>
      <c r="C891" t="s">
        <v>1803</v>
      </c>
      <c r="D891" t="s">
        <v>1804</v>
      </c>
      <c r="E891" t="s">
        <v>18</v>
      </c>
      <c r="F891" t="s">
        <v>19</v>
      </c>
      <c r="G891" t="s">
        <v>51</v>
      </c>
      <c r="H891" t="s">
        <v>21</v>
      </c>
      <c r="I891" t="s">
        <v>80</v>
      </c>
      <c r="J891">
        <v>5</v>
      </c>
      <c r="K891">
        <v>850</v>
      </c>
      <c r="L891">
        <v>0.1</v>
      </c>
      <c r="M891">
        <v>3825</v>
      </c>
      <c r="N891">
        <v>2800</v>
      </c>
      <c r="O891">
        <v>1025</v>
      </c>
    </row>
    <row r="892" spans="1:15" x14ac:dyDescent="0.25">
      <c r="A892" t="s">
        <v>1805</v>
      </c>
      <c r="B892" s="2">
        <v>46548</v>
      </c>
      <c r="C892" t="s">
        <v>248</v>
      </c>
      <c r="D892" t="s">
        <v>249</v>
      </c>
      <c r="E892" t="s">
        <v>39</v>
      </c>
      <c r="F892" t="s">
        <v>71</v>
      </c>
      <c r="G892" t="s">
        <v>28</v>
      </c>
      <c r="H892" t="s">
        <v>63</v>
      </c>
      <c r="I892" t="s">
        <v>64</v>
      </c>
      <c r="J892">
        <v>4</v>
      </c>
      <c r="K892">
        <v>2400</v>
      </c>
      <c r="L892">
        <v>0</v>
      </c>
      <c r="M892">
        <v>9600</v>
      </c>
      <c r="N892">
        <v>6600</v>
      </c>
      <c r="O892">
        <v>3000</v>
      </c>
    </row>
    <row r="893" spans="1:15" x14ac:dyDescent="0.25">
      <c r="A893" t="s">
        <v>1806</v>
      </c>
      <c r="B893" s="2">
        <v>46549</v>
      </c>
      <c r="C893" t="s">
        <v>796</v>
      </c>
      <c r="D893" t="s">
        <v>797</v>
      </c>
      <c r="E893" t="s">
        <v>26</v>
      </c>
      <c r="F893" t="s">
        <v>128</v>
      </c>
      <c r="G893" t="s">
        <v>51</v>
      </c>
      <c r="H893" t="s">
        <v>21</v>
      </c>
      <c r="I893" t="s">
        <v>116</v>
      </c>
      <c r="J893">
        <v>2</v>
      </c>
      <c r="K893">
        <v>1400</v>
      </c>
      <c r="L893">
        <v>0</v>
      </c>
      <c r="M893">
        <v>2800</v>
      </c>
      <c r="N893">
        <v>1800</v>
      </c>
      <c r="O893">
        <v>1000</v>
      </c>
    </row>
    <row r="894" spans="1:15" x14ac:dyDescent="0.25">
      <c r="A894" t="s">
        <v>1807</v>
      </c>
      <c r="B894" s="2">
        <v>46550</v>
      </c>
      <c r="C894" t="s">
        <v>1679</v>
      </c>
      <c r="D894" t="s">
        <v>1680</v>
      </c>
      <c r="E894" t="s">
        <v>26</v>
      </c>
      <c r="F894" t="s">
        <v>34</v>
      </c>
      <c r="G894" t="s">
        <v>57</v>
      </c>
      <c r="H894" t="s">
        <v>104</v>
      </c>
      <c r="I894" t="s">
        <v>105</v>
      </c>
      <c r="J894">
        <v>1</v>
      </c>
      <c r="K894">
        <v>7500</v>
      </c>
      <c r="L894">
        <v>0.1</v>
      </c>
      <c r="M894">
        <v>6750</v>
      </c>
      <c r="N894">
        <v>5200</v>
      </c>
      <c r="O894">
        <v>1550</v>
      </c>
    </row>
    <row r="895" spans="1:15" x14ac:dyDescent="0.25">
      <c r="A895" t="s">
        <v>1808</v>
      </c>
      <c r="B895" s="2">
        <v>46551</v>
      </c>
      <c r="C895" t="s">
        <v>1809</v>
      </c>
      <c r="D895" t="s">
        <v>1810</v>
      </c>
      <c r="E895" t="s">
        <v>39</v>
      </c>
      <c r="F895" t="s">
        <v>76</v>
      </c>
      <c r="G895" t="s">
        <v>20</v>
      </c>
      <c r="H895" t="s">
        <v>21</v>
      </c>
      <c r="I895" t="s">
        <v>22</v>
      </c>
      <c r="J895">
        <v>1</v>
      </c>
      <c r="K895">
        <v>650</v>
      </c>
      <c r="L895">
        <v>0.15</v>
      </c>
      <c r="M895">
        <v>552.5</v>
      </c>
      <c r="N895">
        <v>390</v>
      </c>
      <c r="O895">
        <v>162.5</v>
      </c>
    </row>
    <row r="896" spans="1:15" x14ac:dyDescent="0.25">
      <c r="A896" t="s">
        <v>1811</v>
      </c>
      <c r="B896" s="2">
        <v>46552</v>
      </c>
      <c r="C896" t="s">
        <v>82</v>
      </c>
      <c r="D896" t="s">
        <v>83</v>
      </c>
      <c r="E896" t="s">
        <v>39</v>
      </c>
      <c r="F896" t="s">
        <v>40</v>
      </c>
      <c r="G896" t="s">
        <v>57</v>
      </c>
      <c r="H896" t="s">
        <v>58</v>
      </c>
      <c r="I896" t="s">
        <v>59</v>
      </c>
      <c r="J896">
        <v>4</v>
      </c>
      <c r="K896">
        <v>5600</v>
      </c>
      <c r="L896">
        <v>0.15</v>
      </c>
      <c r="M896">
        <v>19040</v>
      </c>
      <c r="N896">
        <v>15600</v>
      </c>
      <c r="O896">
        <v>3440</v>
      </c>
    </row>
    <row r="897" spans="1:15" x14ac:dyDescent="0.25">
      <c r="A897" t="s">
        <v>1812</v>
      </c>
      <c r="B897" s="2">
        <v>46553</v>
      </c>
      <c r="C897" t="s">
        <v>834</v>
      </c>
      <c r="D897" t="s">
        <v>835</v>
      </c>
      <c r="E897" t="s">
        <v>26</v>
      </c>
      <c r="F897" t="s">
        <v>27</v>
      </c>
      <c r="G897" t="s">
        <v>51</v>
      </c>
      <c r="H897" t="s">
        <v>52</v>
      </c>
      <c r="I897" t="s">
        <v>53</v>
      </c>
      <c r="J897">
        <v>1</v>
      </c>
      <c r="K897">
        <v>2200</v>
      </c>
      <c r="L897">
        <v>0</v>
      </c>
      <c r="M897">
        <v>2200</v>
      </c>
      <c r="N897">
        <v>1450</v>
      </c>
      <c r="O897">
        <v>750</v>
      </c>
    </row>
    <row r="898" spans="1:15" x14ac:dyDescent="0.25">
      <c r="A898" t="s">
        <v>1813</v>
      </c>
      <c r="B898" s="2">
        <v>46554</v>
      </c>
      <c r="C898" t="s">
        <v>821</v>
      </c>
      <c r="D898" t="s">
        <v>822</v>
      </c>
      <c r="E898" t="s">
        <v>39</v>
      </c>
      <c r="F898" t="s">
        <v>71</v>
      </c>
      <c r="G898" t="s">
        <v>20</v>
      </c>
      <c r="H898" t="s">
        <v>84</v>
      </c>
      <c r="I898" t="s">
        <v>85</v>
      </c>
      <c r="J898">
        <v>2</v>
      </c>
      <c r="K898">
        <v>280</v>
      </c>
      <c r="L898">
        <v>0.05</v>
      </c>
      <c r="M898">
        <v>532</v>
      </c>
      <c r="N898">
        <v>320</v>
      </c>
      <c r="O898">
        <v>212</v>
      </c>
    </row>
    <row r="899" spans="1:15" x14ac:dyDescent="0.25">
      <c r="A899" t="s">
        <v>1814</v>
      </c>
      <c r="B899" s="2">
        <v>46555</v>
      </c>
      <c r="C899" t="s">
        <v>481</v>
      </c>
      <c r="D899" t="s">
        <v>482</v>
      </c>
      <c r="E899" t="s">
        <v>26</v>
      </c>
      <c r="F899" t="s">
        <v>128</v>
      </c>
      <c r="G899" t="s">
        <v>51</v>
      </c>
      <c r="H899" t="s">
        <v>21</v>
      </c>
      <c r="I899" t="s">
        <v>80</v>
      </c>
      <c r="J899">
        <v>4</v>
      </c>
      <c r="K899">
        <v>850</v>
      </c>
      <c r="L899">
        <v>0.2</v>
      </c>
      <c r="M899">
        <v>2720</v>
      </c>
      <c r="N899">
        <v>2240</v>
      </c>
      <c r="O899">
        <v>480</v>
      </c>
    </row>
    <row r="900" spans="1:15" x14ac:dyDescent="0.25">
      <c r="A900" t="s">
        <v>1815</v>
      </c>
      <c r="B900" s="2">
        <v>46556</v>
      </c>
      <c r="C900" t="s">
        <v>294</v>
      </c>
      <c r="D900" t="s">
        <v>295</v>
      </c>
      <c r="E900" t="s">
        <v>39</v>
      </c>
      <c r="F900" t="s">
        <v>124</v>
      </c>
      <c r="G900" t="s">
        <v>51</v>
      </c>
      <c r="H900" t="s">
        <v>89</v>
      </c>
      <c r="I900" t="s">
        <v>90</v>
      </c>
      <c r="J900">
        <v>1</v>
      </c>
      <c r="K900">
        <v>10500</v>
      </c>
      <c r="L900">
        <v>0.1</v>
      </c>
      <c r="M900">
        <v>9450</v>
      </c>
      <c r="N900">
        <v>7600</v>
      </c>
      <c r="O900">
        <v>1850</v>
      </c>
    </row>
    <row r="901" spans="1:15" x14ac:dyDescent="0.25">
      <c r="A901" t="s">
        <v>1816</v>
      </c>
      <c r="B901" s="2">
        <v>46557</v>
      </c>
      <c r="C901" t="s">
        <v>860</v>
      </c>
      <c r="D901" t="s">
        <v>861</v>
      </c>
      <c r="E901" t="s">
        <v>96</v>
      </c>
      <c r="F901" t="s">
        <v>97</v>
      </c>
      <c r="G901" t="s">
        <v>51</v>
      </c>
      <c r="H901" t="s">
        <v>52</v>
      </c>
      <c r="I901" t="s">
        <v>53</v>
      </c>
      <c r="J901">
        <v>1</v>
      </c>
      <c r="K901">
        <v>2200</v>
      </c>
      <c r="L901">
        <v>0</v>
      </c>
      <c r="M901">
        <v>2200</v>
      </c>
      <c r="N901">
        <v>1450</v>
      </c>
      <c r="O901">
        <v>750</v>
      </c>
    </row>
    <row r="902" spans="1:15" x14ac:dyDescent="0.25">
      <c r="A902" t="s">
        <v>1817</v>
      </c>
      <c r="B902" s="2">
        <v>46558</v>
      </c>
      <c r="C902" t="s">
        <v>828</v>
      </c>
      <c r="D902" t="s">
        <v>829</v>
      </c>
      <c r="E902" t="s">
        <v>26</v>
      </c>
      <c r="F902" t="s">
        <v>34</v>
      </c>
      <c r="G902" t="s">
        <v>57</v>
      </c>
      <c r="H902" t="s">
        <v>104</v>
      </c>
      <c r="I902" t="s">
        <v>105</v>
      </c>
      <c r="J902">
        <v>2</v>
      </c>
      <c r="K902">
        <v>7500</v>
      </c>
      <c r="L902">
        <v>0.05</v>
      </c>
      <c r="M902">
        <v>14250</v>
      </c>
      <c r="N902">
        <v>10400</v>
      </c>
      <c r="O902">
        <v>3850</v>
      </c>
    </row>
    <row r="903" spans="1:15" x14ac:dyDescent="0.25">
      <c r="A903" t="s">
        <v>1818</v>
      </c>
      <c r="B903" s="2">
        <v>46559</v>
      </c>
      <c r="C903" t="s">
        <v>954</v>
      </c>
      <c r="D903" t="s">
        <v>955</v>
      </c>
      <c r="E903" t="s">
        <v>26</v>
      </c>
      <c r="F903" t="s">
        <v>128</v>
      </c>
      <c r="G903" t="s">
        <v>51</v>
      </c>
      <c r="H903" t="s">
        <v>21</v>
      </c>
      <c r="I903" t="s">
        <v>116</v>
      </c>
      <c r="J903">
        <v>1</v>
      </c>
      <c r="K903">
        <v>1400</v>
      </c>
      <c r="L903">
        <v>0</v>
      </c>
      <c r="M903">
        <v>1400</v>
      </c>
      <c r="N903">
        <v>900</v>
      </c>
      <c r="O903">
        <v>500</v>
      </c>
    </row>
    <row r="904" spans="1:15" x14ac:dyDescent="0.25">
      <c r="A904" t="s">
        <v>1819</v>
      </c>
      <c r="B904" s="2">
        <v>46560</v>
      </c>
      <c r="C904" t="s">
        <v>110</v>
      </c>
      <c r="D904" t="s">
        <v>111</v>
      </c>
      <c r="E904" t="s">
        <v>96</v>
      </c>
      <c r="F904" t="s">
        <v>120</v>
      </c>
      <c r="G904" t="s">
        <v>57</v>
      </c>
      <c r="H904" t="s">
        <v>104</v>
      </c>
      <c r="I904" t="s">
        <v>105</v>
      </c>
      <c r="J904">
        <v>5</v>
      </c>
      <c r="K904">
        <v>7500</v>
      </c>
      <c r="L904">
        <v>0.2</v>
      </c>
      <c r="M904">
        <v>30000</v>
      </c>
      <c r="N904">
        <v>26000</v>
      </c>
      <c r="O904">
        <v>4000</v>
      </c>
    </row>
    <row r="905" spans="1:15" x14ac:dyDescent="0.25">
      <c r="A905" t="s">
        <v>1820</v>
      </c>
      <c r="B905" s="2">
        <v>46561</v>
      </c>
      <c r="C905" t="s">
        <v>1183</v>
      </c>
      <c r="D905" t="s">
        <v>1184</v>
      </c>
      <c r="E905" t="s">
        <v>39</v>
      </c>
      <c r="F905" t="s">
        <v>40</v>
      </c>
      <c r="G905" t="s">
        <v>20</v>
      </c>
      <c r="H905" t="s">
        <v>21</v>
      </c>
      <c r="I905" t="s">
        <v>22</v>
      </c>
      <c r="J905">
        <v>3</v>
      </c>
      <c r="K905">
        <v>650</v>
      </c>
      <c r="L905">
        <v>0.15</v>
      </c>
      <c r="M905">
        <v>1657.5</v>
      </c>
      <c r="N905">
        <v>1170</v>
      </c>
      <c r="O905">
        <v>487.5</v>
      </c>
    </row>
    <row r="906" spans="1:15" x14ac:dyDescent="0.25">
      <c r="A906" t="s">
        <v>1821</v>
      </c>
      <c r="B906" s="2">
        <v>46562</v>
      </c>
      <c r="C906" t="s">
        <v>1714</v>
      </c>
      <c r="D906" t="s">
        <v>1715</v>
      </c>
      <c r="E906" t="s">
        <v>39</v>
      </c>
      <c r="F906" t="s">
        <v>124</v>
      </c>
      <c r="G906" t="s">
        <v>20</v>
      </c>
      <c r="H906" t="s">
        <v>21</v>
      </c>
      <c r="I906" t="s">
        <v>22</v>
      </c>
      <c r="J906">
        <v>5</v>
      </c>
      <c r="K906">
        <v>650</v>
      </c>
      <c r="L906">
        <v>0</v>
      </c>
      <c r="M906">
        <v>3250</v>
      </c>
      <c r="N906">
        <v>1950</v>
      </c>
      <c r="O906">
        <v>1300</v>
      </c>
    </row>
    <row r="907" spans="1:15" x14ac:dyDescent="0.25">
      <c r="A907" t="s">
        <v>1822</v>
      </c>
      <c r="B907" s="2">
        <v>46563</v>
      </c>
      <c r="C907" t="s">
        <v>1786</v>
      </c>
      <c r="D907" t="s">
        <v>1787</v>
      </c>
      <c r="E907" t="s">
        <v>96</v>
      </c>
      <c r="F907" t="s">
        <v>200</v>
      </c>
      <c r="G907" t="s">
        <v>20</v>
      </c>
      <c r="H907" t="s">
        <v>84</v>
      </c>
      <c r="I907" t="s">
        <v>169</v>
      </c>
      <c r="J907">
        <v>4</v>
      </c>
      <c r="K907">
        <v>450</v>
      </c>
      <c r="L907">
        <v>0</v>
      </c>
      <c r="M907">
        <v>1800</v>
      </c>
      <c r="N907">
        <v>1040</v>
      </c>
      <c r="O907">
        <v>760</v>
      </c>
    </row>
    <row r="908" spans="1:15" x14ac:dyDescent="0.25">
      <c r="A908" t="s">
        <v>1823</v>
      </c>
      <c r="B908" s="2">
        <v>46564</v>
      </c>
      <c r="C908" t="s">
        <v>472</v>
      </c>
      <c r="D908" t="s">
        <v>473</v>
      </c>
      <c r="E908" t="s">
        <v>26</v>
      </c>
      <c r="F908" t="s">
        <v>128</v>
      </c>
      <c r="G908" t="s">
        <v>51</v>
      </c>
      <c r="H908" t="s">
        <v>89</v>
      </c>
      <c r="I908" t="s">
        <v>90</v>
      </c>
      <c r="J908">
        <v>4</v>
      </c>
      <c r="K908">
        <v>10500</v>
      </c>
      <c r="L908">
        <v>0.2</v>
      </c>
      <c r="M908">
        <v>33600</v>
      </c>
      <c r="N908">
        <v>30400</v>
      </c>
      <c r="O908">
        <v>3200</v>
      </c>
    </row>
    <row r="909" spans="1:15" x14ac:dyDescent="0.25">
      <c r="A909" t="s">
        <v>1824</v>
      </c>
      <c r="B909" s="2">
        <v>46565</v>
      </c>
      <c r="C909" t="s">
        <v>1458</v>
      </c>
      <c r="D909" t="s">
        <v>1459</v>
      </c>
      <c r="E909" t="s">
        <v>18</v>
      </c>
      <c r="F909" t="s">
        <v>94</v>
      </c>
      <c r="G909" t="s">
        <v>20</v>
      </c>
      <c r="H909" t="s">
        <v>21</v>
      </c>
      <c r="I909" t="s">
        <v>22</v>
      </c>
      <c r="J909">
        <v>5</v>
      </c>
      <c r="K909">
        <v>650</v>
      </c>
      <c r="L909">
        <v>0.05</v>
      </c>
      <c r="M909">
        <v>3087.5</v>
      </c>
      <c r="N909">
        <v>1950</v>
      </c>
      <c r="O909">
        <v>1137.5</v>
      </c>
    </row>
    <row r="910" spans="1:15" x14ac:dyDescent="0.25">
      <c r="A910" t="s">
        <v>1825</v>
      </c>
      <c r="B910" s="2">
        <v>46566</v>
      </c>
      <c r="C910" t="s">
        <v>484</v>
      </c>
      <c r="D910" t="s">
        <v>485</v>
      </c>
      <c r="E910" t="s">
        <v>26</v>
      </c>
      <c r="F910" t="s">
        <v>46</v>
      </c>
      <c r="G910" t="s">
        <v>57</v>
      </c>
      <c r="H910" t="s">
        <v>58</v>
      </c>
      <c r="I910" t="s">
        <v>129</v>
      </c>
      <c r="J910">
        <v>3</v>
      </c>
      <c r="K910">
        <v>4800</v>
      </c>
      <c r="L910">
        <v>0.1</v>
      </c>
      <c r="M910">
        <v>12960</v>
      </c>
      <c r="N910">
        <v>9900</v>
      </c>
      <c r="O910">
        <v>3060</v>
      </c>
    </row>
    <row r="911" spans="1:15" x14ac:dyDescent="0.25">
      <c r="A911" t="s">
        <v>1826</v>
      </c>
      <c r="B911" s="2">
        <v>46567</v>
      </c>
      <c r="C911" t="s">
        <v>1111</v>
      </c>
      <c r="D911" t="s">
        <v>1112</v>
      </c>
      <c r="E911" t="s">
        <v>26</v>
      </c>
      <c r="F911" t="s">
        <v>27</v>
      </c>
      <c r="G911" t="s">
        <v>57</v>
      </c>
      <c r="H911" t="s">
        <v>104</v>
      </c>
      <c r="I911" t="s">
        <v>105</v>
      </c>
      <c r="J911">
        <v>4</v>
      </c>
      <c r="K911">
        <v>7500</v>
      </c>
      <c r="L911">
        <v>0.25</v>
      </c>
      <c r="M911">
        <v>22500</v>
      </c>
      <c r="N911">
        <v>20800</v>
      </c>
      <c r="O911">
        <v>1700</v>
      </c>
    </row>
    <row r="912" spans="1:15" x14ac:dyDescent="0.25">
      <c r="A912" t="s">
        <v>1827</v>
      </c>
      <c r="B912" s="2">
        <v>46568</v>
      </c>
      <c r="C912" t="s">
        <v>1762</v>
      </c>
      <c r="D912" t="s">
        <v>1763</v>
      </c>
      <c r="E912" t="s">
        <v>26</v>
      </c>
      <c r="F912" t="s">
        <v>128</v>
      </c>
      <c r="G912" t="s">
        <v>20</v>
      </c>
      <c r="H912" t="s">
        <v>41</v>
      </c>
      <c r="I912" t="s">
        <v>42</v>
      </c>
      <c r="J912">
        <v>1</v>
      </c>
      <c r="K912">
        <v>520</v>
      </c>
      <c r="L912">
        <v>0.1</v>
      </c>
      <c r="M912">
        <v>468</v>
      </c>
      <c r="N912">
        <v>330</v>
      </c>
      <c r="O912">
        <v>138</v>
      </c>
    </row>
    <row r="913" spans="1:15" x14ac:dyDescent="0.25">
      <c r="A913" t="s">
        <v>1828</v>
      </c>
      <c r="B913" s="2">
        <v>46569</v>
      </c>
      <c r="C913" t="s">
        <v>459</v>
      </c>
      <c r="D913" t="s">
        <v>460</v>
      </c>
      <c r="E913" t="s">
        <v>96</v>
      </c>
      <c r="F913" t="s">
        <v>97</v>
      </c>
      <c r="G913" t="s">
        <v>51</v>
      </c>
      <c r="H913" t="s">
        <v>89</v>
      </c>
      <c r="I913" t="s">
        <v>90</v>
      </c>
      <c r="J913">
        <v>1</v>
      </c>
      <c r="K913">
        <v>10500</v>
      </c>
      <c r="L913">
        <v>0.05</v>
      </c>
      <c r="M913">
        <v>9975</v>
      </c>
      <c r="N913">
        <v>7600</v>
      </c>
      <c r="O913">
        <v>2375</v>
      </c>
    </row>
    <row r="914" spans="1:15" x14ac:dyDescent="0.25">
      <c r="A914" t="s">
        <v>1829</v>
      </c>
      <c r="B914" s="2">
        <v>46570</v>
      </c>
      <c r="C914" t="s">
        <v>1281</v>
      </c>
      <c r="D914" t="s">
        <v>1282</v>
      </c>
      <c r="E914" t="s">
        <v>26</v>
      </c>
      <c r="F914" t="s">
        <v>46</v>
      </c>
      <c r="G914" t="s">
        <v>28</v>
      </c>
      <c r="H914" t="s">
        <v>29</v>
      </c>
      <c r="I914" t="s">
        <v>30</v>
      </c>
      <c r="J914">
        <v>1</v>
      </c>
      <c r="K914">
        <v>1900</v>
      </c>
      <c r="L914">
        <v>0</v>
      </c>
      <c r="M914">
        <v>1900</v>
      </c>
      <c r="N914">
        <v>1250</v>
      </c>
      <c r="O914">
        <v>650</v>
      </c>
    </row>
    <row r="915" spans="1:15" x14ac:dyDescent="0.25">
      <c r="A915" t="s">
        <v>1830</v>
      </c>
      <c r="B915" s="2">
        <v>46571</v>
      </c>
      <c r="C915" t="s">
        <v>1831</v>
      </c>
      <c r="D915" t="s">
        <v>1832</v>
      </c>
      <c r="E915" t="s">
        <v>39</v>
      </c>
      <c r="F915" t="s">
        <v>76</v>
      </c>
      <c r="G915" t="s">
        <v>28</v>
      </c>
      <c r="H915" t="s">
        <v>29</v>
      </c>
      <c r="I915" t="s">
        <v>47</v>
      </c>
      <c r="J915">
        <v>5</v>
      </c>
      <c r="K915">
        <v>6800</v>
      </c>
      <c r="L915">
        <v>0.15</v>
      </c>
      <c r="M915">
        <v>28900</v>
      </c>
      <c r="N915">
        <v>23500</v>
      </c>
      <c r="O915">
        <v>5400</v>
      </c>
    </row>
    <row r="916" spans="1:15" x14ac:dyDescent="0.25">
      <c r="A916" t="s">
        <v>1833</v>
      </c>
      <c r="B916" s="2">
        <v>46572</v>
      </c>
      <c r="C916" t="s">
        <v>1031</v>
      </c>
      <c r="D916" t="s">
        <v>1032</v>
      </c>
      <c r="E916" t="s">
        <v>96</v>
      </c>
      <c r="F916" t="s">
        <v>200</v>
      </c>
      <c r="G916" t="s">
        <v>57</v>
      </c>
      <c r="H916" t="s">
        <v>104</v>
      </c>
      <c r="I916" t="s">
        <v>105</v>
      </c>
      <c r="J916">
        <v>4</v>
      </c>
      <c r="K916">
        <v>7500</v>
      </c>
      <c r="L916">
        <v>0.1</v>
      </c>
      <c r="M916">
        <v>27000</v>
      </c>
      <c r="N916">
        <v>20800</v>
      </c>
      <c r="O916">
        <v>6200</v>
      </c>
    </row>
    <row r="917" spans="1:15" x14ac:dyDescent="0.25">
      <c r="A917" t="s">
        <v>1834</v>
      </c>
      <c r="B917" s="2">
        <v>46573</v>
      </c>
      <c r="C917" t="s">
        <v>444</v>
      </c>
      <c r="D917" t="s">
        <v>445</v>
      </c>
      <c r="E917" t="s">
        <v>18</v>
      </c>
      <c r="F917" t="s">
        <v>115</v>
      </c>
      <c r="G917" t="s">
        <v>51</v>
      </c>
      <c r="H917" t="s">
        <v>21</v>
      </c>
      <c r="I917" t="s">
        <v>80</v>
      </c>
      <c r="J917">
        <v>5</v>
      </c>
      <c r="K917">
        <v>850</v>
      </c>
      <c r="L917">
        <v>0.15</v>
      </c>
      <c r="M917">
        <v>3612.5</v>
      </c>
      <c r="N917">
        <v>2800</v>
      </c>
      <c r="O917">
        <v>812.5</v>
      </c>
    </row>
    <row r="918" spans="1:15" x14ac:dyDescent="0.25">
      <c r="A918" t="s">
        <v>1835</v>
      </c>
      <c r="B918" s="2">
        <v>46574</v>
      </c>
      <c r="C918" t="s">
        <v>1836</v>
      </c>
      <c r="D918" t="s">
        <v>1837</v>
      </c>
      <c r="E918" t="s">
        <v>26</v>
      </c>
      <c r="F918" t="s">
        <v>46</v>
      </c>
      <c r="G918" t="s">
        <v>20</v>
      </c>
      <c r="H918" t="s">
        <v>84</v>
      </c>
      <c r="I918" t="s">
        <v>85</v>
      </c>
      <c r="J918">
        <v>3</v>
      </c>
      <c r="K918">
        <v>280</v>
      </c>
      <c r="L918">
        <v>0.1</v>
      </c>
      <c r="M918">
        <v>756</v>
      </c>
      <c r="N918">
        <v>480</v>
      </c>
      <c r="O918">
        <v>276</v>
      </c>
    </row>
    <row r="919" spans="1:15" x14ac:dyDescent="0.25">
      <c r="A919" t="s">
        <v>1838</v>
      </c>
      <c r="B919" s="2">
        <v>46575</v>
      </c>
      <c r="C919" t="s">
        <v>1755</v>
      </c>
      <c r="D919" t="s">
        <v>1756</v>
      </c>
      <c r="E919" t="s">
        <v>26</v>
      </c>
      <c r="F919" t="s">
        <v>27</v>
      </c>
      <c r="G919" t="s">
        <v>51</v>
      </c>
      <c r="H919" t="s">
        <v>52</v>
      </c>
      <c r="I919" t="s">
        <v>53</v>
      </c>
      <c r="J919">
        <v>4</v>
      </c>
      <c r="K919">
        <v>2200</v>
      </c>
      <c r="L919">
        <v>0.05</v>
      </c>
      <c r="M919">
        <v>8360</v>
      </c>
      <c r="N919">
        <v>5800</v>
      </c>
      <c r="O919">
        <v>2560</v>
      </c>
    </row>
    <row r="920" spans="1:15" x14ac:dyDescent="0.25">
      <c r="A920" t="s">
        <v>1839</v>
      </c>
      <c r="B920" s="2">
        <v>46576</v>
      </c>
      <c r="C920" t="s">
        <v>1427</v>
      </c>
      <c r="D920" t="s">
        <v>1428</v>
      </c>
      <c r="E920" t="s">
        <v>18</v>
      </c>
      <c r="F920" t="s">
        <v>19</v>
      </c>
      <c r="G920" t="s">
        <v>51</v>
      </c>
      <c r="H920" t="s">
        <v>21</v>
      </c>
      <c r="I920" t="s">
        <v>80</v>
      </c>
      <c r="J920">
        <v>5</v>
      </c>
      <c r="K920">
        <v>850</v>
      </c>
      <c r="L920">
        <v>0</v>
      </c>
      <c r="M920">
        <v>4250</v>
      </c>
      <c r="N920">
        <v>2800</v>
      </c>
      <c r="O920">
        <v>1450</v>
      </c>
    </row>
    <row r="921" spans="1:15" x14ac:dyDescent="0.25">
      <c r="A921" t="s">
        <v>1840</v>
      </c>
      <c r="B921" s="2">
        <v>46577</v>
      </c>
      <c r="C921" t="s">
        <v>697</v>
      </c>
      <c r="D921" t="s">
        <v>698</v>
      </c>
      <c r="E921" t="s">
        <v>26</v>
      </c>
      <c r="F921" t="s">
        <v>128</v>
      </c>
      <c r="G921" t="s">
        <v>20</v>
      </c>
      <c r="H921" t="s">
        <v>84</v>
      </c>
      <c r="I921" t="s">
        <v>169</v>
      </c>
      <c r="J921">
        <v>4</v>
      </c>
      <c r="K921">
        <v>450</v>
      </c>
      <c r="L921">
        <v>0.1</v>
      </c>
      <c r="M921">
        <v>1620</v>
      </c>
      <c r="N921">
        <v>1040</v>
      </c>
      <c r="O921">
        <v>580</v>
      </c>
    </row>
    <row r="922" spans="1:15" x14ac:dyDescent="0.25">
      <c r="A922" t="s">
        <v>1841</v>
      </c>
      <c r="B922" s="2">
        <v>46578</v>
      </c>
      <c r="C922" t="s">
        <v>1739</v>
      </c>
      <c r="D922" t="s">
        <v>1740</v>
      </c>
      <c r="E922" t="s">
        <v>96</v>
      </c>
      <c r="F922" t="s">
        <v>196</v>
      </c>
      <c r="G922" t="s">
        <v>57</v>
      </c>
      <c r="H922" t="s">
        <v>104</v>
      </c>
      <c r="I922" t="s">
        <v>105</v>
      </c>
      <c r="J922">
        <v>4</v>
      </c>
      <c r="K922">
        <v>7500</v>
      </c>
      <c r="L922">
        <v>0.15</v>
      </c>
      <c r="M922">
        <v>25500</v>
      </c>
      <c r="N922">
        <v>20800</v>
      </c>
      <c r="O922">
        <v>4700</v>
      </c>
    </row>
    <row r="923" spans="1:15" x14ac:dyDescent="0.25">
      <c r="A923" t="s">
        <v>1842</v>
      </c>
      <c r="B923" s="2">
        <v>46579</v>
      </c>
      <c r="C923" t="s">
        <v>1626</v>
      </c>
      <c r="D923" t="s">
        <v>1627</v>
      </c>
      <c r="E923" t="s">
        <v>18</v>
      </c>
      <c r="F923" t="s">
        <v>94</v>
      </c>
      <c r="G923" t="s">
        <v>51</v>
      </c>
      <c r="H923" t="s">
        <v>89</v>
      </c>
      <c r="I923" t="s">
        <v>90</v>
      </c>
      <c r="J923">
        <v>1</v>
      </c>
      <c r="K923">
        <v>10500</v>
      </c>
      <c r="L923">
        <v>0.15</v>
      </c>
      <c r="M923">
        <v>8925</v>
      </c>
      <c r="N923">
        <v>7600</v>
      </c>
      <c r="O923">
        <v>1325</v>
      </c>
    </row>
    <row r="924" spans="1:15" x14ac:dyDescent="0.25">
      <c r="A924" t="s">
        <v>1843</v>
      </c>
      <c r="B924" s="2">
        <v>46580</v>
      </c>
      <c r="C924" t="s">
        <v>553</v>
      </c>
      <c r="D924" t="s">
        <v>554</v>
      </c>
      <c r="E924" t="s">
        <v>39</v>
      </c>
      <c r="F924" t="s">
        <v>71</v>
      </c>
      <c r="G924" t="s">
        <v>57</v>
      </c>
      <c r="H924" t="s">
        <v>188</v>
      </c>
      <c r="I924" t="s">
        <v>189</v>
      </c>
      <c r="J924">
        <v>5</v>
      </c>
      <c r="K924">
        <v>6200</v>
      </c>
      <c r="L924">
        <v>0.1</v>
      </c>
      <c r="M924">
        <v>27900</v>
      </c>
      <c r="N924">
        <v>21500</v>
      </c>
      <c r="O924">
        <v>6400</v>
      </c>
    </row>
    <row r="925" spans="1:15" x14ac:dyDescent="0.25">
      <c r="A925" t="s">
        <v>1844</v>
      </c>
      <c r="B925" s="2">
        <v>46581</v>
      </c>
      <c r="C925" t="s">
        <v>1071</v>
      </c>
      <c r="D925" t="s">
        <v>1072</v>
      </c>
      <c r="E925" t="s">
        <v>39</v>
      </c>
      <c r="F925" t="s">
        <v>71</v>
      </c>
      <c r="G925" t="s">
        <v>28</v>
      </c>
      <c r="H925" t="s">
        <v>29</v>
      </c>
      <c r="I925" t="s">
        <v>35</v>
      </c>
      <c r="J925">
        <v>5</v>
      </c>
      <c r="K925">
        <v>4200</v>
      </c>
      <c r="L925">
        <v>0.15</v>
      </c>
      <c r="M925">
        <v>17850</v>
      </c>
      <c r="N925">
        <v>14500</v>
      </c>
      <c r="O925">
        <v>3350</v>
      </c>
    </row>
    <row r="926" spans="1:15" x14ac:dyDescent="0.25">
      <c r="A926" t="s">
        <v>1845</v>
      </c>
      <c r="B926" s="2">
        <v>46582</v>
      </c>
      <c r="C926" t="s">
        <v>960</v>
      </c>
      <c r="D926" t="s">
        <v>961</v>
      </c>
      <c r="E926" t="s">
        <v>26</v>
      </c>
      <c r="F926" t="s">
        <v>46</v>
      </c>
      <c r="G926" t="s">
        <v>57</v>
      </c>
      <c r="H926" t="s">
        <v>188</v>
      </c>
      <c r="I926" t="s">
        <v>189</v>
      </c>
      <c r="J926">
        <v>2</v>
      </c>
      <c r="K926">
        <v>6200</v>
      </c>
      <c r="L926">
        <v>0</v>
      </c>
      <c r="M926">
        <v>12400</v>
      </c>
      <c r="N926">
        <v>8600</v>
      </c>
      <c r="O926">
        <v>3800</v>
      </c>
    </row>
    <row r="927" spans="1:15" x14ac:dyDescent="0.25">
      <c r="A927" t="s">
        <v>1846</v>
      </c>
      <c r="B927" s="2">
        <v>46583</v>
      </c>
      <c r="C927" t="s">
        <v>1847</v>
      </c>
      <c r="D927" t="s">
        <v>1848</v>
      </c>
      <c r="E927" t="s">
        <v>26</v>
      </c>
      <c r="F927" t="s">
        <v>27</v>
      </c>
      <c r="G927" t="s">
        <v>57</v>
      </c>
      <c r="H927" t="s">
        <v>58</v>
      </c>
      <c r="I927" t="s">
        <v>59</v>
      </c>
      <c r="J927">
        <v>4</v>
      </c>
      <c r="K927">
        <v>5600</v>
      </c>
      <c r="L927">
        <v>0.15</v>
      </c>
      <c r="M927">
        <v>19040</v>
      </c>
      <c r="N927">
        <v>15600</v>
      </c>
      <c r="O927">
        <v>3440</v>
      </c>
    </row>
    <row r="928" spans="1:15" x14ac:dyDescent="0.25">
      <c r="A928" t="s">
        <v>1849</v>
      </c>
      <c r="B928" s="2">
        <v>46584</v>
      </c>
      <c r="C928" t="s">
        <v>544</v>
      </c>
      <c r="D928" t="s">
        <v>545</v>
      </c>
      <c r="E928" t="s">
        <v>18</v>
      </c>
      <c r="F928" t="s">
        <v>227</v>
      </c>
      <c r="G928" t="s">
        <v>20</v>
      </c>
      <c r="H928" t="s">
        <v>21</v>
      </c>
      <c r="I928" t="s">
        <v>22</v>
      </c>
      <c r="J928">
        <v>4</v>
      </c>
      <c r="K928">
        <v>650</v>
      </c>
      <c r="L928">
        <v>0</v>
      </c>
      <c r="M928">
        <v>2600</v>
      </c>
      <c r="N928">
        <v>1560</v>
      </c>
      <c r="O928">
        <v>1040</v>
      </c>
    </row>
    <row r="929" spans="1:15" x14ac:dyDescent="0.25">
      <c r="A929" t="s">
        <v>1850</v>
      </c>
      <c r="B929" s="2">
        <v>46585</v>
      </c>
      <c r="C929" t="s">
        <v>781</v>
      </c>
      <c r="D929" t="s">
        <v>782</v>
      </c>
      <c r="E929" t="s">
        <v>39</v>
      </c>
      <c r="F929" t="s">
        <v>40</v>
      </c>
      <c r="G929" t="s">
        <v>57</v>
      </c>
      <c r="H929" t="s">
        <v>188</v>
      </c>
      <c r="I929" t="s">
        <v>189</v>
      </c>
      <c r="J929">
        <v>3</v>
      </c>
      <c r="K929">
        <v>6200</v>
      </c>
      <c r="L929">
        <v>0.05</v>
      </c>
      <c r="M929">
        <v>17670</v>
      </c>
      <c r="N929">
        <v>12900</v>
      </c>
      <c r="O929">
        <v>4770</v>
      </c>
    </row>
    <row r="930" spans="1:15" x14ac:dyDescent="0.25">
      <c r="A930" t="s">
        <v>1851</v>
      </c>
      <c r="B930" s="2">
        <v>46586</v>
      </c>
      <c r="C930" t="s">
        <v>1595</v>
      </c>
      <c r="D930" t="s">
        <v>1596</v>
      </c>
      <c r="E930" t="s">
        <v>39</v>
      </c>
      <c r="F930" t="s">
        <v>124</v>
      </c>
      <c r="G930" t="s">
        <v>20</v>
      </c>
      <c r="H930" t="s">
        <v>21</v>
      </c>
      <c r="I930" t="s">
        <v>22</v>
      </c>
      <c r="J930">
        <v>4</v>
      </c>
      <c r="K930">
        <v>650</v>
      </c>
      <c r="L930">
        <v>0.2</v>
      </c>
      <c r="M930">
        <v>2080</v>
      </c>
      <c r="N930">
        <v>1560</v>
      </c>
      <c r="O930">
        <v>520</v>
      </c>
    </row>
    <row r="931" spans="1:15" x14ac:dyDescent="0.25">
      <c r="A931" t="s">
        <v>1852</v>
      </c>
      <c r="B931" s="2">
        <v>46587</v>
      </c>
      <c r="C931" t="s">
        <v>1104</v>
      </c>
      <c r="D931" t="s">
        <v>1105</v>
      </c>
      <c r="E931" t="s">
        <v>96</v>
      </c>
      <c r="F931" t="s">
        <v>196</v>
      </c>
      <c r="G931" t="s">
        <v>20</v>
      </c>
      <c r="H931" t="s">
        <v>84</v>
      </c>
      <c r="I931" t="s">
        <v>85</v>
      </c>
      <c r="J931">
        <v>4</v>
      </c>
      <c r="K931">
        <v>280</v>
      </c>
      <c r="L931">
        <v>0.05</v>
      </c>
      <c r="M931">
        <v>1064</v>
      </c>
      <c r="N931">
        <v>640</v>
      </c>
      <c r="O931">
        <v>424</v>
      </c>
    </row>
    <row r="932" spans="1:15" x14ac:dyDescent="0.25">
      <c r="A932" t="s">
        <v>1853</v>
      </c>
      <c r="B932" s="2">
        <v>46588</v>
      </c>
      <c r="C932" t="s">
        <v>1567</v>
      </c>
      <c r="D932" t="s">
        <v>1568</v>
      </c>
      <c r="E932" t="s">
        <v>26</v>
      </c>
      <c r="F932" t="s">
        <v>34</v>
      </c>
      <c r="G932" t="s">
        <v>57</v>
      </c>
      <c r="H932" t="s">
        <v>104</v>
      </c>
      <c r="I932" t="s">
        <v>105</v>
      </c>
      <c r="J932">
        <v>3</v>
      </c>
      <c r="K932">
        <v>7500</v>
      </c>
      <c r="L932">
        <v>0.05</v>
      </c>
      <c r="M932">
        <v>21375</v>
      </c>
      <c r="N932">
        <v>15600</v>
      </c>
      <c r="O932">
        <v>5775</v>
      </c>
    </row>
    <row r="933" spans="1:15" x14ac:dyDescent="0.25">
      <c r="A933" t="s">
        <v>1854</v>
      </c>
      <c r="B933" s="2">
        <v>46589</v>
      </c>
      <c r="C933" t="s">
        <v>948</v>
      </c>
      <c r="D933" t="s">
        <v>949</v>
      </c>
      <c r="E933" t="s">
        <v>26</v>
      </c>
      <c r="F933" t="s">
        <v>27</v>
      </c>
      <c r="G933" t="s">
        <v>51</v>
      </c>
      <c r="H933" t="s">
        <v>21</v>
      </c>
      <c r="I933" t="s">
        <v>80</v>
      </c>
      <c r="J933">
        <v>2</v>
      </c>
      <c r="K933">
        <v>850</v>
      </c>
      <c r="L933">
        <v>0.15</v>
      </c>
      <c r="M933">
        <v>1445</v>
      </c>
      <c r="N933">
        <v>1120</v>
      </c>
      <c r="O933">
        <v>325</v>
      </c>
    </row>
    <row r="934" spans="1:15" x14ac:dyDescent="0.25">
      <c r="A934" t="s">
        <v>1855</v>
      </c>
      <c r="B934" s="2">
        <v>46590</v>
      </c>
      <c r="C934" t="s">
        <v>876</v>
      </c>
      <c r="D934" t="s">
        <v>877</v>
      </c>
      <c r="E934" t="s">
        <v>96</v>
      </c>
      <c r="F934" t="s">
        <v>120</v>
      </c>
      <c r="G934" t="s">
        <v>51</v>
      </c>
      <c r="H934" t="s">
        <v>21</v>
      </c>
      <c r="I934" t="s">
        <v>80</v>
      </c>
      <c r="J934">
        <v>5</v>
      </c>
      <c r="K934">
        <v>850</v>
      </c>
      <c r="L934">
        <v>0.1</v>
      </c>
      <c r="M934">
        <v>3825</v>
      </c>
      <c r="N934">
        <v>2800</v>
      </c>
      <c r="O934">
        <v>1025</v>
      </c>
    </row>
    <row r="935" spans="1:15" x14ac:dyDescent="0.25">
      <c r="A935" t="s">
        <v>1856</v>
      </c>
      <c r="B935" s="2">
        <v>46591</v>
      </c>
      <c r="C935" t="s">
        <v>1368</v>
      </c>
      <c r="D935" t="s">
        <v>1369</v>
      </c>
      <c r="E935" t="s">
        <v>26</v>
      </c>
      <c r="F935" t="s">
        <v>27</v>
      </c>
      <c r="G935" t="s">
        <v>51</v>
      </c>
      <c r="H935" t="s">
        <v>52</v>
      </c>
      <c r="I935" t="s">
        <v>208</v>
      </c>
      <c r="J935">
        <v>5</v>
      </c>
      <c r="K935">
        <v>2800</v>
      </c>
      <c r="L935">
        <v>0.1</v>
      </c>
      <c r="M935">
        <v>12600</v>
      </c>
      <c r="N935">
        <v>9000</v>
      </c>
      <c r="O935">
        <v>3600</v>
      </c>
    </row>
    <row r="936" spans="1:15" x14ac:dyDescent="0.25">
      <c r="A936" t="s">
        <v>1857</v>
      </c>
      <c r="B936" s="2">
        <v>46592</v>
      </c>
      <c r="C936" t="s">
        <v>1858</v>
      </c>
      <c r="D936" t="s">
        <v>1859</v>
      </c>
      <c r="E936" t="s">
        <v>26</v>
      </c>
      <c r="F936" t="s">
        <v>46</v>
      </c>
      <c r="G936" t="s">
        <v>20</v>
      </c>
      <c r="H936" t="s">
        <v>84</v>
      </c>
      <c r="I936" t="s">
        <v>210</v>
      </c>
      <c r="J936">
        <v>3</v>
      </c>
      <c r="K936">
        <v>300</v>
      </c>
      <c r="L936">
        <v>0.05</v>
      </c>
      <c r="M936">
        <v>855</v>
      </c>
      <c r="N936">
        <v>510</v>
      </c>
      <c r="O936">
        <v>345</v>
      </c>
    </row>
    <row r="937" spans="1:15" x14ac:dyDescent="0.25">
      <c r="A937" t="s">
        <v>1860</v>
      </c>
      <c r="B937" s="2">
        <v>46593</v>
      </c>
      <c r="C937" t="s">
        <v>143</v>
      </c>
      <c r="D937" t="s">
        <v>144</v>
      </c>
      <c r="E937" t="s">
        <v>26</v>
      </c>
      <c r="F937" t="s">
        <v>128</v>
      </c>
      <c r="G937" t="s">
        <v>51</v>
      </c>
      <c r="H937" t="s">
        <v>21</v>
      </c>
      <c r="I937" t="s">
        <v>72</v>
      </c>
      <c r="J937">
        <v>4</v>
      </c>
      <c r="K937">
        <v>1800</v>
      </c>
      <c r="L937">
        <v>0</v>
      </c>
      <c r="M937">
        <v>7200</v>
      </c>
      <c r="N937">
        <v>4400</v>
      </c>
      <c r="O937">
        <v>2800</v>
      </c>
    </row>
    <row r="938" spans="1:15" x14ac:dyDescent="0.25">
      <c r="A938" t="s">
        <v>1861</v>
      </c>
      <c r="B938" s="2">
        <v>46594</v>
      </c>
      <c r="C938" t="s">
        <v>1111</v>
      </c>
      <c r="D938" t="s">
        <v>1112</v>
      </c>
      <c r="E938" t="s">
        <v>26</v>
      </c>
      <c r="F938" t="s">
        <v>34</v>
      </c>
      <c r="G938" t="s">
        <v>20</v>
      </c>
      <c r="H938" t="s">
        <v>84</v>
      </c>
      <c r="I938" t="s">
        <v>85</v>
      </c>
      <c r="J938">
        <v>3</v>
      </c>
      <c r="K938">
        <v>280</v>
      </c>
      <c r="L938">
        <v>0</v>
      </c>
      <c r="M938">
        <v>840</v>
      </c>
      <c r="N938">
        <v>480</v>
      </c>
      <c r="O938">
        <v>360</v>
      </c>
    </row>
    <row r="939" spans="1:15" x14ac:dyDescent="0.25">
      <c r="A939" t="s">
        <v>1862</v>
      </c>
      <c r="B939" s="2">
        <v>46595</v>
      </c>
      <c r="C939" t="s">
        <v>1427</v>
      </c>
      <c r="D939" t="s">
        <v>1428</v>
      </c>
      <c r="E939" t="s">
        <v>18</v>
      </c>
      <c r="F939" t="s">
        <v>19</v>
      </c>
      <c r="G939" t="s">
        <v>20</v>
      </c>
      <c r="H939" t="s">
        <v>84</v>
      </c>
      <c r="I939" t="s">
        <v>169</v>
      </c>
      <c r="J939">
        <v>2</v>
      </c>
      <c r="K939">
        <v>450</v>
      </c>
      <c r="L939">
        <v>0.05</v>
      </c>
      <c r="M939">
        <v>855</v>
      </c>
      <c r="N939">
        <v>520</v>
      </c>
      <c r="O939">
        <v>335</v>
      </c>
    </row>
    <row r="940" spans="1:15" x14ac:dyDescent="0.25">
      <c r="A940" t="s">
        <v>1863</v>
      </c>
      <c r="B940" s="2">
        <v>46596</v>
      </c>
      <c r="C940" t="s">
        <v>350</v>
      </c>
      <c r="D940" t="s">
        <v>351</v>
      </c>
      <c r="E940" t="s">
        <v>18</v>
      </c>
      <c r="F940" t="s">
        <v>115</v>
      </c>
      <c r="G940" t="s">
        <v>57</v>
      </c>
      <c r="H940" t="s">
        <v>104</v>
      </c>
      <c r="I940" t="s">
        <v>105</v>
      </c>
      <c r="J940">
        <v>3</v>
      </c>
      <c r="K940">
        <v>7500</v>
      </c>
      <c r="L940">
        <v>0.1</v>
      </c>
      <c r="M940">
        <v>20250</v>
      </c>
      <c r="N940">
        <v>15600</v>
      </c>
      <c r="O940">
        <v>4650</v>
      </c>
    </row>
    <row r="941" spans="1:15" x14ac:dyDescent="0.25">
      <c r="A941" t="s">
        <v>1864</v>
      </c>
      <c r="B941" s="2">
        <v>46597</v>
      </c>
      <c r="C941" t="s">
        <v>1865</v>
      </c>
      <c r="D941" t="s">
        <v>1866</v>
      </c>
      <c r="E941" t="s">
        <v>96</v>
      </c>
      <c r="F941" t="s">
        <v>196</v>
      </c>
      <c r="G941" t="s">
        <v>28</v>
      </c>
      <c r="H941" t="s">
        <v>63</v>
      </c>
      <c r="I941" t="s">
        <v>64</v>
      </c>
      <c r="J941">
        <v>2</v>
      </c>
      <c r="K941">
        <v>2400</v>
      </c>
      <c r="L941">
        <v>0</v>
      </c>
      <c r="M941">
        <v>4800</v>
      </c>
      <c r="N941">
        <v>3300</v>
      </c>
      <c r="O941">
        <v>1500</v>
      </c>
    </row>
    <row r="942" spans="1:15" x14ac:dyDescent="0.25">
      <c r="A942" t="s">
        <v>1867</v>
      </c>
      <c r="B942" s="2">
        <v>46598</v>
      </c>
      <c r="C942" t="s">
        <v>700</v>
      </c>
      <c r="D942" t="s">
        <v>701</v>
      </c>
      <c r="E942" t="s">
        <v>26</v>
      </c>
      <c r="F942" t="s">
        <v>27</v>
      </c>
      <c r="G942" t="s">
        <v>51</v>
      </c>
      <c r="H942" t="s">
        <v>21</v>
      </c>
      <c r="I942" t="s">
        <v>116</v>
      </c>
      <c r="J942">
        <v>2</v>
      </c>
      <c r="K942">
        <v>1400</v>
      </c>
      <c r="L942">
        <v>0.1</v>
      </c>
      <c r="M942">
        <v>2520</v>
      </c>
      <c r="N942">
        <v>1800</v>
      </c>
      <c r="O942">
        <v>720</v>
      </c>
    </row>
    <row r="943" spans="1:15" x14ac:dyDescent="0.25">
      <c r="A943" t="s">
        <v>1868</v>
      </c>
      <c r="B943" s="2">
        <v>46599</v>
      </c>
      <c r="C943" t="s">
        <v>1869</v>
      </c>
      <c r="D943" t="s">
        <v>1870</v>
      </c>
      <c r="E943" t="s">
        <v>39</v>
      </c>
      <c r="F943" t="s">
        <v>71</v>
      </c>
      <c r="G943" t="s">
        <v>20</v>
      </c>
      <c r="H943" t="s">
        <v>21</v>
      </c>
      <c r="I943" t="s">
        <v>22</v>
      </c>
      <c r="J943">
        <v>2</v>
      </c>
      <c r="K943">
        <v>650</v>
      </c>
      <c r="L943">
        <v>0.15</v>
      </c>
      <c r="M943">
        <v>1105</v>
      </c>
      <c r="N943">
        <v>780</v>
      </c>
      <c r="O943">
        <v>325</v>
      </c>
    </row>
    <row r="944" spans="1:15" x14ac:dyDescent="0.25">
      <c r="A944" t="s">
        <v>1871</v>
      </c>
      <c r="B944" s="2">
        <v>46600</v>
      </c>
      <c r="C944" t="s">
        <v>1690</v>
      </c>
      <c r="D944" t="s">
        <v>1691</v>
      </c>
      <c r="E944" t="s">
        <v>39</v>
      </c>
      <c r="F944" t="s">
        <v>76</v>
      </c>
      <c r="G944" t="s">
        <v>57</v>
      </c>
      <c r="H944" t="s">
        <v>188</v>
      </c>
      <c r="I944" t="s">
        <v>189</v>
      </c>
      <c r="J944">
        <v>3</v>
      </c>
      <c r="K944">
        <v>6200</v>
      </c>
      <c r="L944">
        <v>0.1</v>
      </c>
      <c r="M944">
        <v>16740</v>
      </c>
      <c r="N944">
        <v>12900</v>
      </c>
      <c r="O944">
        <v>3840</v>
      </c>
    </row>
    <row r="945" spans="1:15" x14ac:dyDescent="0.25">
      <c r="A945" t="s">
        <v>1872</v>
      </c>
      <c r="B945" s="2">
        <v>46601</v>
      </c>
      <c r="C945" t="s">
        <v>643</v>
      </c>
      <c r="D945" t="s">
        <v>644</v>
      </c>
      <c r="E945" t="s">
        <v>26</v>
      </c>
      <c r="F945" t="s">
        <v>34</v>
      </c>
      <c r="G945" t="s">
        <v>20</v>
      </c>
      <c r="H945" t="s">
        <v>84</v>
      </c>
      <c r="I945" t="s">
        <v>210</v>
      </c>
      <c r="J945">
        <v>1</v>
      </c>
      <c r="K945">
        <v>300</v>
      </c>
      <c r="L945">
        <v>0.1</v>
      </c>
      <c r="M945">
        <v>270</v>
      </c>
      <c r="N945">
        <v>170</v>
      </c>
      <c r="O945">
        <v>100</v>
      </c>
    </row>
    <row r="946" spans="1:15" x14ac:dyDescent="0.25">
      <c r="A946" t="s">
        <v>1873</v>
      </c>
      <c r="B946" s="2">
        <v>46602</v>
      </c>
      <c r="C946" t="s">
        <v>1874</v>
      </c>
      <c r="D946" t="s">
        <v>1875</v>
      </c>
      <c r="E946" t="s">
        <v>26</v>
      </c>
      <c r="F946" t="s">
        <v>204</v>
      </c>
      <c r="G946" t="s">
        <v>57</v>
      </c>
      <c r="H946" t="s">
        <v>58</v>
      </c>
      <c r="I946" t="s">
        <v>59</v>
      </c>
      <c r="J946">
        <v>2</v>
      </c>
      <c r="K946">
        <v>5600</v>
      </c>
      <c r="L946">
        <v>0.2</v>
      </c>
      <c r="M946">
        <v>8960</v>
      </c>
      <c r="N946">
        <v>7800</v>
      </c>
      <c r="O946">
        <v>1160</v>
      </c>
    </row>
    <row r="947" spans="1:15" x14ac:dyDescent="0.25">
      <c r="A947" t="s">
        <v>1876</v>
      </c>
      <c r="B947" s="2">
        <v>46603</v>
      </c>
      <c r="C947" t="s">
        <v>834</v>
      </c>
      <c r="D947" t="s">
        <v>835</v>
      </c>
      <c r="E947" t="s">
        <v>18</v>
      </c>
      <c r="F947" t="s">
        <v>115</v>
      </c>
      <c r="G947" t="s">
        <v>57</v>
      </c>
      <c r="H947" t="s">
        <v>104</v>
      </c>
      <c r="I947" t="s">
        <v>105</v>
      </c>
      <c r="J947">
        <v>4</v>
      </c>
      <c r="K947">
        <v>7500</v>
      </c>
      <c r="L947">
        <v>0.2</v>
      </c>
      <c r="M947">
        <v>24000</v>
      </c>
      <c r="N947">
        <v>20800</v>
      </c>
      <c r="O947">
        <v>3200</v>
      </c>
    </row>
    <row r="948" spans="1:15" x14ac:dyDescent="0.25">
      <c r="A948" t="s">
        <v>1877</v>
      </c>
      <c r="B948" s="2">
        <v>46604</v>
      </c>
      <c r="C948" t="s">
        <v>513</v>
      </c>
      <c r="D948" t="s">
        <v>514</v>
      </c>
      <c r="E948" t="s">
        <v>39</v>
      </c>
      <c r="F948" t="s">
        <v>124</v>
      </c>
      <c r="G948" t="s">
        <v>57</v>
      </c>
      <c r="H948" t="s">
        <v>58</v>
      </c>
      <c r="I948" t="s">
        <v>129</v>
      </c>
      <c r="J948">
        <v>3</v>
      </c>
      <c r="K948">
        <v>4800</v>
      </c>
      <c r="L948">
        <v>0.1</v>
      </c>
      <c r="M948">
        <v>12960</v>
      </c>
      <c r="N948">
        <v>9900</v>
      </c>
      <c r="O948">
        <v>3060</v>
      </c>
    </row>
    <row r="949" spans="1:15" x14ac:dyDescent="0.25">
      <c r="A949" t="s">
        <v>1878</v>
      </c>
      <c r="B949" s="2">
        <v>46605</v>
      </c>
      <c r="C949" t="s">
        <v>408</v>
      </c>
      <c r="D949" t="s">
        <v>409</v>
      </c>
      <c r="E949" t="s">
        <v>96</v>
      </c>
      <c r="F949" t="s">
        <v>120</v>
      </c>
      <c r="G949" t="s">
        <v>20</v>
      </c>
      <c r="H949" t="s">
        <v>84</v>
      </c>
      <c r="I949" t="s">
        <v>210</v>
      </c>
      <c r="J949">
        <v>5</v>
      </c>
      <c r="K949">
        <v>300</v>
      </c>
      <c r="L949">
        <v>0.25</v>
      </c>
      <c r="M949">
        <v>1125</v>
      </c>
      <c r="N949">
        <v>850</v>
      </c>
      <c r="O949">
        <v>275</v>
      </c>
    </row>
    <row r="950" spans="1:15" x14ac:dyDescent="0.25">
      <c r="A950" t="s">
        <v>1879</v>
      </c>
      <c r="B950" s="2">
        <v>46606</v>
      </c>
      <c r="C950" t="s">
        <v>619</v>
      </c>
      <c r="D950" t="s">
        <v>620</v>
      </c>
      <c r="E950" t="s">
        <v>96</v>
      </c>
      <c r="F950" t="s">
        <v>97</v>
      </c>
      <c r="G950" t="s">
        <v>28</v>
      </c>
      <c r="H950" t="s">
        <v>29</v>
      </c>
      <c r="I950" t="s">
        <v>47</v>
      </c>
      <c r="J950">
        <v>3</v>
      </c>
      <c r="K950">
        <v>6800</v>
      </c>
      <c r="L950">
        <v>0.05</v>
      </c>
      <c r="M950">
        <v>19380</v>
      </c>
      <c r="N950">
        <v>14100</v>
      </c>
      <c r="O950">
        <v>5280</v>
      </c>
    </row>
    <row r="951" spans="1:15" x14ac:dyDescent="0.25">
      <c r="A951" t="s">
        <v>1880</v>
      </c>
      <c r="B951" s="2">
        <v>46607</v>
      </c>
      <c r="C951" t="s">
        <v>372</v>
      </c>
      <c r="D951" t="s">
        <v>373</v>
      </c>
      <c r="E951" t="s">
        <v>96</v>
      </c>
      <c r="F951" t="s">
        <v>200</v>
      </c>
      <c r="G951" t="s">
        <v>51</v>
      </c>
      <c r="H951" t="s">
        <v>89</v>
      </c>
      <c r="I951" t="s">
        <v>90</v>
      </c>
      <c r="J951">
        <v>1</v>
      </c>
      <c r="K951">
        <v>10500</v>
      </c>
      <c r="L951">
        <v>0.2</v>
      </c>
      <c r="M951">
        <v>8400</v>
      </c>
      <c r="N951">
        <v>7600</v>
      </c>
      <c r="O951">
        <v>800</v>
      </c>
    </row>
    <row r="952" spans="1:15" x14ac:dyDescent="0.25">
      <c r="A952" t="s">
        <v>1881</v>
      </c>
      <c r="B952" s="2">
        <v>46608</v>
      </c>
      <c r="C952" t="s">
        <v>1157</v>
      </c>
      <c r="D952" t="s">
        <v>1158</v>
      </c>
      <c r="E952" t="s">
        <v>39</v>
      </c>
      <c r="F952" t="s">
        <v>71</v>
      </c>
      <c r="G952" t="s">
        <v>28</v>
      </c>
      <c r="H952" t="s">
        <v>29</v>
      </c>
      <c r="I952" t="s">
        <v>35</v>
      </c>
      <c r="J952">
        <v>4</v>
      </c>
      <c r="K952">
        <v>4200</v>
      </c>
      <c r="L952">
        <v>0.2</v>
      </c>
      <c r="M952">
        <v>13440</v>
      </c>
      <c r="N952">
        <v>11600</v>
      </c>
      <c r="O952">
        <v>1840</v>
      </c>
    </row>
    <row r="953" spans="1:15" x14ac:dyDescent="0.25">
      <c r="A953" t="s">
        <v>1882</v>
      </c>
      <c r="B953" s="2">
        <v>46609</v>
      </c>
      <c r="C953" t="s">
        <v>262</v>
      </c>
      <c r="D953" t="s">
        <v>263</v>
      </c>
      <c r="E953" t="s">
        <v>26</v>
      </c>
      <c r="F953" t="s">
        <v>46</v>
      </c>
      <c r="G953" t="s">
        <v>51</v>
      </c>
      <c r="H953" t="s">
        <v>52</v>
      </c>
      <c r="I953" t="s">
        <v>208</v>
      </c>
      <c r="J953">
        <v>3</v>
      </c>
      <c r="K953">
        <v>2800</v>
      </c>
      <c r="L953">
        <v>0.05</v>
      </c>
      <c r="M953">
        <v>7980</v>
      </c>
      <c r="N953">
        <v>5400</v>
      </c>
      <c r="O953">
        <v>2580</v>
      </c>
    </row>
    <row r="954" spans="1:15" x14ac:dyDescent="0.25">
      <c r="A954" t="s">
        <v>1883</v>
      </c>
      <c r="B954" s="2">
        <v>46610</v>
      </c>
      <c r="C954" t="s">
        <v>447</v>
      </c>
      <c r="D954" t="s">
        <v>448</v>
      </c>
      <c r="E954" t="s">
        <v>39</v>
      </c>
      <c r="F954" t="s">
        <v>124</v>
      </c>
      <c r="G954" t="s">
        <v>20</v>
      </c>
      <c r="H954" t="s">
        <v>84</v>
      </c>
      <c r="I954" t="s">
        <v>169</v>
      </c>
      <c r="J954">
        <v>4</v>
      </c>
      <c r="K954">
        <v>450</v>
      </c>
      <c r="L954">
        <v>0.15</v>
      </c>
      <c r="M954">
        <v>1530</v>
      </c>
      <c r="N954">
        <v>1040</v>
      </c>
      <c r="O954">
        <v>490</v>
      </c>
    </row>
    <row r="955" spans="1:15" x14ac:dyDescent="0.25">
      <c r="A955" t="s">
        <v>1884</v>
      </c>
      <c r="B955" s="2">
        <v>46611</v>
      </c>
      <c r="C955" t="s">
        <v>1629</v>
      </c>
      <c r="D955" t="s">
        <v>1630</v>
      </c>
      <c r="E955" t="s">
        <v>18</v>
      </c>
      <c r="F955" t="s">
        <v>115</v>
      </c>
      <c r="G955" t="s">
        <v>51</v>
      </c>
      <c r="H955" t="s">
        <v>21</v>
      </c>
      <c r="I955" t="s">
        <v>72</v>
      </c>
      <c r="J955">
        <v>4</v>
      </c>
      <c r="K955">
        <v>1800</v>
      </c>
      <c r="L955">
        <v>0.15</v>
      </c>
      <c r="M955">
        <v>6120</v>
      </c>
      <c r="N955">
        <v>4400</v>
      </c>
      <c r="O955">
        <v>1720</v>
      </c>
    </row>
    <row r="956" spans="1:15" x14ac:dyDescent="0.25">
      <c r="A956" t="s">
        <v>1885</v>
      </c>
      <c r="B956" s="2">
        <v>46612</v>
      </c>
      <c r="C956" t="s">
        <v>527</v>
      </c>
      <c r="D956" t="s">
        <v>528</v>
      </c>
      <c r="E956" t="s">
        <v>96</v>
      </c>
      <c r="F956" t="s">
        <v>97</v>
      </c>
      <c r="G956" t="s">
        <v>57</v>
      </c>
      <c r="H956" t="s">
        <v>188</v>
      </c>
      <c r="I956" t="s">
        <v>189</v>
      </c>
      <c r="J956">
        <v>1</v>
      </c>
      <c r="K956">
        <v>6200</v>
      </c>
      <c r="L956">
        <v>0.2</v>
      </c>
      <c r="M956">
        <v>4960</v>
      </c>
      <c r="N956">
        <v>4300</v>
      </c>
      <c r="O956">
        <v>660</v>
      </c>
    </row>
    <row r="957" spans="1:15" x14ac:dyDescent="0.25">
      <c r="A957" t="s">
        <v>1886</v>
      </c>
      <c r="B957" s="2">
        <v>46613</v>
      </c>
      <c r="C957" t="s">
        <v>896</v>
      </c>
      <c r="D957" t="s">
        <v>897</v>
      </c>
      <c r="E957" t="s">
        <v>26</v>
      </c>
      <c r="F957" t="s">
        <v>34</v>
      </c>
      <c r="G957" t="s">
        <v>28</v>
      </c>
      <c r="H957" t="s">
        <v>63</v>
      </c>
      <c r="I957" t="s">
        <v>64</v>
      </c>
      <c r="J957">
        <v>1</v>
      </c>
      <c r="K957">
        <v>2400</v>
      </c>
      <c r="L957">
        <v>0.15</v>
      </c>
      <c r="M957">
        <v>2040</v>
      </c>
      <c r="N957">
        <v>1650</v>
      </c>
      <c r="O957">
        <v>390</v>
      </c>
    </row>
    <row r="958" spans="1:15" x14ac:dyDescent="0.25">
      <c r="A958" t="s">
        <v>1887</v>
      </c>
      <c r="B958" s="2">
        <v>46614</v>
      </c>
      <c r="C958" t="s">
        <v>957</v>
      </c>
      <c r="D958" t="s">
        <v>958</v>
      </c>
      <c r="E958" t="s">
        <v>96</v>
      </c>
      <c r="F958" t="s">
        <v>120</v>
      </c>
      <c r="G958" t="s">
        <v>51</v>
      </c>
      <c r="H958" t="s">
        <v>21</v>
      </c>
      <c r="I958" t="s">
        <v>72</v>
      </c>
      <c r="J958">
        <v>2</v>
      </c>
      <c r="K958">
        <v>1800</v>
      </c>
      <c r="L958">
        <v>0.2</v>
      </c>
      <c r="M958">
        <v>2880</v>
      </c>
      <c r="N958">
        <v>2200</v>
      </c>
      <c r="O958">
        <v>680</v>
      </c>
    </row>
    <row r="959" spans="1:15" x14ac:dyDescent="0.25">
      <c r="A959" t="s">
        <v>1888</v>
      </c>
      <c r="B959" s="2">
        <v>46615</v>
      </c>
      <c r="C959" t="s">
        <v>1889</v>
      </c>
      <c r="D959" t="s">
        <v>1890</v>
      </c>
      <c r="E959" t="s">
        <v>26</v>
      </c>
      <c r="F959" t="s">
        <v>128</v>
      </c>
      <c r="G959" t="s">
        <v>28</v>
      </c>
      <c r="H959" t="s">
        <v>63</v>
      </c>
      <c r="I959" t="s">
        <v>64</v>
      </c>
      <c r="J959">
        <v>3</v>
      </c>
      <c r="K959">
        <v>2400</v>
      </c>
      <c r="L959">
        <v>0.05</v>
      </c>
      <c r="M959">
        <v>6840</v>
      </c>
      <c r="N959">
        <v>4950</v>
      </c>
      <c r="O959">
        <v>1890</v>
      </c>
    </row>
    <row r="960" spans="1:15" x14ac:dyDescent="0.25">
      <c r="A960" t="s">
        <v>1891</v>
      </c>
      <c r="B960" s="2">
        <v>46616</v>
      </c>
      <c r="C960" t="s">
        <v>396</v>
      </c>
      <c r="D960" t="s">
        <v>397</v>
      </c>
      <c r="E960" t="s">
        <v>26</v>
      </c>
      <c r="F960" t="s">
        <v>46</v>
      </c>
      <c r="G960" t="s">
        <v>57</v>
      </c>
      <c r="H960" t="s">
        <v>104</v>
      </c>
      <c r="I960" t="s">
        <v>105</v>
      </c>
      <c r="J960">
        <v>1</v>
      </c>
      <c r="K960">
        <v>7500</v>
      </c>
      <c r="L960">
        <v>0</v>
      </c>
      <c r="M960">
        <v>7500</v>
      </c>
      <c r="N960">
        <v>5200</v>
      </c>
      <c r="O960">
        <v>2300</v>
      </c>
    </row>
    <row r="961" spans="1:15" x14ac:dyDescent="0.25">
      <c r="A961" t="s">
        <v>1892</v>
      </c>
      <c r="B961" s="2">
        <v>46617</v>
      </c>
      <c r="C961" t="s">
        <v>1246</v>
      </c>
      <c r="D961" t="s">
        <v>1247</v>
      </c>
      <c r="E961" t="s">
        <v>18</v>
      </c>
      <c r="F961" t="s">
        <v>227</v>
      </c>
      <c r="G961" t="s">
        <v>57</v>
      </c>
      <c r="H961" t="s">
        <v>188</v>
      </c>
      <c r="I961" t="s">
        <v>189</v>
      </c>
      <c r="J961">
        <v>3</v>
      </c>
      <c r="K961">
        <v>6200</v>
      </c>
      <c r="L961">
        <v>0.2</v>
      </c>
      <c r="M961">
        <v>14880</v>
      </c>
      <c r="N961">
        <v>12900</v>
      </c>
      <c r="O961">
        <v>1980</v>
      </c>
    </row>
    <row r="962" spans="1:15" x14ac:dyDescent="0.25">
      <c r="A962" t="s">
        <v>1893</v>
      </c>
      <c r="B962" s="2">
        <v>46618</v>
      </c>
      <c r="C962" t="s">
        <v>718</v>
      </c>
      <c r="D962" t="s">
        <v>719</v>
      </c>
      <c r="E962" t="s">
        <v>39</v>
      </c>
      <c r="F962" t="s">
        <v>124</v>
      </c>
      <c r="G962" t="s">
        <v>51</v>
      </c>
      <c r="H962" t="s">
        <v>21</v>
      </c>
      <c r="I962" t="s">
        <v>72</v>
      </c>
      <c r="J962">
        <v>1</v>
      </c>
      <c r="K962">
        <v>1800</v>
      </c>
      <c r="L962">
        <v>0.15</v>
      </c>
      <c r="M962">
        <v>1530</v>
      </c>
      <c r="N962">
        <v>1100</v>
      </c>
      <c r="O962">
        <v>430</v>
      </c>
    </row>
    <row r="963" spans="1:15" x14ac:dyDescent="0.25">
      <c r="A963" t="s">
        <v>1894</v>
      </c>
      <c r="B963" s="2">
        <v>46619</v>
      </c>
      <c r="C963" t="s">
        <v>206</v>
      </c>
      <c r="D963" t="s">
        <v>207</v>
      </c>
      <c r="E963" t="s">
        <v>96</v>
      </c>
      <c r="F963" t="s">
        <v>196</v>
      </c>
      <c r="G963" t="s">
        <v>51</v>
      </c>
      <c r="H963" t="s">
        <v>21</v>
      </c>
      <c r="I963" t="s">
        <v>80</v>
      </c>
      <c r="J963">
        <v>3</v>
      </c>
      <c r="K963">
        <v>850</v>
      </c>
      <c r="L963">
        <v>0.05</v>
      </c>
      <c r="M963">
        <v>2422.5</v>
      </c>
      <c r="N963">
        <v>1680</v>
      </c>
      <c r="O963">
        <v>742.5</v>
      </c>
    </row>
    <row r="964" spans="1:15" x14ac:dyDescent="0.25">
      <c r="A964" t="s">
        <v>1895</v>
      </c>
      <c r="B964" s="2">
        <v>46620</v>
      </c>
      <c r="C964" t="s">
        <v>294</v>
      </c>
      <c r="D964" t="s">
        <v>295</v>
      </c>
      <c r="E964" t="s">
        <v>26</v>
      </c>
      <c r="F964" t="s">
        <v>46</v>
      </c>
      <c r="G964" t="s">
        <v>20</v>
      </c>
      <c r="H964" t="s">
        <v>84</v>
      </c>
      <c r="I964" t="s">
        <v>85</v>
      </c>
      <c r="J964">
        <v>2</v>
      </c>
      <c r="K964">
        <v>280</v>
      </c>
      <c r="L964">
        <v>0.1</v>
      </c>
      <c r="M964">
        <v>504</v>
      </c>
      <c r="N964">
        <v>320</v>
      </c>
      <c r="O964">
        <v>184</v>
      </c>
    </row>
    <row r="965" spans="1:15" x14ac:dyDescent="0.25">
      <c r="A965" t="s">
        <v>1896</v>
      </c>
      <c r="B965" s="2">
        <v>46621</v>
      </c>
      <c r="C965" t="s">
        <v>1897</v>
      </c>
      <c r="D965" t="s">
        <v>1898</v>
      </c>
      <c r="E965" t="s">
        <v>18</v>
      </c>
      <c r="F965" t="s">
        <v>227</v>
      </c>
      <c r="G965" t="s">
        <v>57</v>
      </c>
      <c r="H965" t="s">
        <v>58</v>
      </c>
      <c r="I965" t="s">
        <v>59</v>
      </c>
      <c r="J965">
        <v>5</v>
      </c>
      <c r="K965">
        <v>5600</v>
      </c>
      <c r="L965">
        <v>0.05</v>
      </c>
      <c r="M965">
        <v>26600</v>
      </c>
      <c r="N965">
        <v>19500</v>
      </c>
      <c r="O965">
        <v>7100</v>
      </c>
    </row>
    <row r="966" spans="1:15" x14ac:dyDescent="0.25">
      <c r="A966" t="s">
        <v>1899</v>
      </c>
      <c r="B966" s="2">
        <v>46622</v>
      </c>
      <c r="C966" t="s">
        <v>588</v>
      </c>
      <c r="D966" t="s">
        <v>589</v>
      </c>
      <c r="E966" t="s">
        <v>26</v>
      </c>
      <c r="F966" t="s">
        <v>34</v>
      </c>
      <c r="G966" t="s">
        <v>51</v>
      </c>
      <c r="H966" t="s">
        <v>21</v>
      </c>
      <c r="I966" t="s">
        <v>72</v>
      </c>
      <c r="J966">
        <v>1</v>
      </c>
      <c r="K966">
        <v>1800</v>
      </c>
      <c r="L966">
        <v>0.25</v>
      </c>
      <c r="M966">
        <v>1350</v>
      </c>
      <c r="N966">
        <v>1100</v>
      </c>
      <c r="O966">
        <v>250</v>
      </c>
    </row>
    <row r="967" spans="1:15" x14ac:dyDescent="0.25">
      <c r="A967" t="s">
        <v>1900</v>
      </c>
      <c r="B967" s="2">
        <v>46623</v>
      </c>
      <c r="C967" t="s">
        <v>423</v>
      </c>
      <c r="D967" t="s">
        <v>424</v>
      </c>
      <c r="E967" t="s">
        <v>26</v>
      </c>
      <c r="F967" t="s">
        <v>128</v>
      </c>
      <c r="G967" t="s">
        <v>20</v>
      </c>
      <c r="H967" t="s">
        <v>84</v>
      </c>
      <c r="I967" t="s">
        <v>169</v>
      </c>
      <c r="J967">
        <v>4</v>
      </c>
      <c r="K967">
        <v>450</v>
      </c>
      <c r="L967">
        <v>0.2</v>
      </c>
      <c r="M967">
        <v>1440</v>
      </c>
      <c r="N967">
        <v>1040</v>
      </c>
      <c r="O967">
        <v>400</v>
      </c>
    </row>
    <row r="968" spans="1:15" x14ac:dyDescent="0.25">
      <c r="A968" t="s">
        <v>1901</v>
      </c>
      <c r="B968" s="2">
        <v>46624</v>
      </c>
      <c r="C968" t="s">
        <v>384</v>
      </c>
      <c r="D968" t="s">
        <v>385</v>
      </c>
      <c r="E968" t="s">
        <v>26</v>
      </c>
      <c r="F968" t="s">
        <v>128</v>
      </c>
      <c r="G968" t="s">
        <v>20</v>
      </c>
      <c r="H968" t="s">
        <v>41</v>
      </c>
      <c r="I968" t="s">
        <v>42</v>
      </c>
      <c r="J968">
        <v>4</v>
      </c>
      <c r="K968">
        <v>520</v>
      </c>
      <c r="L968">
        <v>0.1</v>
      </c>
      <c r="M968">
        <v>1872</v>
      </c>
      <c r="N968">
        <v>1320</v>
      </c>
      <c r="O968">
        <v>552</v>
      </c>
    </row>
    <row r="969" spans="1:15" x14ac:dyDescent="0.25">
      <c r="A969" t="s">
        <v>1902</v>
      </c>
      <c r="B969" s="2">
        <v>46625</v>
      </c>
      <c r="C969" t="s">
        <v>1461</v>
      </c>
      <c r="D969" t="s">
        <v>1462</v>
      </c>
      <c r="E969" t="s">
        <v>26</v>
      </c>
      <c r="F969" t="s">
        <v>204</v>
      </c>
      <c r="G969" t="s">
        <v>20</v>
      </c>
      <c r="H969" t="s">
        <v>84</v>
      </c>
      <c r="I969" t="s">
        <v>210</v>
      </c>
      <c r="J969">
        <v>2</v>
      </c>
      <c r="K969">
        <v>300</v>
      </c>
      <c r="L969">
        <v>0.1</v>
      </c>
      <c r="M969">
        <v>540</v>
      </c>
      <c r="N969">
        <v>340</v>
      </c>
      <c r="O969">
        <v>200</v>
      </c>
    </row>
    <row r="970" spans="1:15" x14ac:dyDescent="0.25">
      <c r="A970" t="s">
        <v>1903</v>
      </c>
      <c r="B970" s="2">
        <v>46626</v>
      </c>
      <c r="C970" t="s">
        <v>420</v>
      </c>
      <c r="D970" t="s">
        <v>421</v>
      </c>
      <c r="E970" t="s">
        <v>39</v>
      </c>
      <c r="F970" t="s">
        <v>76</v>
      </c>
      <c r="G970" t="s">
        <v>20</v>
      </c>
      <c r="H970" t="s">
        <v>41</v>
      </c>
      <c r="I970" t="s">
        <v>42</v>
      </c>
      <c r="J970">
        <v>4</v>
      </c>
      <c r="K970">
        <v>520</v>
      </c>
      <c r="L970">
        <v>0</v>
      </c>
      <c r="M970">
        <v>2080</v>
      </c>
      <c r="N970">
        <v>1320</v>
      </c>
      <c r="O970">
        <v>760</v>
      </c>
    </row>
    <row r="971" spans="1:15" x14ac:dyDescent="0.25">
      <c r="A971" t="s">
        <v>1904</v>
      </c>
      <c r="B971" s="2">
        <v>46627</v>
      </c>
      <c r="C971" t="s">
        <v>1682</v>
      </c>
      <c r="D971" t="s">
        <v>1683</v>
      </c>
      <c r="E971" t="s">
        <v>39</v>
      </c>
      <c r="F971" t="s">
        <v>40</v>
      </c>
      <c r="G971" t="s">
        <v>51</v>
      </c>
      <c r="H971" t="s">
        <v>52</v>
      </c>
      <c r="I971" t="s">
        <v>53</v>
      </c>
      <c r="J971">
        <v>4</v>
      </c>
      <c r="K971">
        <v>2200</v>
      </c>
      <c r="L971">
        <v>0.2</v>
      </c>
      <c r="M971">
        <v>7040</v>
      </c>
      <c r="N971">
        <v>5800</v>
      </c>
      <c r="O971">
        <v>1240</v>
      </c>
    </row>
    <row r="972" spans="1:15" x14ac:dyDescent="0.25">
      <c r="A972" t="s">
        <v>1905</v>
      </c>
      <c r="B972" s="2">
        <v>46628</v>
      </c>
      <c r="C972" t="s">
        <v>573</v>
      </c>
      <c r="D972" t="s">
        <v>574</v>
      </c>
      <c r="E972" t="s">
        <v>26</v>
      </c>
      <c r="F972" t="s">
        <v>34</v>
      </c>
      <c r="G972" t="s">
        <v>57</v>
      </c>
      <c r="H972" t="s">
        <v>58</v>
      </c>
      <c r="I972" t="s">
        <v>59</v>
      </c>
      <c r="J972">
        <v>1</v>
      </c>
      <c r="K972">
        <v>5600</v>
      </c>
      <c r="L972">
        <v>0.15</v>
      </c>
      <c r="M972">
        <v>4760</v>
      </c>
      <c r="N972">
        <v>3900</v>
      </c>
      <c r="O972">
        <v>860</v>
      </c>
    </row>
    <row r="973" spans="1:15" x14ac:dyDescent="0.25">
      <c r="A973" t="s">
        <v>1906</v>
      </c>
      <c r="B973" s="2">
        <v>46629</v>
      </c>
      <c r="C973" t="s">
        <v>868</v>
      </c>
      <c r="D973" t="s">
        <v>869</v>
      </c>
      <c r="E973" t="s">
        <v>39</v>
      </c>
      <c r="F973" t="s">
        <v>124</v>
      </c>
      <c r="G973" t="s">
        <v>51</v>
      </c>
      <c r="H973" t="s">
        <v>21</v>
      </c>
      <c r="I973" t="s">
        <v>116</v>
      </c>
      <c r="J973">
        <v>3</v>
      </c>
      <c r="K973">
        <v>1400</v>
      </c>
      <c r="L973">
        <v>0.25</v>
      </c>
      <c r="M973">
        <v>3150</v>
      </c>
      <c r="N973">
        <v>2700</v>
      </c>
      <c r="O973">
        <v>450</v>
      </c>
    </row>
    <row r="974" spans="1:15" x14ac:dyDescent="0.25">
      <c r="A974" t="s">
        <v>1907</v>
      </c>
      <c r="B974" s="2">
        <v>46630</v>
      </c>
      <c r="C974" t="s">
        <v>1190</v>
      </c>
      <c r="D974" t="s">
        <v>1191</v>
      </c>
      <c r="E974" t="s">
        <v>18</v>
      </c>
      <c r="F974" t="s">
        <v>19</v>
      </c>
      <c r="G974" t="s">
        <v>57</v>
      </c>
      <c r="H974" t="s">
        <v>188</v>
      </c>
      <c r="I974" t="s">
        <v>189</v>
      </c>
      <c r="J974">
        <v>4</v>
      </c>
      <c r="K974">
        <v>6200</v>
      </c>
      <c r="L974">
        <v>0.05</v>
      </c>
      <c r="M974">
        <v>23560</v>
      </c>
      <c r="N974">
        <v>17200</v>
      </c>
      <c r="O974">
        <v>6360</v>
      </c>
    </row>
    <row r="975" spans="1:15" x14ac:dyDescent="0.25">
      <c r="A975" t="s">
        <v>1908</v>
      </c>
      <c r="B975" s="2">
        <v>46631</v>
      </c>
      <c r="C975" t="s">
        <v>969</v>
      </c>
      <c r="D975" t="s">
        <v>970</v>
      </c>
      <c r="E975" t="s">
        <v>18</v>
      </c>
      <c r="F975" t="s">
        <v>94</v>
      </c>
      <c r="G975" t="s">
        <v>57</v>
      </c>
      <c r="H975" t="s">
        <v>188</v>
      </c>
      <c r="I975" t="s">
        <v>189</v>
      </c>
      <c r="J975">
        <v>2</v>
      </c>
      <c r="K975">
        <v>6200</v>
      </c>
      <c r="L975">
        <v>0</v>
      </c>
      <c r="M975">
        <v>12400</v>
      </c>
      <c r="N975">
        <v>8600</v>
      </c>
      <c r="O975">
        <v>3800</v>
      </c>
    </row>
    <row r="976" spans="1:15" x14ac:dyDescent="0.25">
      <c r="A976" t="s">
        <v>1909</v>
      </c>
      <c r="B976" s="2">
        <v>46632</v>
      </c>
      <c r="C976" t="s">
        <v>688</v>
      </c>
      <c r="D976" t="s">
        <v>689</v>
      </c>
      <c r="E976" t="s">
        <v>39</v>
      </c>
      <c r="F976" t="s">
        <v>124</v>
      </c>
      <c r="G976" t="s">
        <v>57</v>
      </c>
      <c r="H976" t="s">
        <v>188</v>
      </c>
      <c r="I976" t="s">
        <v>189</v>
      </c>
      <c r="J976">
        <v>1</v>
      </c>
      <c r="K976">
        <v>6200</v>
      </c>
      <c r="L976">
        <v>0.2</v>
      </c>
      <c r="M976">
        <v>4960</v>
      </c>
      <c r="N976">
        <v>4300</v>
      </c>
      <c r="O976">
        <v>660</v>
      </c>
    </row>
    <row r="977" spans="1:15" x14ac:dyDescent="0.25">
      <c r="A977" t="s">
        <v>1910</v>
      </c>
      <c r="B977" s="2">
        <v>46633</v>
      </c>
      <c r="C977" t="s">
        <v>501</v>
      </c>
      <c r="D977" t="s">
        <v>502</v>
      </c>
      <c r="E977" t="s">
        <v>26</v>
      </c>
      <c r="F977" t="s">
        <v>46</v>
      </c>
      <c r="G977" t="s">
        <v>51</v>
      </c>
      <c r="H977" t="s">
        <v>21</v>
      </c>
      <c r="I977" t="s">
        <v>116</v>
      </c>
      <c r="J977">
        <v>1</v>
      </c>
      <c r="K977">
        <v>1400</v>
      </c>
      <c r="L977">
        <v>0</v>
      </c>
      <c r="M977">
        <v>1400</v>
      </c>
      <c r="N977">
        <v>900</v>
      </c>
      <c r="O977">
        <v>500</v>
      </c>
    </row>
    <row r="978" spans="1:15" x14ac:dyDescent="0.25">
      <c r="A978" t="s">
        <v>1911</v>
      </c>
      <c r="B978" s="2">
        <v>46634</v>
      </c>
      <c r="C978" t="s">
        <v>1598</v>
      </c>
      <c r="D978" t="s">
        <v>1599</v>
      </c>
      <c r="E978" t="s">
        <v>26</v>
      </c>
      <c r="F978" t="s">
        <v>34</v>
      </c>
      <c r="G978" t="s">
        <v>28</v>
      </c>
      <c r="H978" t="s">
        <v>29</v>
      </c>
      <c r="I978" t="s">
        <v>35</v>
      </c>
      <c r="J978">
        <v>4</v>
      </c>
      <c r="K978">
        <v>4200</v>
      </c>
      <c r="L978">
        <v>0</v>
      </c>
      <c r="M978">
        <v>16800</v>
      </c>
      <c r="N978">
        <v>11600</v>
      </c>
      <c r="O978">
        <v>5200</v>
      </c>
    </row>
    <row r="979" spans="1:15" x14ac:dyDescent="0.25">
      <c r="A979" t="s">
        <v>1912</v>
      </c>
      <c r="B979" s="2">
        <v>46635</v>
      </c>
      <c r="C979" t="s">
        <v>1071</v>
      </c>
      <c r="D979" t="s">
        <v>1072</v>
      </c>
      <c r="E979" t="s">
        <v>26</v>
      </c>
      <c r="F979" t="s">
        <v>34</v>
      </c>
      <c r="G979" t="s">
        <v>51</v>
      </c>
      <c r="H979" t="s">
        <v>21</v>
      </c>
      <c r="I979" t="s">
        <v>80</v>
      </c>
      <c r="J979">
        <v>3</v>
      </c>
      <c r="K979">
        <v>850</v>
      </c>
      <c r="L979">
        <v>0.25</v>
      </c>
      <c r="M979">
        <v>1912.5</v>
      </c>
      <c r="N979">
        <v>1680</v>
      </c>
      <c r="O979">
        <v>232.5</v>
      </c>
    </row>
    <row r="980" spans="1:15" x14ac:dyDescent="0.25">
      <c r="A980" t="s">
        <v>1913</v>
      </c>
      <c r="B980" s="2">
        <v>46636</v>
      </c>
      <c r="C980" t="s">
        <v>340</v>
      </c>
      <c r="D980" t="s">
        <v>341</v>
      </c>
      <c r="E980" t="s">
        <v>39</v>
      </c>
      <c r="F980" t="s">
        <v>71</v>
      </c>
      <c r="G980" t="s">
        <v>28</v>
      </c>
      <c r="H980" t="s">
        <v>29</v>
      </c>
      <c r="I980" t="s">
        <v>30</v>
      </c>
      <c r="J980">
        <v>1</v>
      </c>
      <c r="K980">
        <v>1900</v>
      </c>
      <c r="L980">
        <v>0.15</v>
      </c>
      <c r="M980">
        <v>1615</v>
      </c>
      <c r="N980">
        <v>1250</v>
      </c>
      <c r="O980">
        <v>365</v>
      </c>
    </row>
    <row r="981" spans="1:15" x14ac:dyDescent="0.25">
      <c r="A981" t="s">
        <v>1914</v>
      </c>
      <c r="B981" s="2">
        <v>46637</v>
      </c>
      <c r="C981" t="s">
        <v>1915</v>
      </c>
      <c r="D981" t="s">
        <v>1916</v>
      </c>
      <c r="E981" t="s">
        <v>18</v>
      </c>
      <c r="F981" t="s">
        <v>19</v>
      </c>
      <c r="G981" t="s">
        <v>51</v>
      </c>
      <c r="H981" t="s">
        <v>21</v>
      </c>
      <c r="I981" t="s">
        <v>116</v>
      </c>
      <c r="J981">
        <v>3</v>
      </c>
      <c r="K981">
        <v>1400</v>
      </c>
      <c r="L981">
        <v>0.05</v>
      </c>
      <c r="M981">
        <v>3990</v>
      </c>
      <c r="N981">
        <v>2700</v>
      </c>
      <c r="O981">
        <v>1290</v>
      </c>
    </row>
    <row r="982" spans="1:15" x14ac:dyDescent="0.25">
      <c r="A982" t="s">
        <v>1917</v>
      </c>
      <c r="B982" s="2">
        <v>46638</v>
      </c>
      <c r="C982" t="s">
        <v>212</v>
      </c>
      <c r="D982" t="s">
        <v>213</v>
      </c>
      <c r="E982" t="s">
        <v>26</v>
      </c>
      <c r="F982" t="s">
        <v>128</v>
      </c>
      <c r="G982" t="s">
        <v>51</v>
      </c>
      <c r="H982" t="s">
        <v>21</v>
      </c>
      <c r="I982" t="s">
        <v>116</v>
      </c>
      <c r="J982">
        <v>3</v>
      </c>
      <c r="K982">
        <v>1400</v>
      </c>
      <c r="L982">
        <v>0.05</v>
      </c>
      <c r="M982">
        <v>3990</v>
      </c>
      <c r="N982">
        <v>2700</v>
      </c>
      <c r="O982">
        <v>1290</v>
      </c>
    </row>
    <row r="983" spans="1:15" x14ac:dyDescent="0.25">
      <c r="A983" t="s">
        <v>1918</v>
      </c>
      <c r="B983" s="2">
        <v>46639</v>
      </c>
      <c r="C983" t="s">
        <v>1486</v>
      </c>
      <c r="D983" t="s">
        <v>1487</v>
      </c>
      <c r="E983" t="s">
        <v>26</v>
      </c>
      <c r="F983" t="s">
        <v>27</v>
      </c>
      <c r="G983" t="s">
        <v>57</v>
      </c>
      <c r="H983" t="s">
        <v>58</v>
      </c>
      <c r="I983" t="s">
        <v>129</v>
      </c>
      <c r="J983">
        <v>1</v>
      </c>
      <c r="K983">
        <v>4800</v>
      </c>
      <c r="L983">
        <v>0.05</v>
      </c>
      <c r="M983">
        <v>4560</v>
      </c>
      <c r="N983">
        <v>3300</v>
      </c>
      <c r="O983">
        <v>1260</v>
      </c>
    </row>
    <row r="984" spans="1:15" x14ac:dyDescent="0.25">
      <c r="A984" t="s">
        <v>1919</v>
      </c>
      <c r="B984" s="2">
        <v>46640</v>
      </c>
      <c r="C984" t="s">
        <v>1920</v>
      </c>
      <c r="D984" t="s">
        <v>1921</v>
      </c>
      <c r="E984" t="s">
        <v>26</v>
      </c>
      <c r="F984" t="s">
        <v>34</v>
      </c>
      <c r="G984" t="s">
        <v>20</v>
      </c>
      <c r="H984" t="s">
        <v>84</v>
      </c>
      <c r="I984" t="s">
        <v>210</v>
      </c>
      <c r="J984">
        <v>1</v>
      </c>
      <c r="K984">
        <v>300</v>
      </c>
      <c r="L984">
        <v>0.15</v>
      </c>
      <c r="M984">
        <v>255</v>
      </c>
      <c r="N984">
        <v>170</v>
      </c>
      <c r="O984">
        <v>85</v>
      </c>
    </row>
    <row r="985" spans="1:15" x14ac:dyDescent="0.25">
      <c r="A985" t="s">
        <v>1922</v>
      </c>
      <c r="B985" s="2">
        <v>46641</v>
      </c>
      <c r="C985" t="s">
        <v>1786</v>
      </c>
      <c r="D985" t="s">
        <v>1787</v>
      </c>
      <c r="E985" t="s">
        <v>26</v>
      </c>
      <c r="F985" t="s">
        <v>204</v>
      </c>
      <c r="G985" t="s">
        <v>20</v>
      </c>
      <c r="H985" t="s">
        <v>41</v>
      </c>
      <c r="I985" t="s">
        <v>42</v>
      </c>
      <c r="J985">
        <v>2</v>
      </c>
      <c r="K985">
        <v>520</v>
      </c>
      <c r="L985">
        <v>0.1</v>
      </c>
      <c r="M985">
        <v>936</v>
      </c>
      <c r="N985">
        <v>660</v>
      </c>
      <c r="O985">
        <v>276</v>
      </c>
    </row>
    <row r="986" spans="1:15" x14ac:dyDescent="0.25">
      <c r="A986" t="s">
        <v>1923</v>
      </c>
      <c r="B986" s="2">
        <v>46642</v>
      </c>
      <c r="C986" t="s">
        <v>1477</v>
      </c>
      <c r="D986" t="s">
        <v>1478</v>
      </c>
      <c r="E986" t="s">
        <v>18</v>
      </c>
      <c r="F986" t="s">
        <v>94</v>
      </c>
      <c r="G986" t="s">
        <v>20</v>
      </c>
      <c r="H986" t="s">
        <v>41</v>
      </c>
      <c r="I986" t="s">
        <v>42</v>
      </c>
      <c r="J986">
        <v>4</v>
      </c>
      <c r="K986">
        <v>520</v>
      </c>
      <c r="L986">
        <v>0.15</v>
      </c>
      <c r="M986">
        <v>1768</v>
      </c>
      <c r="N986">
        <v>1320</v>
      </c>
      <c r="O986">
        <v>448</v>
      </c>
    </row>
    <row r="987" spans="1:15" x14ac:dyDescent="0.25">
      <c r="A987" t="s">
        <v>1924</v>
      </c>
      <c r="B987" s="2">
        <v>46643</v>
      </c>
      <c r="C987" t="s">
        <v>1246</v>
      </c>
      <c r="D987" t="s">
        <v>1247</v>
      </c>
      <c r="E987" t="s">
        <v>26</v>
      </c>
      <c r="F987" t="s">
        <v>27</v>
      </c>
      <c r="G987" t="s">
        <v>20</v>
      </c>
      <c r="H987" t="s">
        <v>21</v>
      </c>
      <c r="I987" t="s">
        <v>22</v>
      </c>
      <c r="J987">
        <v>4</v>
      </c>
      <c r="K987">
        <v>650</v>
      </c>
      <c r="L987">
        <v>0.05</v>
      </c>
      <c r="M987">
        <v>2470</v>
      </c>
      <c r="N987">
        <v>1560</v>
      </c>
      <c r="O987">
        <v>910</v>
      </c>
    </row>
    <row r="988" spans="1:15" x14ac:dyDescent="0.25">
      <c r="A988" t="s">
        <v>1925</v>
      </c>
      <c r="B988" s="2">
        <v>46644</v>
      </c>
      <c r="C988" t="s">
        <v>655</v>
      </c>
      <c r="D988" t="s">
        <v>656</v>
      </c>
      <c r="E988" t="s">
        <v>39</v>
      </c>
      <c r="F988" t="s">
        <v>71</v>
      </c>
      <c r="G988" t="s">
        <v>28</v>
      </c>
      <c r="H988" t="s">
        <v>29</v>
      </c>
      <c r="I988" t="s">
        <v>30</v>
      </c>
      <c r="J988">
        <v>4</v>
      </c>
      <c r="K988">
        <v>1900</v>
      </c>
      <c r="L988">
        <v>0.2</v>
      </c>
      <c r="M988">
        <v>6080</v>
      </c>
      <c r="N988">
        <v>5000</v>
      </c>
      <c r="O988">
        <v>1080</v>
      </c>
    </row>
    <row r="989" spans="1:15" x14ac:dyDescent="0.25">
      <c r="A989" t="s">
        <v>1926</v>
      </c>
      <c r="B989" s="2">
        <v>46645</v>
      </c>
      <c r="C989" t="s">
        <v>191</v>
      </c>
      <c r="D989" t="s">
        <v>192</v>
      </c>
      <c r="E989" t="s">
        <v>39</v>
      </c>
      <c r="F989" t="s">
        <v>124</v>
      </c>
      <c r="G989" t="s">
        <v>57</v>
      </c>
      <c r="H989" t="s">
        <v>188</v>
      </c>
      <c r="I989" t="s">
        <v>189</v>
      </c>
      <c r="J989">
        <v>5</v>
      </c>
      <c r="K989">
        <v>6200</v>
      </c>
      <c r="L989">
        <v>0</v>
      </c>
      <c r="M989">
        <v>31000</v>
      </c>
      <c r="N989">
        <v>21500</v>
      </c>
      <c r="O989">
        <v>9500</v>
      </c>
    </row>
    <row r="990" spans="1:15" x14ac:dyDescent="0.25">
      <c r="A990" t="s">
        <v>1927</v>
      </c>
      <c r="B990" s="2">
        <v>46646</v>
      </c>
      <c r="C990" t="s">
        <v>1268</v>
      </c>
      <c r="D990" t="s">
        <v>1269</v>
      </c>
      <c r="E990" t="s">
        <v>39</v>
      </c>
      <c r="F990" t="s">
        <v>40</v>
      </c>
      <c r="G990" t="s">
        <v>51</v>
      </c>
      <c r="H990" t="s">
        <v>52</v>
      </c>
      <c r="I990" t="s">
        <v>53</v>
      </c>
      <c r="J990">
        <v>4</v>
      </c>
      <c r="K990">
        <v>2200</v>
      </c>
      <c r="L990">
        <v>0.1</v>
      </c>
      <c r="M990">
        <v>7920</v>
      </c>
      <c r="N990">
        <v>5800</v>
      </c>
      <c r="O990">
        <v>2120</v>
      </c>
    </row>
    <row r="991" spans="1:15" x14ac:dyDescent="0.25">
      <c r="A991" t="s">
        <v>1928</v>
      </c>
      <c r="B991" s="2">
        <v>46647</v>
      </c>
      <c r="C991" t="s">
        <v>1067</v>
      </c>
      <c r="D991" t="s">
        <v>1068</v>
      </c>
      <c r="E991" t="s">
        <v>26</v>
      </c>
      <c r="F991" t="s">
        <v>128</v>
      </c>
      <c r="G991" t="s">
        <v>20</v>
      </c>
      <c r="H991" t="s">
        <v>84</v>
      </c>
      <c r="I991" t="s">
        <v>169</v>
      </c>
      <c r="J991">
        <v>2</v>
      </c>
      <c r="K991">
        <v>450</v>
      </c>
      <c r="L991">
        <v>0.1</v>
      </c>
      <c r="M991">
        <v>810</v>
      </c>
      <c r="N991">
        <v>520</v>
      </c>
      <c r="O991">
        <v>290</v>
      </c>
    </row>
    <row r="992" spans="1:15" x14ac:dyDescent="0.25">
      <c r="A992" t="s">
        <v>1929</v>
      </c>
      <c r="B992" s="2">
        <v>46648</v>
      </c>
      <c r="C992" t="s">
        <v>728</v>
      </c>
      <c r="D992" t="s">
        <v>729</v>
      </c>
      <c r="E992" t="s">
        <v>39</v>
      </c>
      <c r="F992" t="s">
        <v>76</v>
      </c>
      <c r="G992" t="s">
        <v>51</v>
      </c>
      <c r="H992" t="s">
        <v>21</v>
      </c>
      <c r="I992" t="s">
        <v>72</v>
      </c>
      <c r="J992">
        <v>2</v>
      </c>
      <c r="K992">
        <v>1800</v>
      </c>
      <c r="L992">
        <v>0.1</v>
      </c>
      <c r="M992">
        <v>3240</v>
      </c>
      <c r="N992">
        <v>2200</v>
      </c>
      <c r="O992">
        <v>1040</v>
      </c>
    </row>
    <row r="993" spans="1:15" x14ac:dyDescent="0.25">
      <c r="A993" t="s">
        <v>1930</v>
      </c>
      <c r="B993" s="2">
        <v>46649</v>
      </c>
      <c r="C993" t="s">
        <v>497</v>
      </c>
      <c r="D993" t="s">
        <v>498</v>
      </c>
      <c r="E993" t="s">
        <v>39</v>
      </c>
      <c r="F993" t="s">
        <v>76</v>
      </c>
      <c r="G993" t="s">
        <v>51</v>
      </c>
      <c r="H993" t="s">
        <v>21</v>
      </c>
      <c r="I993" t="s">
        <v>116</v>
      </c>
      <c r="J993">
        <v>3</v>
      </c>
      <c r="K993">
        <v>1400</v>
      </c>
      <c r="L993">
        <v>0.15</v>
      </c>
      <c r="M993">
        <v>3570</v>
      </c>
      <c r="N993">
        <v>2700</v>
      </c>
      <c r="O993">
        <v>870</v>
      </c>
    </row>
    <row r="994" spans="1:15" x14ac:dyDescent="0.25">
      <c r="A994" t="s">
        <v>1931</v>
      </c>
      <c r="B994" s="2">
        <v>46650</v>
      </c>
      <c r="C994" t="s">
        <v>1932</v>
      </c>
      <c r="D994" t="s">
        <v>1933</v>
      </c>
      <c r="E994" t="s">
        <v>96</v>
      </c>
      <c r="F994" t="s">
        <v>120</v>
      </c>
      <c r="G994" t="s">
        <v>51</v>
      </c>
      <c r="H994" t="s">
        <v>52</v>
      </c>
      <c r="I994" t="s">
        <v>53</v>
      </c>
      <c r="J994">
        <v>5</v>
      </c>
      <c r="K994">
        <v>2200</v>
      </c>
      <c r="L994">
        <v>0.05</v>
      </c>
      <c r="M994">
        <v>10450</v>
      </c>
      <c r="N994">
        <v>7250</v>
      </c>
      <c r="O994">
        <v>3200</v>
      </c>
    </row>
    <row r="995" spans="1:15" x14ac:dyDescent="0.25">
      <c r="A995" t="s">
        <v>1934</v>
      </c>
      <c r="B995" s="2">
        <v>46651</v>
      </c>
      <c r="C995" t="s">
        <v>781</v>
      </c>
      <c r="D995" t="s">
        <v>782</v>
      </c>
      <c r="E995" t="s">
        <v>96</v>
      </c>
      <c r="F995" t="s">
        <v>120</v>
      </c>
      <c r="G995" t="s">
        <v>57</v>
      </c>
      <c r="H995" t="s">
        <v>58</v>
      </c>
      <c r="I995" t="s">
        <v>59</v>
      </c>
      <c r="J995">
        <v>5</v>
      </c>
      <c r="K995">
        <v>5600</v>
      </c>
      <c r="L995">
        <v>0.15</v>
      </c>
      <c r="M995">
        <v>23800</v>
      </c>
      <c r="N995">
        <v>19500</v>
      </c>
      <c r="O995">
        <v>4300</v>
      </c>
    </row>
    <row r="996" spans="1:15" x14ac:dyDescent="0.25">
      <c r="A996" t="s">
        <v>1935</v>
      </c>
      <c r="B996" s="2">
        <v>46652</v>
      </c>
      <c r="C996" t="s">
        <v>1755</v>
      </c>
      <c r="D996" t="s">
        <v>1756</v>
      </c>
      <c r="E996" t="s">
        <v>39</v>
      </c>
      <c r="F996" t="s">
        <v>40</v>
      </c>
      <c r="G996" t="s">
        <v>57</v>
      </c>
      <c r="H996" t="s">
        <v>58</v>
      </c>
      <c r="I996" t="s">
        <v>129</v>
      </c>
      <c r="J996">
        <v>3</v>
      </c>
      <c r="K996">
        <v>4800</v>
      </c>
      <c r="L996">
        <v>0.2</v>
      </c>
      <c r="M996">
        <v>11520</v>
      </c>
      <c r="N996">
        <v>9900</v>
      </c>
      <c r="O996">
        <v>1620</v>
      </c>
    </row>
    <row r="997" spans="1:15" x14ac:dyDescent="0.25">
      <c r="A997" t="s">
        <v>1936</v>
      </c>
      <c r="B997" s="2">
        <v>46653</v>
      </c>
      <c r="C997" t="s">
        <v>180</v>
      </c>
      <c r="D997" t="s">
        <v>181</v>
      </c>
      <c r="E997" t="s">
        <v>26</v>
      </c>
      <c r="F997" t="s">
        <v>34</v>
      </c>
      <c r="G997" t="s">
        <v>51</v>
      </c>
      <c r="H997" t="s">
        <v>21</v>
      </c>
      <c r="I997" t="s">
        <v>116</v>
      </c>
      <c r="J997">
        <v>1</v>
      </c>
      <c r="K997">
        <v>1400</v>
      </c>
      <c r="L997">
        <v>0.25</v>
      </c>
      <c r="M997">
        <v>1050</v>
      </c>
      <c r="N997">
        <v>900</v>
      </c>
      <c r="O997">
        <v>150</v>
      </c>
    </row>
    <row r="998" spans="1:15" x14ac:dyDescent="0.25">
      <c r="A998" t="s">
        <v>1937</v>
      </c>
      <c r="B998" s="2">
        <v>46654</v>
      </c>
      <c r="C998" t="s">
        <v>501</v>
      </c>
      <c r="D998" t="s">
        <v>502</v>
      </c>
      <c r="E998" t="s">
        <v>26</v>
      </c>
      <c r="F998" t="s">
        <v>27</v>
      </c>
      <c r="G998" t="s">
        <v>57</v>
      </c>
      <c r="H998" t="s">
        <v>104</v>
      </c>
      <c r="I998" t="s">
        <v>105</v>
      </c>
      <c r="J998">
        <v>3</v>
      </c>
      <c r="K998">
        <v>7500</v>
      </c>
      <c r="L998">
        <v>0.15</v>
      </c>
      <c r="M998">
        <v>19125</v>
      </c>
      <c r="N998">
        <v>15600</v>
      </c>
      <c r="O998">
        <v>3525</v>
      </c>
    </row>
    <row r="999" spans="1:15" x14ac:dyDescent="0.25">
      <c r="A999" t="s">
        <v>1938</v>
      </c>
      <c r="B999" s="2">
        <v>46655</v>
      </c>
      <c r="C999" t="s">
        <v>969</v>
      </c>
      <c r="D999" t="s">
        <v>970</v>
      </c>
      <c r="E999" t="s">
        <v>26</v>
      </c>
      <c r="F999" t="s">
        <v>204</v>
      </c>
      <c r="G999" t="s">
        <v>20</v>
      </c>
      <c r="H999" t="s">
        <v>84</v>
      </c>
      <c r="I999" t="s">
        <v>210</v>
      </c>
      <c r="J999">
        <v>3</v>
      </c>
      <c r="K999">
        <v>300</v>
      </c>
      <c r="L999">
        <v>0.15</v>
      </c>
      <c r="M999">
        <v>765</v>
      </c>
      <c r="N999">
        <v>510</v>
      </c>
      <c r="O999">
        <v>255</v>
      </c>
    </row>
    <row r="1000" spans="1:15" x14ac:dyDescent="0.25">
      <c r="A1000" t="s">
        <v>1939</v>
      </c>
      <c r="B1000" s="2">
        <v>46656</v>
      </c>
      <c r="C1000" t="s">
        <v>1940</v>
      </c>
      <c r="D1000" t="s">
        <v>1941</v>
      </c>
      <c r="E1000" t="s">
        <v>96</v>
      </c>
      <c r="F1000" t="s">
        <v>97</v>
      </c>
      <c r="G1000" t="s">
        <v>57</v>
      </c>
      <c r="H1000" t="s">
        <v>188</v>
      </c>
      <c r="I1000" t="s">
        <v>189</v>
      </c>
      <c r="J1000">
        <v>4</v>
      </c>
      <c r="K1000">
        <v>6200</v>
      </c>
      <c r="L1000">
        <v>0.1</v>
      </c>
      <c r="M1000">
        <v>22320</v>
      </c>
      <c r="N1000">
        <v>17200</v>
      </c>
      <c r="O1000">
        <v>5120</v>
      </c>
    </row>
    <row r="1001" spans="1:15" x14ac:dyDescent="0.25">
      <c r="A1001" t="s">
        <v>1942</v>
      </c>
      <c r="B1001" s="2">
        <v>46657</v>
      </c>
      <c r="C1001" t="s">
        <v>659</v>
      </c>
      <c r="D1001" t="s">
        <v>660</v>
      </c>
      <c r="E1001" t="s">
        <v>39</v>
      </c>
      <c r="F1001" t="s">
        <v>124</v>
      </c>
      <c r="G1001" t="s">
        <v>51</v>
      </c>
      <c r="H1001" t="s">
        <v>21</v>
      </c>
      <c r="I1001" t="s">
        <v>72</v>
      </c>
      <c r="J1001">
        <v>2</v>
      </c>
      <c r="K1001">
        <v>1800</v>
      </c>
      <c r="L1001">
        <v>0.2</v>
      </c>
      <c r="M1001">
        <v>2880</v>
      </c>
      <c r="N1001">
        <v>2200</v>
      </c>
      <c r="O1001">
        <v>680</v>
      </c>
    </row>
    <row r="1002" spans="1:15" x14ac:dyDescent="0.25">
      <c r="A1002" t="s">
        <v>1943</v>
      </c>
      <c r="B1002" s="2">
        <v>46658</v>
      </c>
      <c r="C1002" t="s">
        <v>941</v>
      </c>
      <c r="D1002" t="s">
        <v>942</v>
      </c>
      <c r="E1002" t="s">
        <v>18</v>
      </c>
      <c r="F1002" t="s">
        <v>19</v>
      </c>
      <c r="G1002" t="s">
        <v>57</v>
      </c>
      <c r="H1002" t="s">
        <v>58</v>
      </c>
      <c r="I1002" t="s">
        <v>59</v>
      </c>
      <c r="J1002">
        <v>2</v>
      </c>
      <c r="K1002">
        <v>5600</v>
      </c>
      <c r="L1002">
        <v>0.15</v>
      </c>
      <c r="M1002">
        <v>9520</v>
      </c>
      <c r="N1002">
        <v>7800</v>
      </c>
      <c r="O1002">
        <v>1720</v>
      </c>
    </row>
    <row r="1003" spans="1:15" x14ac:dyDescent="0.25">
      <c r="A1003" t="s">
        <v>1944</v>
      </c>
      <c r="B1003" s="2">
        <v>46659</v>
      </c>
      <c r="C1003" t="s">
        <v>1323</v>
      </c>
      <c r="D1003" t="s">
        <v>1324</v>
      </c>
      <c r="E1003" t="s">
        <v>39</v>
      </c>
      <c r="F1003" t="s">
        <v>124</v>
      </c>
      <c r="G1003" t="s">
        <v>28</v>
      </c>
      <c r="H1003" t="s">
        <v>29</v>
      </c>
      <c r="I1003" t="s">
        <v>47</v>
      </c>
      <c r="J1003">
        <v>3</v>
      </c>
      <c r="K1003">
        <v>6800</v>
      </c>
      <c r="L1003">
        <v>0.05</v>
      </c>
      <c r="M1003">
        <v>19380</v>
      </c>
      <c r="N1003">
        <v>14100</v>
      </c>
      <c r="O1003">
        <v>5280</v>
      </c>
    </row>
    <row r="1004" spans="1:15" x14ac:dyDescent="0.25">
      <c r="A1004" t="s">
        <v>1945</v>
      </c>
      <c r="B1004" s="2">
        <v>46660</v>
      </c>
      <c r="C1004" t="s">
        <v>715</v>
      </c>
      <c r="D1004" t="s">
        <v>716</v>
      </c>
      <c r="E1004" t="s">
        <v>26</v>
      </c>
      <c r="F1004" t="s">
        <v>27</v>
      </c>
      <c r="G1004" t="s">
        <v>57</v>
      </c>
      <c r="H1004" t="s">
        <v>58</v>
      </c>
      <c r="I1004" t="s">
        <v>129</v>
      </c>
      <c r="J1004">
        <v>4</v>
      </c>
      <c r="K1004">
        <v>4800</v>
      </c>
      <c r="L1004">
        <v>0.15</v>
      </c>
      <c r="M1004">
        <v>16320</v>
      </c>
      <c r="N1004">
        <v>13200</v>
      </c>
      <c r="O1004">
        <v>3120</v>
      </c>
    </row>
    <row r="1005" spans="1:15" x14ac:dyDescent="0.25">
      <c r="A1005" t="s">
        <v>1946</v>
      </c>
      <c r="B1005" s="2">
        <v>46661</v>
      </c>
      <c r="C1005" t="s">
        <v>49</v>
      </c>
      <c r="D1005" t="s">
        <v>50</v>
      </c>
      <c r="E1005" t="s">
        <v>96</v>
      </c>
      <c r="F1005" t="s">
        <v>97</v>
      </c>
      <c r="G1005" t="s">
        <v>51</v>
      </c>
      <c r="H1005" t="s">
        <v>21</v>
      </c>
      <c r="I1005" t="s">
        <v>116</v>
      </c>
      <c r="J1005">
        <v>2</v>
      </c>
      <c r="K1005">
        <v>1400</v>
      </c>
      <c r="L1005">
        <v>0</v>
      </c>
      <c r="M1005">
        <v>2800</v>
      </c>
      <c r="N1005">
        <v>1800</v>
      </c>
      <c r="O1005">
        <v>1000</v>
      </c>
    </row>
    <row r="1006" spans="1:15" x14ac:dyDescent="0.25">
      <c r="A1006" t="s">
        <v>1947</v>
      </c>
      <c r="B1006" s="2">
        <v>46662</v>
      </c>
      <c r="C1006" t="s">
        <v>1948</v>
      </c>
      <c r="D1006" t="s">
        <v>1949</v>
      </c>
      <c r="E1006" t="s">
        <v>26</v>
      </c>
      <c r="F1006" t="s">
        <v>34</v>
      </c>
      <c r="G1006" t="s">
        <v>28</v>
      </c>
      <c r="H1006" t="s">
        <v>29</v>
      </c>
      <c r="I1006" t="s">
        <v>47</v>
      </c>
      <c r="J1006">
        <v>5</v>
      </c>
      <c r="K1006">
        <v>6800</v>
      </c>
      <c r="L1006">
        <v>0.15</v>
      </c>
      <c r="M1006">
        <v>28900</v>
      </c>
      <c r="N1006">
        <v>23500</v>
      </c>
      <c r="O1006">
        <v>5400</v>
      </c>
    </row>
    <row r="1007" spans="1:15" x14ac:dyDescent="0.25">
      <c r="A1007" t="s">
        <v>1950</v>
      </c>
      <c r="B1007" s="2">
        <v>46663</v>
      </c>
      <c r="C1007" t="s">
        <v>688</v>
      </c>
      <c r="D1007" t="s">
        <v>689</v>
      </c>
      <c r="E1007" t="s">
        <v>26</v>
      </c>
      <c r="F1007" t="s">
        <v>128</v>
      </c>
      <c r="G1007" t="s">
        <v>51</v>
      </c>
      <c r="H1007" t="s">
        <v>21</v>
      </c>
      <c r="I1007" t="s">
        <v>80</v>
      </c>
      <c r="J1007">
        <v>3</v>
      </c>
      <c r="K1007">
        <v>850</v>
      </c>
      <c r="L1007">
        <v>0.15</v>
      </c>
      <c r="M1007">
        <v>2167.5</v>
      </c>
      <c r="N1007">
        <v>1680</v>
      </c>
      <c r="O1007">
        <v>487.5</v>
      </c>
    </row>
    <row r="1008" spans="1:15" x14ac:dyDescent="0.25">
      <c r="A1008" t="s">
        <v>1951</v>
      </c>
      <c r="B1008" s="2">
        <v>46664</v>
      </c>
      <c r="C1008" t="s">
        <v>519</v>
      </c>
      <c r="D1008" t="s">
        <v>520</v>
      </c>
      <c r="E1008" t="s">
        <v>39</v>
      </c>
      <c r="F1008" t="s">
        <v>71</v>
      </c>
      <c r="G1008" t="s">
        <v>51</v>
      </c>
      <c r="H1008" t="s">
        <v>89</v>
      </c>
      <c r="I1008" t="s">
        <v>90</v>
      </c>
      <c r="J1008">
        <v>1</v>
      </c>
      <c r="K1008">
        <v>10500</v>
      </c>
      <c r="L1008">
        <v>0.2</v>
      </c>
      <c r="M1008">
        <v>8400</v>
      </c>
      <c r="N1008">
        <v>7600</v>
      </c>
      <c r="O1008">
        <v>800</v>
      </c>
    </row>
    <row r="1009" spans="1:15" x14ac:dyDescent="0.25">
      <c r="A1009" t="s">
        <v>1952</v>
      </c>
      <c r="B1009" s="2">
        <v>46665</v>
      </c>
      <c r="C1009" t="s">
        <v>1127</v>
      </c>
      <c r="D1009" t="s">
        <v>1128</v>
      </c>
      <c r="E1009" t="s">
        <v>96</v>
      </c>
      <c r="F1009" t="s">
        <v>200</v>
      </c>
      <c r="G1009" t="s">
        <v>20</v>
      </c>
      <c r="H1009" t="s">
        <v>41</v>
      </c>
      <c r="I1009" t="s">
        <v>42</v>
      </c>
      <c r="J1009">
        <v>3</v>
      </c>
      <c r="K1009">
        <v>520</v>
      </c>
      <c r="L1009">
        <v>0</v>
      </c>
      <c r="M1009">
        <v>1560</v>
      </c>
      <c r="N1009">
        <v>990</v>
      </c>
      <c r="O1009">
        <v>570</v>
      </c>
    </row>
    <row r="1010" spans="1:15" x14ac:dyDescent="0.25">
      <c r="A1010" t="s">
        <v>1953</v>
      </c>
      <c r="B1010" s="2">
        <v>46666</v>
      </c>
      <c r="C1010" t="s">
        <v>1246</v>
      </c>
      <c r="D1010" t="s">
        <v>1247</v>
      </c>
      <c r="E1010" t="s">
        <v>96</v>
      </c>
      <c r="F1010" t="s">
        <v>196</v>
      </c>
      <c r="G1010" t="s">
        <v>57</v>
      </c>
      <c r="H1010" t="s">
        <v>104</v>
      </c>
      <c r="I1010" t="s">
        <v>105</v>
      </c>
      <c r="J1010">
        <v>1</v>
      </c>
      <c r="K1010">
        <v>7500</v>
      </c>
      <c r="L1010">
        <v>0.1</v>
      </c>
      <c r="M1010">
        <v>6750</v>
      </c>
      <c r="N1010">
        <v>5200</v>
      </c>
      <c r="O1010">
        <v>1550</v>
      </c>
    </row>
    <row r="1011" spans="1:15" x14ac:dyDescent="0.25">
      <c r="A1011" t="s">
        <v>1954</v>
      </c>
      <c r="B1011" s="2">
        <v>46667</v>
      </c>
      <c r="C1011" t="s">
        <v>1915</v>
      </c>
      <c r="D1011" t="s">
        <v>1916</v>
      </c>
      <c r="E1011" t="s">
        <v>39</v>
      </c>
      <c r="F1011" t="s">
        <v>76</v>
      </c>
      <c r="G1011" t="s">
        <v>51</v>
      </c>
      <c r="H1011" t="s">
        <v>21</v>
      </c>
      <c r="I1011" t="s">
        <v>116</v>
      </c>
      <c r="J1011">
        <v>3</v>
      </c>
      <c r="K1011">
        <v>1400</v>
      </c>
      <c r="L1011">
        <v>0.05</v>
      </c>
      <c r="M1011">
        <v>3990</v>
      </c>
      <c r="N1011">
        <v>2700</v>
      </c>
      <c r="O1011">
        <v>1290</v>
      </c>
    </row>
    <row r="1012" spans="1:15" x14ac:dyDescent="0.25">
      <c r="A1012" t="s">
        <v>1955</v>
      </c>
      <c r="B1012" s="2">
        <v>46668</v>
      </c>
      <c r="C1012" t="s">
        <v>700</v>
      </c>
      <c r="D1012" t="s">
        <v>701</v>
      </c>
      <c r="E1012" t="s">
        <v>96</v>
      </c>
      <c r="F1012" t="s">
        <v>97</v>
      </c>
      <c r="G1012" t="s">
        <v>51</v>
      </c>
      <c r="H1012" t="s">
        <v>21</v>
      </c>
      <c r="I1012" t="s">
        <v>72</v>
      </c>
      <c r="J1012">
        <v>4</v>
      </c>
      <c r="K1012">
        <v>1800</v>
      </c>
      <c r="L1012">
        <v>0.05</v>
      </c>
      <c r="M1012">
        <v>6840</v>
      </c>
      <c r="N1012">
        <v>4400</v>
      </c>
      <c r="O1012">
        <v>2440</v>
      </c>
    </row>
    <row r="1013" spans="1:15" x14ac:dyDescent="0.25">
      <c r="A1013" t="s">
        <v>1956</v>
      </c>
      <c r="B1013" s="2">
        <v>46669</v>
      </c>
      <c r="C1013" t="s">
        <v>527</v>
      </c>
      <c r="D1013" t="s">
        <v>528</v>
      </c>
      <c r="E1013" t="s">
        <v>39</v>
      </c>
      <c r="F1013" t="s">
        <v>71</v>
      </c>
      <c r="G1013" t="s">
        <v>20</v>
      </c>
      <c r="H1013" t="s">
        <v>84</v>
      </c>
      <c r="I1013" t="s">
        <v>210</v>
      </c>
      <c r="J1013">
        <v>1</v>
      </c>
      <c r="K1013">
        <v>300</v>
      </c>
      <c r="L1013">
        <v>0.1</v>
      </c>
      <c r="M1013">
        <v>270</v>
      </c>
      <c r="N1013">
        <v>170</v>
      </c>
      <c r="O1013">
        <v>100</v>
      </c>
    </row>
    <row r="1014" spans="1:15" x14ac:dyDescent="0.25">
      <c r="A1014" t="s">
        <v>1957</v>
      </c>
      <c r="B1014" s="2">
        <v>46670</v>
      </c>
      <c r="C1014" t="s">
        <v>1049</v>
      </c>
      <c r="D1014" t="s">
        <v>1050</v>
      </c>
      <c r="E1014" t="s">
        <v>96</v>
      </c>
      <c r="F1014" t="s">
        <v>200</v>
      </c>
      <c r="G1014" t="s">
        <v>20</v>
      </c>
      <c r="H1014" t="s">
        <v>21</v>
      </c>
      <c r="I1014" t="s">
        <v>22</v>
      </c>
      <c r="J1014">
        <v>5</v>
      </c>
      <c r="K1014">
        <v>650</v>
      </c>
      <c r="L1014">
        <v>0.15</v>
      </c>
      <c r="M1014">
        <v>2762.5</v>
      </c>
      <c r="N1014">
        <v>1950</v>
      </c>
      <c r="O1014">
        <v>812.5</v>
      </c>
    </row>
    <row r="1015" spans="1:15" x14ac:dyDescent="0.25">
      <c r="A1015" t="s">
        <v>1958</v>
      </c>
      <c r="B1015" s="2">
        <v>46671</v>
      </c>
      <c r="C1015" t="s">
        <v>146</v>
      </c>
      <c r="D1015" t="s">
        <v>147</v>
      </c>
      <c r="E1015" t="s">
        <v>96</v>
      </c>
      <c r="F1015" t="s">
        <v>120</v>
      </c>
      <c r="G1015" t="s">
        <v>57</v>
      </c>
      <c r="H1015" t="s">
        <v>58</v>
      </c>
      <c r="I1015" t="s">
        <v>59</v>
      </c>
      <c r="J1015">
        <v>2</v>
      </c>
      <c r="K1015">
        <v>5600</v>
      </c>
      <c r="L1015">
        <v>0.05</v>
      </c>
      <c r="M1015">
        <v>10640</v>
      </c>
      <c r="N1015">
        <v>7800</v>
      </c>
      <c r="O1015">
        <v>2840</v>
      </c>
    </row>
    <row r="1016" spans="1:15" x14ac:dyDescent="0.25">
      <c r="A1016" t="s">
        <v>1959</v>
      </c>
      <c r="B1016" s="2">
        <v>46672</v>
      </c>
      <c r="C1016" t="s">
        <v>831</v>
      </c>
      <c r="D1016" t="s">
        <v>832</v>
      </c>
      <c r="E1016" t="s">
        <v>96</v>
      </c>
      <c r="F1016" t="s">
        <v>97</v>
      </c>
      <c r="G1016" t="s">
        <v>51</v>
      </c>
      <c r="H1016" t="s">
        <v>52</v>
      </c>
      <c r="I1016" t="s">
        <v>208</v>
      </c>
      <c r="J1016">
        <v>1</v>
      </c>
      <c r="K1016">
        <v>2800</v>
      </c>
      <c r="L1016">
        <v>0.05</v>
      </c>
      <c r="M1016">
        <v>2660</v>
      </c>
      <c r="N1016">
        <v>1800</v>
      </c>
      <c r="O1016">
        <v>860</v>
      </c>
    </row>
    <row r="1017" spans="1:15" x14ac:dyDescent="0.25">
      <c r="A1017" t="s">
        <v>1960</v>
      </c>
      <c r="B1017" s="2">
        <v>46673</v>
      </c>
      <c r="C1017" t="s">
        <v>399</v>
      </c>
      <c r="D1017" t="s">
        <v>400</v>
      </c>
      <c r="E1017" t="s">
        <v>96</v>
      </c>
      <c r="F1017" t="s">
        <v>120</v>
      </c>
      <c r="G1017" t="s">
        <v>57</v>
      </c>
      <c r="H1017" t="s">
        <v>104</v>
      </c>
      <c r="I1017" t="s">
        <v>105</v>
      </c>
      <c r="J1017">
        <v>4</v>
      </c>
      <c r="K1017">
        <v>7500</v>
      </c>
      <c r="L1017">
        <v>0.15</v>
      </c>
      <c r="M1017">
        <v>25500</v>
      </c>
      <c r="N1017">
        <v>20800</v>
      </c>
      <c r="O1017">
        <v>4700</v>
      </c>
    </row>
    <row r="1018" spans="1:15" x14ac:dyDescent="0.25">
      <c r="A1018" t="s">
        <v>1961</v>
      </c>
      <c r="B1018" s="2">
        <v>46674</v>
      </c>
      <c r="C1018" t="s">
        <v>724</v>
      </c>
      <c r="D1018" t="s">
        <v>725</v>
      </c>
      <c r="E1018" t="s">
        <v>18</v>
      </c>
      <c r="F1018" t="s">
        <v>19</v>
      </c>
      <c r="G1018" t="s">
        <v>51</v>
      </c>
      <c r="H1018" t="s">
        <v>52</v>
      </c>
      <c r="I1018" t="s">
        <v>208</v>
      </c>
      <c r="J1018">
        <v>4</v>
      </c>
      <c r="K1018">
        <v>2800</v>
      </c>
      <c r="L1018">
        <v>0.05</v>
      </c>
      <c r="M1018">
        <v>10640</v>
      </c>
      <c r="N1018">
        <v>7200</v>
      </c>
      <c r="O1018">
        <v>3440</v>
      </c>
    </row>
    <row r="1019" spans="1:15" x14ac:dyDescent="0.25">
      <c r="A1019" t="s">
        <v>1962</v>
      </c>
      <c r="B1019" s="2">
        <v>46675</v>
      </c>
      <c r="C1019" t="s">
        <v>766</v>
      </c>
      <c r="D1019" t="s">
        <v>767</v>
      </c>
      <c r="E1019" t="s">
        <v>26</v>
      </c>
      <c r="F1019" t="s">
        <v>204</v>
      </c>
      <c r="G1019" t="s">
        <v>20</v>
      </c>
      <c r="H1019" t="s">
        <v>84</v>
      </c>
      <c r="I1019" t="s">
        <v>169</v>
      </c>
      <c r="J1019">
        <v>4</v>
      </c>
      <c r="K1019">
        <v>450</v>
      </c>
      <c r="L1019">
        <v>0.05</v>
      </c>
      <c r="M1019">
        <v>1710</v>
      </c>
      <c r="N1019">
        <v>1040</v>
      </c>
      <c r="O1019">
        <v>670</v>
      </c>
    </row>
    <row r="1020" spans="1:15" x14ac:dyDescent="0.25">
      <c r="A1020" t="s">
        <v>1963</v>
      </c>
      <c r="B1020" s="2">
        <v>46676</v>
      </c>
      <c r="C1020" t="s">
        <v>1964</v>
      </c>
      <c r="D1020" t="s">
        <v>1965</v>
      </c>
      <c r="E1020" t="s">
        <v>18</v>
      </c>
      <c r="F1020" t="s">
        <v>19</v>
      </c>
      <c r="G1020" t="s">
        <v>20</v>
      </c>
      <c r="H1020" t="s">
        <v>84</v>
      </c>
      <c r="I1020" t="s">
        <v>210</v>
      </c>
      <c r="J1020">
        <v>2</v>
      </c>
      <c r="K1020">
        <v>300</v>
      </c>
      <c r="L1020">
        <v>0.15</v>
      </c>
      <c r="M1020">
        <v>510</v>
      </c>
      <c r="N1020">
        <v>340</v>
      </c>
      <c r="O1020">
        <v>170</v>
      </c>
    </row>
    <row r="1021" spans="1:15" x14ac:dyDescent="0.25">
      <c r="A1021" t="s">
        <v>1966</v>
      </c>
      <c r="B1021" s="2">
        <v>46677</v>
      </c>
      <c r="C1021" t="s">
        <v>721</v>
      </c>
      <c r="D1021" t="s">
        <v>722</v>
      </c>
      <c r="E1021" t="s">
        <v>26</v>
      </c>
      <c r="F1021" t="s">
        <v>204</v>
      </c>
      <c r="G1021" t="s">
        <v>51</v>
      </c>
      <c r="H1021" t="s">
        <v>21</v>
      </c>
      <c r="I1021" t="s">
        <v>72</v>
      </c>
      <c r="J1021">
        <v>1</v>
      </c>
      <c r="K1021">
        <v>1800</v>
      </c>
      <c r="L1021">
        <v>0.05</v>
      </c>
      <c r="M1021">
        <v>1710</v>
      </c>
      <c r="N1021">
        <v>1100</v>
      </c>
      <c r="O1021">
        <v>610</v>
      </c>
    </row>
    <row r="1022" spans="1:15" x14ac:dyDescent="0.25">
      <c r="A1022" t="s">
        <v>1967</v>
      </c>
      <c r="B1022" s="2">
        <v>46678</v>
      </c>
      <c r="C1022" t="s">
        <v>343</v>
      </c>
      <c r="D1022" t="s">
        <v>344</v>
      </c>
      <c r="E1022" t="s">
        <v>26</v>
      </c>
      <c r="F1022" t="s">
        <v>34</v>
      </c>
      <c r="G1022" t="s">
        <v>28</v>
      </c>
      <c r="H1022" t="s">
        <v>29</v>
      </c>
      <c r="I1022" t="s">
        <v>35</v>
      </c>
      <c r="J1022">
        <v>3</v>
      </c>
      <c r="K1022">
        <v>4200</v>
      </c>
      <c r="L1022">
        <v>0.05</v>
      </c>
      <c r="M1022">
        <v>11970</v>
      </c>
      <c r="N1022">
        <v>8700</v>
      </c>
      <c r="O1022">
        <v>3270</v>
      </c>
    </row>
    <row r="1023" spans="1:15" x14ac:dyDescent="0.25">
      <c r="A1023" t="s">
        <v>1968</v>
      </c>
      <c r="B1023" s="2">
        <v>46679</v>
      </c>
      <c r="C1023" t="s">
        <v>562</v>
      </c>
      <c r="D1023" t="s">
        <v>563</v>
      </c>
      <c r="E1023" t="s">
        <v>26</v>
      </c>
      <c r="F1023" t="s">
        <v>128</v>
      </c>
      <c r="G1023" t="s">
        <v>57</v>
      </c>
      <c r="H1023" t="s">
        <v>58</v>
      </c>
      <c r="I1023" t="s">
        <v>59</v>
      </c>
      <c r="J1023">
        <v>1</v>
      </c>
      <c r="K1023">
        <v>5600</v>
      </c>
      <c r="L1023">
        <v>0.1</v>
      </c>
      <c r="M1023">
        <v>5040</v>
      </c>
      <c r="N1023">
        <v>3900</v>
      </c>
      <c r="O1023">
        <v>1140</v>
      </c>
    </row>
    <row r="1024" spans="1:15" x14ac:dyDescent="0.25">
      <c r="A1024" t="s">
        <v>1969</v>
      </c>
      <c r="B1024" s="2">
        <v>46680</v>
      </c>
      <c r="C1024" t="s">
        <v>813</v>
      </c>
      <c r="D1024" t="s">
        <v>814</v>
      </c>
      <c r="E1024" t="s">
        <v>26</v>
      </c>
      <c r="F1024" t="s">
        <v>34</v>
      </c>
      <c r="G1024" t="s">
        <v>51</v>
      </c>
      <c r="H1024" t="s">
        <v>52</v>
      </c>
      <c r="I1024" t="s">
        <v>53</v>
      </c>
      <c r="J1024">
        <v>3</v>
      </c>
      <c r="K1024">
        <v>2200</v>
      </c>
      <c r="L1024">
        <v>0.1</v>
      </c>
      <c r="M1024">
        <v>5940</v>
      </c>
      <c r="N1024">
        <v>4350</v>
      </c>
      <c r="O1024">
        <v>1590</v>
      </c>
    </row>
    <row r="1025" spans="1:15" x14ac:dyDescent="0.25">
      <c r="A1025" t="s">
        <v>1970</v>
      </c>
      <c r="B1025" s="2">
        <v>46681</v>
      </c>
      <c r="C1025" t="s">
        <v>817</v>
      </c>
      <c r="D1025" t="s">
        <v>818</v>
      </c>
      <c r="E1025" t="s">
        <v>96</v>
      </c>
      <c r="F1025" t="s">
        <v>196</v>
      </c>
      <c r="G1025" t="s">
        <v>28</v>
      </c>
      <c r="H1025" t="s">
        <v>29</v>
      </c>
      <c r="I1025" t="s">
        <v>35</v>
      </c>
      <c r="J1025">
        <v>5</v>
      </c>
      <c r="K1025">
        <v>4200</v>
      </c>
      <c r="L1025">
        <v>0.1</v>
      </c>
      <c r="M1025">
        <v>18900</v>
      </c>
      <c r="N1025">
        <v>14500</v>
      </c>
      <c r="O1025">
        <v>4400</v>
      </c>
    </row>
    <row r="1026" spans="1:15" x14ac:dyDescent="0.25">
      <c r="A1026" t="s">
        <v>1971</v>
      </c>
      <c r="B1026" s="2">
        <v>46682</v>
      </c>
      <c r="C1026" t="s">
        <v>1124</v>
      </c>
      <c r="D1026" t="s">
        <v>1125</v>
      </c>
      <c r="E1026" t="s">
        <v>26</v>
      </c>
      <c r="F1026" t="s">
        <v>46</v>
      </c>
      <c r="G1026" t="s">
        <v>57</v>
      </c>
      <c r="H1026" t="s">
        <v>188</v>
      </c>
      <c r="I1026" t="s">
        <v>189</v>
      </c>
      <c r="J1026">
        <v>5</v>
      </c>
      <c r="K1026">
        <v>6200</v>
      </c>
      <c r="L1026">
        <v>0.1</v>
      </c>
      <c r="M1026">
        <v>27900</v>
      </c>
      <c r="N1026">
        <v>21500</v>
      </c>
      <c r="O1026">
        <v>6400</v>
      </c>
    </row>
    <row r="1027" spans="1:15" x14ac:dyDescent="0.25">
      <c r="A1027" t="s">
        <v>1972</v>
      </c>
      <c r="B1027" s="2">
        <v>46683</v>
      </c>
      <c r="C1027" t="s">
        <v>934</v>
      </c>
      <c r="D1027" t="s">
        <v>935</v>
      </c>
      <c r="E1027" t="s">
        <v>18</v>
      </c>
      <c r="F1027" t="s">
        <v>94</v>
      </c>
      <c r="G1027" t="s">
        <v>51</v>
      </c>
      <c r="H1027" t="s">
        <v>21</v>
      </c>
      <c r="I1027" t="s">
        <v>116</v>
      </c>
      <c r="J1027">
        <v>3</v>
      </c>
      <c r="K1027">
        <v>1400</v>
      </c>
      <c r="L1027">
        <v>0.25</v>
      </c>
      <c r="M1027">
        <v>3150</v>
      </c>
      <c r="N1027">
        <v>2700</v>
      </c>
      <c r="O1027">
        <v>450</v>
      </c>
    </row>
    <row r="1028" spans="1:15" x14ac:dyDescent="0.25">
      <c r="A1028" t="s">
        <v>1973</v>
      </c>
      <c r="B1028" s="2">
        <v>46684</v>
      </c>
      <c r="C1028" t="s">
        <v>1731</v>
      </c>
      <c r="D1028" t="s">
        <v>1732</v>
      </c>
      <c r="E1028" t="s">
        <v>39</v>
      </c>
      <c r="F1028" t="s">
        <v>40</v>
      </c>
      <c r="G1028" t="s">
        <v>28</v>
      </c>
      <c r="H1028" t="s">
        <v>63</v>
      </c>
      <c r="I1028" t="s">
        <v>64</v>
      </c>
      <c r="J1028">
        <v>4</v>
      </c>
      <c r="K1028">
        <v>2400</v>
      </c>
      <c r="L1028">
        <v>0.1</v>
      </c>
      <c r="M1028">
        <v>8640</v>
      </c>
      <c r="N1028">
        <v>6600</v>
      </c>
      <c r="O1028">
        <v>2040</v>
      </c>
    </row>
    <row r="1029" spans="1:15" x14ac:dyDescent="0.25">
      <c r="A1029" t="s">
        <v>1974</v>
      </c>
      <c r="B1029" s="2">
        <v>46685</v>
      </c>
      <c r="C1029" t="s">
        <v>1567</v>
      </c>
      <c r="D1029" t="s">
        <v>1568</v>
      </c>
      <c r="E1029" t="s">
        <v>96</v>
      </c>
      <c r="F1029" t="s">
        <v>120</v>
      </c>
      <c r="G1029" t="s">
        <v>51</v>
      </c>
      <c r="H1029" t="s">
        <v>21</v>
      </c>
      <c r="I1029" t="s">
        <v>116</v>
      </c>
      <c r="J1029">
        <v>5</v>
      </c>
      <c r="K1029">
        <v>1400</v>
      </c>
      <c r="L1029">
        <v>0.15</v>
      </c>
      <c r="M1029">
        <v>5950</v>
      </c>
      <c r="N1029">
        <v>4500</v>
      </c>
      <c r="O1029">
        <v>1450</v>
      </c>
    </row>
    <row r="1030" spans="1:15" x14ac:dyDescent="0.25">
      <c r="A1030" t="s">
        <v>1975</v>
      </c>
      <c r="B1030" s="2">
        <v>46686</v>
      </c>
      <c r="C1030" t="s">
        <v>1657</v>
      </c>
      <c r="D1030" t="s">
        <v>1658</v>
      </c>
      <c r="E1030" t="s">
        <v>96</v>
      </c>
      <c r="F1030" t="s">
        <v>200</v>
      </c>
      <c r="G1030" t="s">
        <v>28</v>
      </c>
      <c r="H1030" t="s">
        <v>63</v>
      </c>
      <c r="I1030" t="s">
        <v>64</v>
      </c>
      <c r="J1030">
        <v>4</v>
      </c>
      <c r="K1030">
        <v>2400</v>
      </c>
      <c r="L1030">
        <v>0.05</v>
      </c>
      <c r="M1030">
        <v>9120</v>
      </c>
      <c r="N1030">
        <v>6600</v>
      </c>
      <c r="O1030">
        <v>2520</v>
      </c>
    </row>
    <row r="1031" spans="1:15" x14ac:dyDescent="0.25">
      <c r="A1031" t="s">
        <v>1976</v>
      </c>
      <c r="B1031" s="2">
        <v>46687</v>
      </c>
      <c r="C1031" t="s">
        <v>447</v>
      </c>
      <c r="D1031" t="s">
        <v>448</v>
      </c>
      <c r="E1031" t="s">
        <v>26</v>
      </c>
      <c r="F1031" t="s">
        <v>128</v>
      </c>
      <c r="G1031" t="s">
        <v>57</v>
      </c>
      <c r="H1031" t="s">
        <v>58</v>
      </c>
      <c r="I1031" t="s">
        <v>129</v>
      </c>
      <c r="J1031">
        <v>1</v>
      </c>
      <c r="K1031">
        <v>4800</v>
      </c>
      <c r="L1031">
        <v>0.15</v>
      </c>
      <c r="M1031">
        <v>4080</v>
      </c>
      <c r="N1031">
        <v>3300</v>
      </c>
      <c r="O1031">
        <v>780</v>
      </c>
    </row>
    <row r="1032" spans="1:15" x14ac:dyDescent="0.25">
      <c r="A1032" t="s">
        <v>1977</v>
      </c>
      <c r="B1032" s="2">
        <v>46688</v>
      </c>
      <c r="C1032" t="s">
        <v>957</v>
      </c>
      <c r="D1032" t="s">
        <v>958</v>
      </c>
      <c r="E1032" t="s">
        <v>96</v>
      </c>
      <c r="F1032" t="s">
        <v>120</v>
      </c>
      <c r="G1032" t="s">
        <v>20</v>
      </c>
      <c r="H1032" t="s">
        <v>21</v>
      </c>
      <c r="I1032" t="s">
        <v>22</v>
      </c>
      <c r="J1032">
        <v>5</v>
      </c>
      <c r="K1032">
        <v>650</v>
      </c>
      <c r="L1032">
        <v>0</v>
      </c>
      <c r="M1032">
        <v>3250</v>
      </c>
      <c r="N1032">
        <v>1950</v>
      </c>
      <c r="O1032">
        <v>1300</v>
      </c>
    </row>
    <row r="1033" spans="1:15" x14ac:dyDescent="0.25">
      <c r="A1033" t="s">
        <v>1978</v>
      </c>
      <c r="B1033" s="2">
        <v>46689</v>
      </c>
      <c r="C1033" t="s">
        <v>834</v>
      </c>
      <c r="D1033" t="s">
        <v>835</v>
      </c>
      <c r="E1033" t="s">
        <v>26</v>
      </c>
      <c r="F1033" t="s">
        <v>128</v>
      </c>
      <c r="G1033" t="s">
        <v>57</v>
      </c>
      <c r="H1033" t="s">
        <v>104</v>
      </c>
      <c r="I1033" t="s">
        <v>105</v>
      </c>
      <c r="J1033">
        <v>3</v>
      </c>
      <c r="K1033">
        <v>7500</v>
      </c>
      <c r="L1033">
        <v>0.1</v>
      </c>
      <c r="M1033">
        <v>20250</v>
      </c>
      <c r="N1033">
        <v>15600</v>
      </c>
      <c r="O1033">
        <v>4650</v>
      </c>
    </row>
    <row r="1034" spans="1:15" x14ac:dyDescent="0.25">
      <c r="A1034" t="s">
        <v>1979</v>
      </c>
      <c r="B1034" s="2">
        <v>46690</v>
      </c>
      <c r="C1034" t="s">
        <v>122</v>
      </c>
      <c r="D1034" t="s">
        <v>123</v>
      </c>
      <c r="E1034" t="s">
        <v>96</v>
      </c>
      <c r="F1034" t="s">
        <v>120</v>
      </c>
      <c r="G1034" t="s">
        <v>51</v>
      </c>
      <c r="H1034" t="s">
        <v>21</v>
      </c>
      <c r="I1034" t="s">
        <v>80</v>
      </c>
      <c r="J1034">
        <v>2</v>
      </c>
      <c r="K1034">
        <v>850</v>
      </c>
      <c r="L1034">
        <v>0</v>
      </c>
      <c r="M1034">
        <v>1700</v>
      </c>
      <c r="N1034">
        <v>1120</v>
      </c>
      <c r="O1034">
        <v>580</v>
      </c>
    </row>
    <row r="1035" spans="1:15" x14ac:dyDescent="0.25">
      <c r="A1035" t="s">
        <v>1980</v>
      </c>
      <c r="B1035" s="2">
        <v>46691</v>
      </c>
      <c r="C1035" t="s">
        <v>1040</v>
      </c>
      <c r="D1035" t="s">
        <v>1041</v>
      </c>
      <c r="E1035" t="s">
        <v>26</v>
      </c>
      <c r="F1035" t="s">
        <v>27</v>
      </c>
      <c r="G1035" t="s">
        <v>51</v>
      </c>
      <c r="H1035" t="s">
        <v>52</v>
      </c>
      <c r="I1035" t="s">
        <v>53</v>
      </c>
      <c r="J1035">
        <v>5</v>
      </c>
      <c r="K1035">
        <v>2200</v>
      </c>
      <c r="L1035">
        <v>0</v>
      </c>
      <c r="M1035">
        <v>11000</v>
      </c>
      <c r="N1035">
        <v>7250</v>
      </c>
      <c r="O1035">
        <v>3750</v>
      </c>
    </row>
    <row r="1036" spans="1:15" x14ac:dyDescent="0.25">
      <c r="A1036" t="s">
        <v>1981</v>
      </c>
      <c r="B1036" s="2">
        <v>46692</v>
      </c>
      <c r="C1036" t="s">
        <v>118</v>
      </c>
      <c r="D1036" t="s">
        <v>119</v>
      </c>
      <c r="E1036" t="s">
        <v>18</v>
      </c>
      <c r="F1036" t="s">
        <v>19</v>
      </c>
      <c r="G1036" t="s">
        <v>28</v>
      </c>
      <c r="H1036" t="s">
        <v>29</v>
      </c>
      <c r="I1036" t="s">
        <v>35</v>
      </c>
      <c r="J1036">
        <v>1</v>
      </c>
      <c r="K1036">
        <v>4200</v>
      </c>
      <c r="L1036">
        <v>0.15</v>
      </c>
      <c r="M1036">
        <v>3570</v>
      </c>
      <c r="N1036">
        <v>2900</v>
      </c>
      <c r="O1036">
        <v>670</v>
      </c>
    </row>
    <row r="1037" spans="1:15" x14ac:dyDescent="0.25">
      <c r="A1037" t="s">
        <v>1982</v>
      </c>
      <c r="B1037" s="2">
        <v>46693</v>
      </c>
      <c r="C1037" t="s">
        <v>118</v>
      </c>
      <c r="D1037" t="s">
        <v>119</v>
      </c>
      <c r="E1037" t="s">
        <v>96</v>
      </c>
      <c r="F1037" t="s">
        <v>196</v>
      </c>
      <c r="G1037" t="s">
        <v>51</v>
      </c>
      <c r="H1037" t="s">
        <v>21</v>
      </c>
      <c r="I1037" t="s">
        <v>116</v>
      </c>
      <c r="J1037">
        <v>3</v>
      </c>
      <c r="K1037">
        <v>1400</v>
      </c>
      <c r="L1037">
        <v>0.2</v>
      </c>
      <c r="M1037">
        <v>3360</v>
      </c>
      <c r="N1037">
        <v>2700</v>
      </c>
      <c r="O1037">
        <v>660</v>
      </c>
    </row>
    <row r="1038" spans="1:15" x14ac:dyDescent="0.25">
      <c r="A1038" t="s">
        <v>1983</v>
      </c>
      <c r="B1038" s="2">
        <v>46694</v>
      </c>
      <c r="C1038" t="s">
        <v>570</v>
      </c>
      <c r="D1038" t="s">
        <v>571</v>
      </c>
      <c r="E1038" t="s">
        <v>96</v>
      </c>
      <c r="F1038" t="s">
        <v>196</v>
      </c>
      <c r="G1038" t="s">
        <v>51</v>
      </c>
      <c r="H1038" t="s">
        <v>21</v>
      </c>
      <c r="I1038" t="s">
        <v>72</v>
      </c>
      <c r="J1038">
        <v>1</v>
      </c>
      <c r="K1038">
        <v>1800</v>
      </c>
      <c r="L1038">
        <v>0.2</v>
      </c>
      <c r="M1038">
        <v>1440</v>
      </c>
      <c r="N1038">
        <v>1100</v>
      </c>
      <c r="O1038">
        <v>340</v>
      </c>
    </row>
    <row r="1039" spans="1:15" x14ac:dyDescent="0.25">
      <c r="A1039" t="s">
        <v>1984</v>
      </c>
      <c r="B1039" s="2">
        <v>46695</v>
      </c>
      <c r="C1039" t="s">
        <v>212</v>
      </c>
      <c r="D1039" t="s">
        <v>213</v>
      </c>
      <c r="E1039" t="s">
        <v>96</v>
      </c>
      <c r="F1039" t="s">
        <v>97</v>
      </c>
      <c r="G1039" t="s">
        <v>28</v>
      </c>
      <c r="H1039" t="s">
        <v>29</v>
      </c>
      <c r="I1039" t="s">
        <v>30</v>
      </c>
      <c r="J1039">
        <v>1</v>
      </c>
      <c r="K1039">
        <v>1900</v>
      </c>
      <c r="L1039">
        <v>0.05</v>
      </c>
      <c r="M1039">
        <v>1805</v>
      </c>
      <c r="N1039">
        <v>1250</v>
      </c>
      <c r="O1039">
        <v>555</v>
      </c>
    </row>
    <row r="1040" spans="1:15" x14ac:dyDescent="0.25">
      <c r="A1040" t="s">
        <v>1985</v>
      </c>
      <c r="B1040" s="2">
        <v>46696</v>
      </c>
      <c r="C1040" t="s">
        <v>1742</v>
      </c>
      <c r="D1040" t="s">
        <v>1743</v>
      </c>
      <c r="E1040" t="s">
        <v>96</v>
      </c>
      <c r="F1040" t="s">
        <v>196</v>
      </c>
      <c r="G1040" t="s">
        <v>51</v>
      </c>
      <c r="H1040" t="s">
        <v>21</v>
      </c>
      <c r="I1040" t="s">
        <v>72</v>
      </c>
      <c r="J1040">
        <v>2</v>
      </c>
      <c r="K1040">
        <v>1800</v>
      </c>
      <c r="L1040">
        <v>0.15</v>
      </c>
      <c r="M1040">
        <v>3060</v>
      </c>
      <c r="N1040">
        <v>2200</v>
      </c>
      <c r="O1040">
        <v>860</v>
      </c>
    </row>
    <row r="1041" spans="1:15" x14ac:dyDescent="0.25">
      <c r="A1041" t="s">
        <v>1986</v>
      </c>
      <c r="B1041" s="2">
        <v>46697</v>
      </c>
      <c r="C1041" t="s">
        <v>507</v>
      </c>
      <c r="D1041" t="s">
        <v>508</v>
      </c>
      <c r="E1041" t="s">
        <v>26</v>
      </c>
      <c r="F1041" t="s">
        <v>27</v>
      </c>
      <c r="G1041" t="s">
        <v>20</v>
      </c>
      <c r="H1041" t="s">
        <v>84</v>
      </c>
      <c r="I1041" t="s">
        <v>210</v>
      </c>
      <c r="J1041">
        <v>5</v>
      </c>
      <c r="K1041">
        <v>300</v>
      </c>
      <c r="L1041">
        <v>0.2</v>
      </c>
      <c r="M1041">
        <v>1200</v>
      </c>
      <c r="N1041">
        <v>850</v>
      </c>
      <c r="O1041">
        <v>350</v>
      </c>
    </row>
    <row r="1042" spans="1:15" x14ac:dyDescent="0.25">
      <c r="A1042" t="s">
        <v>1987</v>
      </c>
      <c r="B1042" s="2">
        <v>46698</v>
      </c>
      <c r="C1042" t="s">
        <v>271</v>
      </c>
      <c r="D1042" t="s">
        <v>272</v>
      </c>
      <c r="E1042" t="s">
        <v>26</v>
      </c>
      <c r="F1042" t="s">
        <v>46</v>
      </c>
      <c r="G1042" t="s">
        <v>28</v>
      </c>
      <c r="H1042" t="s">
        <v>63</v>
      </c>
      <c r="I1042" t="s">
        <v>64</v>
      </c>
      <c r="J1042">
        <v>5</v>
      </c>
      <c r="K1042">
        <v>2400</v>
      </c>
      <c r="L1042">
        <v>0.15</v>
      </c>
      <c r="M1042">
        <v>10200</v>
      </c>
      <c r="N1042">
        <v>8250</v>
      </c>
      <c r="O1042">
        <v>1950</v>
      </c>
    </row>
    <row r="1043" spans="1:15" x14ac:dyDescent="0.25">
      <c r="A1043" t="s">
        <v>1988</v>
      </c>
      <c r="B1043" s="2">
        <v>46699</v>
      </c>
      <c r="C1043" t="s">
        <v>1207</v>
      </c>
      <c r="D1043" t="s">
        <v>1208</v>
      </c>
      <c r="E1043" t="s">
        <v>26</v>
      </c>
      <c r="F1043" t="s">
        <v>128</v>
      </c>
      <c r="G1043" t="s">
        <v>51</v>
      </c>
      <c r="H1043" t="s">
        <v>21</v>
      </c>
      <c r="I1043" t="s">
        <v>72</v>
      </c>
      <c r="J1043">
        <v>2</v>
      </c>
      <c r="K1043">
        <v>1800</v>
      </c>
      <c r="L1043">
        <v>0.05</v>
      </c>
      <c r="M1043">
        <v>3420</v>
      </c>
      <c r="N1043">
        <v>2200</v>
      </c>
      <c r="O1043">
        <v>1220</v>
      </c>
    </row>
    <row r="1044" spans="1:15" x14ac:dyDescent="0.25">
      <c r="A1044" t="s">
        <v>1989</v>
      </c>
      <c r="B1044" s="2">
        <v>46700</v>
      </c>
      <c r="C1044" t="s">
        <v>402</v>
      </c>
      <c r="D1044" t="s">
        <v>403</v>
      </c>
      <c r="E1044" t="s">
        <v>39</v>
      </c>
      <c r="F1044" t="s">
        <v>71</v>
      </c>
      <c r="G1044" t="s">
        <v>28</v>
      </c>
      <c r="H1044" t="s">
        <v>63</v>
      </c>
      <c r="I1044" t="s">
        <v>64</v>
      </c>
      <c r="J1044">
        <v>2</v>
      </c>
      <c r="K1044">
        <v>2400</v>
      </c>
      <c r="L1044">
        <v>0.1</v>
      </c>
      <c r="M1044">
        <v>4320</v>
      </c>
      <c r="N1044">
        <v>3300</v>
      </c>
      <c r="O1044">
        <v>1020</v>
      </c>
    </row>
    <row r="1045" spans="1:15" x14ac:dyDescent="0.25">
      <c r="A1045" t="s">
        <v>1990</v>
      </c>
      <c r="B1045" s="2">
        <v>46701</v>
      </c>
      <c r="C1045" t="s">
        <v>1964</v>
      </c>
      <c r="D1045" t="s">
        <v>1965</v>
      </c>
      <c r="E1045" t="s">
        <v>26</v>
      </c>
      <c r="F1045" t="s">
        <v>34</v>
      </c>
      <c r="G1045" t="s">
        <v>20</v>
      </c>
      <c r="H1045" t="s">
        <v>84</v>
      </c>
      <c r="I1045" t="s">
        <v>85</v>
      </c>
      <c r="J1045">
        <v>4</v>
      </c>
      <c r="K1045">
        <v>280</v>
      </c>
      <c r="L1045">
        <v>0</v>
      </c>
      <c r="M1045">
        <v>1120</v>
      </c>
      <c r="N1045">
        <v>640</v>
      </c>
      <c r="O1045">
        <v>480</v>
      </c>
    </row>
    <row r="1046" spans="1:15" x14ac:dyDescent="0.25">
      <c r="A1046" t="s">
        <v>1991</v>
      </c>
      <c r="B1046" s="2">
        <v>46702</v>
      </c>
      <c r="C1046" t="s">
        <v>113</v>
      </c>
      <c r="D1046" t="s">
        <v>114</v>
      </c>
      <c r="E1046" t="s">
        <v>96</v>
      </c>
      <c r="F1046" t="s">
        <v>97</v>
      </c>
      <c r="G1046" t="s">
        <v>51</v>
      </c>
      <c r="H1046" t="s">
        <v>89</v>
      </c>
      <c r="I1046" t="s">
        <v>90</v>
      </c>
      <c r="J1046">
        <v>1</v>
      </c>
      <c r="K1046">
        <v>10500</v>
      </c>
      <c r="L1046">
        <v>0.1</v>
      </c>
      <c r="M1046">
        <v>9450</v>
      </c>
      <c r="N1046">
        <v>7600</v>
      </c>
      <c r="O1046">
        <v>1850</v>
      </c>
    </row>
    <row r="1047" spans="1:15" x14ac:dyDescent="0.25">
      <c r="A1047" t="s">
        <v>1992</v>
      </c>
      <c r="B1047" s="2">
        <v>46703</v>
      </c>
      <c r="C1047" t="s">
        <v>1413</v>
      </c>
      <c r="D1047" t="s">
        <v>1414</v>
      </c>
      <c r="E1047" t="s">
        <v>26</v>
      </c>
      <c r="F1047" t="s">
        <v>204</v>
      </c>
      <c r="G1047" t="s">
        <v>51</v>
      </c>
      <c r="H1047" t="s">
        <v>89</v>
      </c>
      <c r="I1047" t="s">
        <v>90</v>
      </c>
      <c r="J1047">
        <v>1</v>
      </c>
      <c r="K1047">
        <v>10500</v>
      </c>
      <c r="L1047">
        <v>0</v>
      </c>
      <c r="M1047">
        <v>10500</v>
      </c>
      <c r="N1047">
        <v>7600</v>
      </c>
      <c r="O1047">
        <v>2900</v>
      </c>
    </row>
    <row r="1048" spans="1:15" x14ac:dyDescent="0.25">
      <c r="A1048" t="s">
        <v>1993</v>
      </c>
      <c r="B1048" s="2">
        <v>46704</v>
      </c>
      <c r="C1048" t="s">
        <v>1690</v>
      </c>
      <c r="D1048" t="s">
        <v>1691</v>
      </c>
      <c r="E1048" t="s">
        <v>39</v>
      </c>
      <c r="F1048" t="s">
        <v>40</v>
      </c>
      <c r="G1048" t="s">
        <v>51</v>
      </c>
      <c r="H1048" t="s">
        <v>52</v>
      </c>
      <c r="I1048" t="s">
        <v>53</v>
      </c>
      <c r="J1048">
        <v>4</v>
      </c>
      <c r="K1048">
        <v>2200</v>
      </c>
      <c r="L1048">
        <v>0</v>
      </c>
      <c r="M1048">
        <v>8800</v>
      </c>
      <c r="N1048">
        <v>5800</v>
      </c>
      <c r="O1048">
        <v>3000</v>
      </c>
    </row>
    <row r="1049" spans="1:15" x14ac:dyDescent="0.25">
      <c r="A1049" t="s">
        <v>1994</v>
      </c>
      <c r="B1049" s="2">
        <v>46705</v>
      </c>
      <c r="C1049" t="s">
        <v>860</v>
      </c>
      <c r="D1049" t="s">
        <v>861</v>
      </c>
      <c r="E1049" t="s">
        <v>39</v>
      </c>
      <c r="F1049" t="s">
        <v>124</v>
      </c>
      <c r="G1049" t="s">
        <v>20</v>
      </c>
      <c r="H1049" t="s">
        <v>84</v>
      </c>
      <c r="I1049" t="s">
        <v>210</v>
      </c>
      <c r="J1049">
        <v>4</v>
      </c>
      <c r="K1049">
        <v>300</v>
      </c>
      <c r="L1049">
        <v>0.1</v>
      </c>
      <c r="M1049">
        <v>1080</v>
      </c>
      <c r="N1049">
        <v>680</v>
      </c>
      <c r="O1049">
        <v>400</v>
      </c>
    </row>
    <row r="1050" spans="1:15" x14ac:dyDescent="0.25">
      <c r="A1050" t="s">
        <v>1995</v>
      </c>
      <c r="B1050" s="2">
        <v>46706</v>
      </c>
      <c r="C1050" t="s">
        <v>1612</v>
      </c>
      <c r="D1050" t="s">
        <v>1613</v>
      </c>
      <c r="E1050" t="s">
        <v>96</v>
      </c>
      <c r="F1050" t="s">
        <v>200</v>
      </c>
      <c r="G1050" t="s">
        <v>57</v>
      </c>
      <c r="H1050" t="s">
        <v>58</v>
      </c>
      <c r="I1050" t="s">
        <v>129</v>
      </c>
      <c r="J1050">
        <v>1</v>
      </c>
      <c r="K1050">
        <v>4800</v>
      </c>
      <c r="L1050">
        <v>0.15</v>
      </c>
      <c r="M1050">
        <v>4080</v>
      </c>
      <c r="N1050">
        <v>3300</v>
      </c>
      <c r="O1050">
        <v>780</v>
      </c>
    </row>
    <row r="1051" spans="1:15" x14ac:dyDescent="0.25">
      <c r="A1051" t="s">
        <v>1996</v>
      </c>
      <c r="B1051" s="2">
        <v>46707</v>
      </c>
      <c r="C1051" t="s">
        <v>1997</v>
      </c>
      <c r="D1051" t="s">
        <v>1998</v>
      </c>
      <c r="E1051" t="s">
        <v>26</v>
      </c>
      <c r="F1051" t="s">
        <v>128</v>
      </c>
      <c r="G1051" t="s">
        <v>57</v>
      </c>
      <c r="H1051" t="s">
        <v>58</v>
      </c>
      <c r="I1051" t="s">
        <v>129</v>
      </c>
      <c r="J1051">
        <v>4</v>
      </c>
      <c r="K1051">
        <v>4800</v>
      </c>
      <c r="L1051">
        <v>0.1</v>
      </c>
      <c r="M1051">
        <v>17280</v>
      </c>
      <c r="N1051">
        <v>13200</v>
      </c>
      <c r="O1051">
        <v>4080</v>
      </c>
    </row>
    <row r="1052" spans="1:15" x14ac:dyDescent="0.25">
      <c r="A1052" t="s">
        <v>1999</v>
      </c>
      <c r="B1052" s="2">
        <v>46708</v>
      </c>
      <c r="C1052" t="s">
        <v>772</v>
      </c>
      <c r="D1052" t="s">
        <v>773</v>
      </c>
      <c r="E1052" t="s">
        <v>96</v>
      </c>
      <c r="F1052" t="s">
        <v>196</v>
      </c>
      <c r="G1052" t="s">
        <v>57</v>
      </c>
      <c r="H1052" t="s">
        <v>58</v>
      </c>
      <c r="I1052" t="s">
        <v>59</v>
      </c>
      <c r="J1052">
        <v>4</v>
      </c>
      <c r="K1052">
        <v>5600</v>
      </c>
      <c r="L1052">
        <v>0</v>
      </c>
      <c r="M1052">
        <v>22400</v>
      </c>
      <c r="N1052">
        <v>15600</v>
      </c>
      <c r="O1052">
        <v>6800</v>
      </c>
    </row>
    <row r="1053" spans="1:15" x14ac:dyDescent="0.25">
      <c r="A1053" t="s">
        <v>2000</v>
      </c>
      <c r="B1053" s="2">
        <v>46709</v>
      </c>
      <c r="C1053" t="s">
        <v>363</v>
      </c>
      <c r="D1053" t="s">
        <v>364</v>
      </c>
      <c r="E1053" t="s">
        <v>96</v>
      </c>
      <c r="F1053" t="s">
        <v>196</v>
      </c>
      <c r="G1053" t="s">
        <v>28</v>
      </c>
      <c r="H1053" t="s">
        <v>29</v>
      </c>
      <c r="I1053" t="s">
        <v>35</v>
      </c>
      <c r="J1053">
        <v>1</v>
      </c>
      <c r="K1053">
        <v>4200</v>
      </c>
      <c r="L1053">
        <v>0.05</v>
      </c>
      <c r="M1053">
        <v>3990</v>
      </c>
      <c r="N1053">
        <v>2900</v>
      </c>
      <c r="O1053">
        <v>1090</v>
      </c>
    </row>
    <row r="1054" spans="1:15" x14ac:dyDescent="0.25">
      <c r="A1054" t="s">
        <v>2001</v>
      </c>
      <c r="B1054" s="2">
        <v>46710</v>
      </c>
      <c r="C1054" t="s">
        <v>2002</v>
      </c>
      <c r="D1054" t="s">
        <v>2003</v>
      </c>
      <c r="E1054" t="s">
        <v>39</v>
      </c>
      <c r="F1054" t="s">
        <v>40</v>
      </c>
      <c r="G1054" t="s">
        <v>51</v>
      </c>
      <c r="H1054" t="s">
        <v>52</v>
      </c>
      <c r="I1054" t="s">
        <v>53</v>
      </c>
      <c r="J1054">
        <v>2</v>
      </c>
      <c r="K1054">
        <v>2200</v>
      </c>
      <c r="L1054">
        <v>0.25</v>
      </c>
      <c r="M1054">
        <v>3300</v>
      </c>
      <c r="N1054">
        <v>2900</v>
      </c>
      <c r="O1054">
        <v>400</v>
      </c>
    </row>
    <row r="1055" spans="1:15" x14ac:dyDescent="0.25">
      <c r="A1055" t="s">
        <v>2004</v>
      </c>
      <c r="B1055" s="2">
        <v>46711</v>
      </c>
      <c r="C1055" t="s">
        <v>2005</v>
      </c>
      <c r="D1055" t="s">
        <v>2006</v>
      </c>
      <c r="E1055" t="s">
        <v>39</v>
      </c>
      <c r="F1055" t="s">
        <v>76</v>
      </c>
      <c r="G1055" t="s">
        <v>51</v>
      </c>
      <c r="H1055" t="s">
        <v>52</v>
      </c>
      <c r="I1055" t="s">
        <v>53</v>
      </c>
      <c r="J1055">
        <v>1</v>
      </c>
      <c r="K1055">
        <v>2200</v>
      </c>
      <c r="L1055">
        <v>0</v>
      </c>
      <c r="M1055">
        <v>2200</v>
      </c>
      <c r="N1055">
        <v>1450</v>
      </c>
      <c r="O1055">
        <v>750</v>
      </c>
    </row>
    <row r="1056" spans="1:15" x14ac:dyDescent="0.25">
      <c r="A1056" t="s">
        <v>2007</v>
      </c>
      <c r="B1056" s="2">
        <v>46712</v>
      </c>
      <c r="C1056" t="s">
        <v>2008</v>
      </c>
      <c r="D1056" t="s">
        <v>2009</v>
      </c>
      <c r="E1056" t="s">
        <v>26</v>
      </c>
      <c r="F1056" t="s">
        <v>27</v>
      </c>
      <c r="G1056" t="s">
        <v>20</v>
      </c>
      <c r="H1056" t="s">
        <v>21</v>
      </c>
      <c r="I1056" t="s">
        <v>22</v>
      </c>
      <c r="J1056">
        <v>1</v>
      </c>
      <c r="K1056">
        <v>650</v>
      </c>
      <c r="L1056">
        <v>0.25</v>
      </c>
      <c r="M1056">
        <v>487.5</v>
      </c>
      <c r="N1056">
        <v>390</v>
      </c>
      <c r="O1056">
        <v>97.5</v>
      </c>
    </row>
    <row r="1057" spans="1:15" x14ac:dyDescent="0.25">
      <c r="A1057" t="s">
        <v>2010</v>
      </c>
      <c r="B1057" s="2">
        <v>46713</v>
      </c>
      <c r="C1057" t="s">
        <v>494</v>
      </c>
      <c r="D1057" t="s">
        <v>495</v>
      </c>
      <c r="E1057" t="s">
        <v>18</v>
      </c>
      <c r="F1057" t="s">
        <v>94</v>
      </c>
      <c r="G1057" t="s">
        <v>20</v>
      </c>
      <c r="H1057" t="s">
        <v>41</v>
      </c>
      <c r="I1057" t="s">
        <v>42</v>
      </c>
      <c r="J1057">
        <v>4</v>
      </c>
      <c r="K1057">
        <v>520</v>
      </c>
      <c r="L1057">
        <v>0.1</v>
      </c>
      <c r="M1057">
        <v>1872</v>
      </c>
      <c r="N1057">
        <v>1320</v>
      </c>
      <c r="O1057">
        <v>552</v>
      </c>
    </row>
    <row r="1058" spans="1:15" x14ac:dyDescent="0.25">
      <c r="A1058" t="s">
        <v>2011</v>
      </c>
      <c r="B1058" s="2">
        <v>46714</v>
      </c>
      <c r="C1058" t="s">
        <v>1783</v>
      </c>
      <c r="D1058" t="s">
        <v>1784</v>
      </c>
      <c r="E1058" t="s">
        <v>96</v>
      </c>
      <c r="F1058" t="s">
        <v>196</v>
      </c>
      <c r="G1058" t="s">
        <v>20</v>
      </c>
      <c r="H1058" t="s">
        <v>84</v>
      </c>
      <c r="I1058" t="s">
        <v>85</v>
      </c>
      <c r="J1058">
        <v>1</v>
      </c>
      <c r="K1058">
        <v>280</v>
      </c>
      <c r="L1058">
        <v>0</v>
      </c>
      <c r="M1058">
        <v>280</v>
      </c>
      <c r="N1058">
        <v>160</v>
      </c>
      <c r="O1058">
        <v>120</v>
      </c>
    </row>
    <row r="1059" spans="1:15" x14ac:dyDescent="0.25">
      <c r="A1059" t="s">
        <v>2012</v>
      </c>
      <c r="B1059" s="2">
        <v>46715</v>
      </c>
      <c r="C1059" t="s">
        <v>1869</v>
      </c>
      <c r="D1059" t="s">
        <v>1870</v>
      </c>
      <c r="E1059" t="s">
        <v>96</v>
      </c>
      <c r="F1059" t="s">
        <v>200</v>
      </c>
      <c r="G1059" t="s">
        <v>51</v>
      </c>
      <c r="H1059" t="s">
        <v>21</v>
      </c>
      <c r="I1059" t="s">
        <v>72</v>
      </c>
      <c r="J1059">
        <v>4</v>
      </c>
      <c r="K1059">
        <v>1800</v>
      </c>
      <c r="L1059">
        <v>0.15</v>
      </c>
      <c r="M1059">
        <v>6120</v>
      </c>
      <c r="N1059">
        <v>4400</v>
      </c>
      <c r="O1059">
        <v>1720</v>
      </c>
    </row>
    <row r="1060" spans="1:15" x14ac:dyDescent="0.25">
      <c r="A1060" t="s">
        <v>2013</v>
      </c>
      <c r="B1060" s="2">
        <v>46716</v>
      </c>
      <c r="C1060" t="s">
        <v>186</v>
      </c>
      <c r="D1060" t="s">
        <v>187</v>
      </c>
      <c r="E1060" t="s">
        <v>39</v>
      </c>
      <c r="F1060" t="s">
        <v>124</v>
      </c>
      <c r="G1060" t="s">
        <v>20</v>
      </c>
      <c r="H1060" t="s">
        <v>84</v>
      </c>
      <c r="I1060" t="s">
        <v>85</v>
      </c>
      <c r="J1060">
        <v>1</v>
      </c>
      <c r="K1060">
        <v>280</v>
      </c>
      <c r="L1060">
        <v>0.2</v>
      </c>
      <c r="M1060">
        <v>224</v>
      </c>
      <c r="N1060">
        <v>160</v>
      </c>
      <c r="O1060">
        <v>64</v>
      </c>
    </row>
    <row r="1061" spans="1:15" x14ac:dyDescent="0.25">
      <c r="A1061" t="s">
        <v>2014</v>
      </c>
      <c r="B1061" s="2">
        <v>46717</v>
      </c>
      <c r="C1061" t="s">
        <v>2015</v>
      </c>
      <c r="D1061" t="s">
        <v>2016</v>
      </c>
      <c r="E1061" t="s">
        <v>39</v>
      </c>
      <c r="F1061" t="s">
        <v>71</v>
      </c>
      <c r="G1061" t="s">
        <v>51</v>
      </c>
      <c r="H1061" t="s">
        <v>21</v>
      </c>
      <c r="I1061" t="s">
        <v>80</v>
      </c>
      <c r="J1061">
        <v>3</v>
      </c>
      <c r="K1061">
        <v>850</v>
      </c>
      <c r="L1061">
        <v>0.25</v>
      </c>
      <c r="M1061">
        <v>1912.5</v>
      </c>
      <c r="N1061">
        <v>1680</v>
      </c>
      <c r="O1061">
        <v>232.5</v>
      </c>
    </row>
    <row r="1062" spans="1:15" x14ac:dyDescent="0.25">
      <c r="A1062" t="s">
        <v>2017</v>
      </c>
      <c r="B1062" s="2">
        <v>46718</v>
      </c>
      <c r="C1062" t="s">
        <v>1755</v>
      </c>
      <c r="D1062" t="s">
        <v>1756</v>
      </c>
      <c r="E1062" t="s">
        <v>96</v>
      </c>
      <c r="F1062" t="s">
        <v>97</v>
      </c>
      <c r="G1062" t="s">
        <v>57</v>
      </c>
      <c r="H1062" t="s">
        <v>104</v>
      </c>
      <c r="I1062" t="s">
        <v>105</v>
      </c>
      <c r="J1062">
        <v>2</v>
      </c>
      <c r="K1062">
        <v>7500</v>
      </c>
      <c r="L1062">
        <v>0</v>
      </c>
      <c r="M1062">
        <v>15000</v>
      </c>
      <c r="N1062">
        <v>10400</v>
      </c>
      <c r="O1062">
        <v>4600</v>
      </c>
    </row>
    <row r="1063" spans="1:15" x14ac:dyDescent="0.25">
      <c r="A1063" t="s">
        <v>2018</v>
      </c>
      <c r="B1063" s="2">
        <v>46719</v>
      </c>
      <c r="C1063" t="s">
        <v>2019</v>
      </c>
      <c r="D1063" t="s">
        <v>2020</v>
      </c>
      <c r="E1063" t="s">
        <v>39</v>
      </c>
      <c r="F1063" t="s">
        <v>71</v>
      </c>
      <c r="G1063" t="s">
        <v>20</v>
      </c>
      <c r="H1063" t="s">
        <v>41</v>
      </c>
      <c r="I1063" t="s">
        <v>42</v>
      </c>
      <c r="J1063">
        <v>5</v>
      </c>
      <c r="K1063">
        <v>520</v>
      </c>
      <c r="L1063">
        <v>0.2</v>
      </c>
      <c r="M1063">
        <v>2080</v>
      </c>
      <c r="N1063">
        <v>1650</v>
      </c>
      <c r="O1063">
        <v>430</v>
      </c>
    </row>
    <row r="1064" spans="1:15" x14ac:dyDescent="0.25">
      <c r="A1064" t="s">
        <v>2021</v>
      </c>
      <c r="B1064" s="2">
        <v>46720</v>
      </c>
      <c r="C1064" t="s">
        <v>2022</v>
      </c>
      <c r="D1064" t="s">
        <v>2023</v>
      </c>
      <c r="E1064" t="s">
        <v>26</v>
      </c>
      <c r="F1064" t="s">
        <v>27</v>
      </c>
      <c r="G1064" t="s">
        <v>51</v>
      </c>
      <c r="H1064" t="s">
        <v>89</v>
      </c>
      <c r="I1064" t="s">
        <v>90</v>
      </c>
      <c r="J1064">
        <v>2</v>
      </c>
      <c r="K1064">
        <v>10500</v>
      </c>
      <c r="L1064">
        <v>0.1</v>
      </c>
      <c r="M1064">
        <v>18900</v>
      </c>
      <c r="N1064">
        <v>15200</v>
      </c>
      <c r="O1064">
        <v>3700</v>
      </c>
    </row>
    <row r="1065" spans="1:15" x14ac:dyDescent="0.25">
      <c r="A1065" t="s">
        <v>2024</v>
      </c>
      <c r="B1065" s="2">
        <v>46721</v>
      </c>
      <c r="C1065" t="s">
        <v>1111</v>
      </c>
      <c r="D1065" t="s">
        <v>1112</v>
      </c>
      <c r="E1065" t="s">
        <v>39</v>
      </c>
      <c r="F1065" t="s">
        <v>40</v>
      </c>
      <c r="G1065" t="s">
        <v>51</v>
      </c>
      <c r="H1065" t="s">
        <v>21</v>
      </c>
      <c r="I1065" t="s">
        <v>72</v>
      </c>
      <c r="J1065">
        <v>5</v>
      </c>
      <c r="K1065">
        <v>1800</v>
      </c>
      <c r="L1065">
        <v>0.15</v>
      </c>
      <c r="M1065">
        <v>7650</v>
      </c>
      <c r="N1065">
        <v>5500</v>
      </c>
      <c r="O1065">
        <v>2150</v>
      </c>
    </row>
    <row r="1066" spans="1:15" x14ac:dyDescent="0.25">
      <c r="A1066" t="s">
        <v>2025</v>
      </c>
      <c r="B1066" s="2">
        <v>46722</v>
      </c>
      <c r="C1066" t="s">
        <v>1157</v>
      </c>
      <c r="D1066" t="s">
        <v>1158</v>
      </c>
      <c r="E1066" t="s">
        <v>39</v>
      </c>
      <c r="F1066" t="s">
        <v>76</v>
      </c>
      <c r="G1066" t="s">
        <v>57</v>
      </c>
      <c r="H1066" t="s">
        <v>188</v>
      </c>
      <c r="I1066" t="s">
        <v>189</v>
      </c>
      <c r="J1066">
        <v>5</v>
      </c>
      <c r="K1066">
        <v>6200</v>
      </c>
      <c r="L1066">
        <v>0</v>
      </c>
      <c r="M1066">
        <v>31000</v>
      </c>
      <c r="N1066">
        <v>21500</v>
      </c>
      <c r="O1066">
        <v>9500</v>
      </c>
    </row>
    <row r="1067" spans="1:15" x14ac:dyDescent="0.25">
      <c r="A1067" t="s">
        <v>2026</v>
      </c>
      <c r="B1067" s="2">
        <v>46723</v>
      </c>
      <c r="C1067" t="s">
        <v>1381</v>
      </c>
      <c r="D1067" t="s">
        <v>1382</v>
      </c>
      <c r="E1067" t="s">
        <v>18</v>
      </c>
      <c r="F1067" t="s">
        <v>94</v>
      </c>
      <c r="G1067" t="s">
        <v>20</v>
      </c>
      <c r="H1067" t="s">
        <v>84</v>
      </c>
      <c r="I1067" t="s">
        <v>169</v>
      </c>
      <c r="J1067">
        <v>4</v>
      </c>
      <c r="K1067">
        <v>450</v>
      </c>
      <c r="L1067">
        <v>0.05</v>
      </c>
      <c r="M1067">
        <v>1710</v>
      </c>
      <c r="N1067">
        <v>1040</v>
      </c>
      <c r="O1067">
        <v>670</v>
      </c>
    </row>
    <row r="1068" spans="1:15" x14ac:dyDescent="0.25">
      <c r="A1068" t="s">
        <v>2027</v>
      </c>
      <c r="B1068" s="2">
        <v>46724</v>
      </c>
      <c r="C1068" t="s">
        <v>1384</v>
      </c>
      <c r="D1068" t="s">
        <v>1385</v>
      </c>
      <c r="E1068" t="s">
        <v>96</v>
      </c>
      <c r="F1068" t="s">
        <v>120</v>
      </c>
      <c r="G1068" t="s">
        <v>51</v>
      </c>
      <c r="H1068" t="s">
        <v>21</v>
      </c>
      <c r="I1068" t="s">
        <v>116</v>
      </c>
      <c r="J1068">
        <v>2</v>
      </c>
      <c r="K1068">
        <v>1400</v>
      </c>
      <c r="L1068">
        <v>0.05</v>
      </c>
      <c r="M1068">
        <v>2660</v>
      </c>
      <c r="N1068">
        <v>1800</v>
      </c>
      <c r="O1068">
        <v>860</v>
      </c>
    </row>
    <row r="1069" spans="1:15" x14ac:dyDescent="0.25">
      <c r="A1069" t="s">
        <v>2028</v>
      </c>
      <c r="B1069" s="2">
        <v>46725</v>
      </c>
      <c r="C1069" t="s">
        <v>126</v>
      </c>
      <c r="D1069" t="s">
        <v>127</v>
      </c>
      <c r="E1069" t="s">
        <v>39</v>
      </c>
      <c r="F1069" t="s">
        <v>124</v>
      </c>
      <c r="G1069" t="s">
        <v>20</v>
      </c>
      <c r="H1069" t="s">
        <v>84</v>
      </c>
      <c r="I1069" t="s">
        <v>210</v>
      </c>
      <c r="J1069">
        <v>2</v>
      </c>
      <c r="K1069">
        <v>300</v>
      </c>
      <c r="L1069">
        <v>0.15</v>
      </c>
      <c r="M1069">
        <v>510</v>
      </c>
      <c r="N1069">
        <v>340</v>
      </c>
      <c r="O1069">
        <v>170</v>
      </c>
    </row>
    <row r="1070" spans="1:15" x14ac:dyDescent="0.25">
      <c r="A1070" t="s">
        <v>2029</v>
      </c>
      <c r="B1070" s="2">
        <v>46726</v>
      </c>
      <c r="C1070" t="s">
        <v>343</v>
      </c>
      <c r="D1070" t="s">
        <v>344</v>
      </c>
      <c r="E1070" t="s">
        <v>39</v>
      </c>
      <c r="F1070" t="s">
        <v>40</v>
      </c>
      <c r="G1070" t="s">
        <v>51</v>
      </c>
      <c r="H1070" t="s">
        <v>21</v>
      </c>
      <c r="I1070" t="s">
        <v>72</v>
      </c>
      <c r="J1070">
        <v>5</v>
      </c>
      <c r="K1070">
        <v>1800</v>
      </c>
      <c r="L1070">
        <v>0.05</v>
      </c>
      <c r="M1070">
        <v>8550</v>
      </c>
      <c r="N1070">
        <v>5500</v>
      </c>
      <c r="O1070">
        <v>3050</v>
      </c>
    </row>
    <row r="1071" spans="1:15" x14ac:dyDescent="0.25">
      <c r="A1071" t="s">
        <v>2030</v>
      </c>
      <c r="B1071" s="2">
        <v>46727</v>
      </c>
      <c r="C1071" t="s">
        <v>2031</v>
      </c>
      <c r="D1071" t="s">
        <v>2032</v>
      </c>
      <c r="E1071" t="s">
        <v>26</v>
      </c>
      <c r="F1071" t="s">
        <v>204</v>
      </c>
      <c r="G1071" t="s">
        <v>20</v>
      </c>
      <c r="H1071" t="s">
        <v>84</v>
      </c>
      <c r="I1071" t="s">
        <v>210</v>
      </c>
      <c r="J1071">
        <v>2</v>
      </c>
      <c r="K1071">
        <v>300</v>
      </c>
      <c r="L1071">
        <v>0</v>
      </c>
      <c r="M1071">
        <v>600</v>
      </c>
      <c r="N1071">
        <v>340</v>
      </c>
      <c r="O1071">
        <v>260</v>
      </c>
    </row>
    <row r="1072" spans="1:15" x14ac:dyDescent="0.25">
      <c r="A1072" t="s">
        <v>2033</v>
      </c>
      <c r="B1072" s="2">
        <v>46728</v>
      </c>
      <c r="C1072" t="s">
        <v>721</v>
      </c>
      <c r="D1072" t="s">
        <v>722</v>
      </c>
      <c r="E1072" t="s">
        <v>26</v>
      </c>
      <c r="F1072" t="s">
        <v>34</v>
      </c>
      <c r="G1072" t="s">
        <v>51</v>
      </c>
      <c r="H1072" t="s">
        <v>21</v>
      </c>
      <c r="I1072" t="s">
        <v>72</v>
      </c>
      <c r="J1072">
        <v>2</v>
      </c>
      <c r="K1072">
        <v>1800</v>
      </c>
      <c r="L1072">
        <v>0.05</v>
      </c>
      <c r="M1072">
        <v>3420</v>
      </c>
      <c r="N1072">
        <v>2200</v>
      </c>
      <c r="O1072">
        <v>1220</v>
      </c>
    </row>
    <row r="1073" spans="1:15" x14ac:dyDescent="0.25">
      <c r="A1073" t="s">
        <v>2034</v>
      </c>
      <c r="B1073" s="2">
        <v>46729</v>
      </c>
      <c r="C1073" t="s">
        <v>1563</v>
      </c>
      <c r="D1073" t="s">
        <v>1564</v>
      </c>
      <c r="E1073" t="s">
        <v>96</v>
      </c>
      <c r="F1073" t="s">
        <v>196</v>
      </c>
      <c r="G1073" t="s">
        <v>51</v>
      </c>
      <c r="H1073" t="s">
        <v>89</v>
      </c>
      <c r="I1073" t="s">
        <v>90</v>
      </c>
      <c r="J1073">
        <v>4</v>
      </c>
      <c r="K1073">
        <v>10500</v>
      </c>
      <c r="L1073">
        <v>0.05</v>
      </c>
      <c r="M1073">
        <v>39900</v>
      </c>
      <c r="N1073">
        <v>30400</v>
      </c>
      <c r="O1073">
        <v>9500</v>
      </c>
    </row>
    <row r="1074" spans="1:15" x14ac:dyDescent="0.25">
      <c r="A1074" t="s">
        <v>2035</v>
      </c>
      <c r="B1074" s="2">
        <v>46730</v>
      </c>
      <c r="C1074" t="s">
        <v>1315</v>
      </c>
      <c r="D1074" t="s">
        <v>1316</v>
      </c>
      <c r="E1074" t="s">
        <v>26</v>
      </c>
      <c r="F1074" t="s">
        <v>204</v>
      </c>
      <c r="G1074" t="s">
        <v>51</v>
      </c>
      <c r="H1074" t="s">
        <v>21</v>
      </c>
      <c r="I1074" t="s">
        <v>72</v>
      </c>
      <c r="J1074">
        <v>5</v>
      </c>
      <c r="K1074">
        <v>1800</v>
      </c>
      <c r="L1074">
        <v>0</v>
      </c>
      <c r="M1074">
        <v>9000</v>
      </c>
      <c r="N1074">
        <v>5500</v>
      </c>
      <c r="O1074">
        <v>3500</v>
      </c>
    </row>
    <row r="1075" spans="1:15" x14ac:dyDescent="0.25">
      <c r="A1075" t="s">
        <v>2036</v>
      </c>
      <c r="B1075" s="2">
        <v>46731</v>
      </c>
      <c r="C1075" t="s">
        <v>1220</v>
      </c>
      <c r="D1075" t="s">
        <v>1221</v>
      </c>
      <c r="E1075" t="s">
        <v>26</v>
      </c>
      <c r="F1075" t="s">
        <v>204</v>
      </c>
      <c r="G1075" t="s">
        <v>20</v>
      </c>
      <c r="H1075" t="s">
        <v>84</v>
      </c>
      <c r="I1075" t="s">
        <v>85</v>
      </c>
      <c r="J1075">
        <v>2</v>
      </c>
      <c r="K1075">
        <v>280</v>
      </c>
      <c r="L1075">
        <v>0.2</v>
      </c>
      <c r="M1075">
        <v>448</v>
      </c>
      <c r="N1075">
        <v>320</v>
      </c>
      <c r="O1075">
        <v>128</v>
      </c>
    </row>
    <row r="1076" spans="1:15" x14ac:dyDescent="0.25">
      <c r="A1076" t="s">
        <v>2037</v>
      </c>
      <c r="B1076" s="2">
        <v>46732</v>
      </c>
      <c r="C1076" t="s">
        <v>155</v>
      </c>
      <c r="D1076" t="s">
        <v>156</v>
      </c>
      <c r="E1076" t="s">
        <v>39</v>
      </c>
      <c r="F1076" t="s">
        <v>76</v>
      </c>
      <c r="G1076" t="s">
        <v>28</v>
      </c>
      <c r="H1076" t="s">
        <v>29</v>
      </c>
      <c r="I1076" t="s">
        <v>30</v>
      </c>
      <c r="J1076">
        <v>4</v>
      </c>
      <c r="K1076">
        <v>1900</v>
      </c>
      <c r="L1076">
        <v>0</v>
      </c>
      <c r="M1076">
        <v>7600</v>
      </c>
      <c r="N1076">
        <v>5000</v>
      </c>
      <c r="O1076">
        <v>2600</v>
      </c>
    </row>
    <row r="1077" spans="1:15" x14ac:dyDescent="0.25">
      <c r="A1077" t="s">
        <v>2038</v>
      </c>
      <c r="B1077" s="2">
        <v>46733</v>
      </c>
      <c r="C1077" t="s">
        <v>375</v>
      </c>
      <c r="D1077" t="s">
        <v>376</v>
      </c>
      <c r="E1077" t="s">
        <v>39</v>
      </c>
      <c r="F1077" t="s">
        <v>71</v>
      </c>
      <c r="G1077" t="s">
        <v>28</v>
      </c>
      <c r="H1077" t="s">
        <v>29</v>
      </c>
      <c r="I1077" t="s">
        <v>35</v>
      </c>
      <c r="J1077">
        <v>3</v>
      </c>
      <c r="K1077">
        <v>4200</v>
      </c>
      <c r="L1077">
        <v>0.2</v>
      </c>
      <c r="M1077">
        <v>10080</v>
      </c>
      <c r="N1077">
        <v>8700</v>
      </c>
      <c r="O1077">
        <v>1380</v>
      </c>
    </row>
    <row r="1078" spans="1:15" x14ac:dyDescent="0.25">
      <c r="A1078" t="s">
        <v>2039</v>
      </c>
      <c r="B1078" s="2">
        <v>46734</v>
      </c>
      <c r="C1078" t="s">
        <v>194</v>
      </c>
      <c r="D1078" t="s">
        <v>195</v>
      </c>
      <c r="E1078" t="s">
        <v>96</v>
      </c>
      <c r="F1078" t="s">
        <v>200</v>
      </c>
      <c r="G1078" t="s">
        <v>20</v>
      </c>
      <c r="H1078" t="s">
        <v>84</v>
      </c>
      <c r="I1078" t="s">
        <v>210</v>
      </c>
      <c r="J1078">
        <v>3</v>
      </c>
      <c r="K1078">
        <v>300</v>
      </c>
      <c r="L1078">
        <v>0</v>
      </c>
      <c r="M1078">
        <v>900</v>
      </c>
      <c r="N1078">
        <v>510</v>
      </c>
      <c r="O1078">
        <v>390</v>
      </c>
    </row>
    <row r="1079" spans="1:15" x14ac:dyDescent="0.25">
      <c r="A1079" t="s">
        <v>2040</v>
      </c>
      <c r="B1079" s="2">
        <v>46735</v>
      </c>
      <c r="C1079" t="s">
        <v>1075</v>
      </c>
      <c r="D1079" t="s">
        <v>1076</v>
      </c>
      <c r="E1079" t="s">
        <v>96</v>
      </c>
      <c r="F1079" t="s">
        <v>200</v>
      </c>
      <c r="G1079" t="s">
        <v>28</v>
      </c>
      <c r="H1079" t="s">
        <v>63</v>
      </c>
      <c r="I1079" t="s">
        <v>64</v>
      </c>
      <c r="J1079">
        <v>1</v>
      </c>
      <c r="K1079">
        <v>2400</v>
      </c>
      <c r="L1079">
        <v>0.05</v>
      </c>
      <c r="M1079">
        <v>2280</v>
      </c>
      <c r="N1079">
        <v>1650</v>
      </c>
      <c r="O1079">
        <v>630</v>
      </c>
    </row>
    <row r="1080" spans="1:15" x14ac:dyDescent="0.25">
      <c r="A1080" t="s">
        <v>2041</v>
      </c>
      <c r="B1080" s="2">
        <v>46736</v>
      </c>
      <c r="C1080" t="s">
        <v>466</v>
      </c>
      <c r="D1080" t="s">
        <v>467</v>
      </c>
      <c r="E1080" t="s">
        <v>18</v>
      </c>
      <c r="F1080" t="s">
        <v>19</v>
      </c>
      <c r="G1080" t="s">
        <v>20</v>
      </c>
      <c r="H1080" t="s">
        <v>41</v>
      </c>
      <c r="I1080" t="s">
        <v>42</v>
      </c>
      <c r="J1080">
        <v>2</v>
      </c>
      <c r="K1080">
        <v>520</v>
      </c>
      <c r="L1080">
        <v>0.2</v>
      </c>
      <c r="M1080">
        <v>832</v>
      </c>
      <c r="N1080">
        <v>660</v>
      </c>
      <c r="O1080">
        <v>172</v>
      </c>
    </row>
    <row r="1081" spans="1:15" x14ac:dyDescent="0.25">
      <c r="A1081" t="s">
        <v>2042</v>
      </c>
      <c r="B1081" s="2">
        <v>46737</v>
      </c>
      <c r="C1081" t="s">
        <v>330</v>
      </c>
      <c r="D1081" t="s">
        <v>331</v>
      </c>
      <c r="E1081" t="s">
        <v>26</v>
      </c>
      <c r="F1081" t="s">
        <v>34</v>
      </c>
      <c r="G1081" t="s">
        <v>28</v>
      </c>
      <c r="H1081" t="s">
        <v>29</v>
      </c>
      <c r="I1081" t="s">
        <v>47</v>
      </c>
      <c r="J1081">
        <v>3</v>
      </c>
      <c r="K1081">
        <v>6800</v>
      </c>
      <c r="L1081">
        <v>0.1</v>
      </c>
      <c r="M1081">
        <v>18360</v>
      </c>
      <c r="N1081">
        <v>14100</v>
      </c>
      <c r="O1081">
        <v>4260</v>
      </c>
    </row>
    <row r="1082" spans="1:15" x14ac:dyDescent="0.25">
      <c r="A1082" t="s">
        <v>2043</v>
      </c>
      <c r="B1082" s="2">
        <v>46738</v>
      </c>
      <c r="C1082" t="s">
        <v>275</v>
      </c>
      <c r="D1082" t="s">
        <v>276</v>
      </c>
      <c r="E1082" t="s">
        <v>26</v>
      </c>
      <c r="F1082" t="s">
        <v>204</v>
      </c>
      <c r="G1082" t="s">
        <v>28</v>
      </c>
      <c r="H1082" t="s">
        <v>29</v>
      </c>
      <c r="I1082" t="s">
        <v>30</v>
      </c>
      <c r="J1082">
        <v>3</v>
      </c>
      <c r="K1082">
        <v>1900</v>
      </c>
      <c r="L1082">
        <v>0</v>
      </c>
      <c r="M1082">
        <v>5700</v>
      </c>
      <c r="N1082">
        <v>3750</v>
      </c>
      <c r="O1082">
        <v>1950</v>
      </c>
    </row>
    <row r="1083" spans="1:15" x14ac:dyDescent="0.25">
      <c r="A1083" t="s">
        <v>2044</v>
      </c>
      <c r="B1083" s="2">
        <v>46739</v>
      </c>
      <c r="C1083" t="s">
        <v>983</v>
      </c>
      <c r="D1083" t="s">
        <v>984</v>
      </c>
      <c r="E1083" t="s">
        <v>26</v>
      </c>
      <c r="F1083" t="s">
        <v>204</v>
      </c>
      <c r="G1083" t="s">
        <v>51</v>
      </c>
      <c r="H1083" t="s">
        <v>21</v>
      </c>
      <c r="I1083" t="s">
        <v>72</v>
      </c>
      <c r="J1083">
        <v>5</v>
      </c>
      <c r="K1083">
        <v>1800</v>
      </c>
      <c r="L1083">
        <v>0.15</v>
      </c>
      <c r="M1083">
        <v>7650</v>
      </c>
      <c r="N1083">
        <v>5500</v>
      </c>
      <c r="O1083">
        <v>2150</v>
      </c>
    </row>
    <row r="1084" spans="1:15" x14ac:dyDescent="0.25">
      <c r="A1084" t="s">
        <v>2045</v>
      </c>
      <c r="B1084" s="2">
        <v>46740</v>
      </c>
      <c r="C1084" t="s">
        <v>570</v>
      </c>
      <c r="D1084" t="s">
        <v>571</v>
      </c>
      <c r="E1084" t="s">
        <v>96</v>
      </c>
      <c r="F1084" t="s">
        <v>120</v>
      </c>
      <c r="G1084" t="s">
        <v>51</v>
      </c>
      <c r="H1084" t="s">
        <v>89</v>
      </c>
      <c r="I1084" t="s">
        <v>90</v>
      </c>
      <c r="J1084">
        <v>4</v>
      </c>
      <c r="K1084">
        <v>10500</v>
      </c>
      <c r="L1084">
        <v>0.15</v>
      </c>
      <c r="M1084">
        <v>35700</v>
      </c>
      <c r="N1084">
        <v>30400</v>
      </c>
      <c r="O1084">
        <v>5300</v>
      </c>
    </row>
    <row r="1085" spans="1:15" x14ac:dyDescent="0.25">
      <c r="A1085" t="s">
        <v>2046</v>
      </c>
      <c r="B1085" s="2">
        <v>46741</v>
      </c>
      <c r="C1085" t="s">
        <v>1393</v>
      </c>
      <c r="D1085" t="s">
        <v>1394</v>
      </c>
      <c r="E1085" t="s">
        <v>96</v>
      </c>
      <c r="F1085" t="s">
        <v>120</v>
      </c>
      <c r="G1085" t="s">
        <v>28</v>
      </c>
      <c r="H1085" t="s">
        <v>29</v>
      </c>
      <c r="I1085" t="s">
        <v>30</v>
      </c>
      <c r="J1085">
        <v>4</v>
      </c>
      <c r="K1085">
        <v>1900</v>
      </c>
      <c r="L1085">
        <v>0.15</v>
      </c>
      <c r="M1085">
        <v>6460</v>
      </c>
      <c r="N1085">
        <v>5000</v>
      </c>
      <c r="O1085">
        <v>1460</v>
      </c>
    </row>
    <row r="1086" spans="1:15" x14ac:dyDescent="0.25">
      <c r="A1086" t="s">
        <v>2047</v>
      </c>
      <c r="B1086" s="2">
        <v>46742</v>
      </c>
      <c r="C1086" t="s">
        <v>1046</v>
      </c>
      <c r="D1086" t="s">
        <v>1047</v>
      </c>
      <c r="E1086" t="s">
        <v>26</v>
      </c>
      <c r="F1086" t="s">
        <v>34</v>
      </c>
      <c r="G1086" t="s">
        <v>28</v>
      </c>
      <c r="H1086" t="s">
        <v>29</v>
      </c>
      <c r="I1086" t="s">
        <v>47</v>
      </c>
      <c r="J1086">
        <v>3</v>
      </c>
      <c r="K1086">
        <v>6800</v>
      </c>
      <c r="L1086">
        <v>0.1</v>
      </c>
      <c r="M1086">
        <v>18360</v>
      </c>
      <c r="N1086">
        <v>14100</v>
      </c>
      <c r="O1086">
        <v>4260</v>
      </c>
    </row>
    <row r="1087" spans="1:15" x14ac:dyDescent="0.25">
      <c r="A1087" t="s">
        <v>2048</v>
      </c>
      <c r="B1087" s="2">
        <v>46743</v>
      </c>
      <c r="C1087" t="s">
        <v>238</v>
      </c>
      <c r="D1087" t="s">
        <v>239</v>
      </c>
      <c r="E1087" t="s">
        <v>26</v>
      </c>
      <c r="F1087" t="s">
        <v>204</v>
      </c>
      <c r="G1087" t="s">
        <v>57</v>
      </c>
      <c r="H1087" t="s">
        <v>188</v>
      </c>
      <c r="I1087" t="s">
        <v>189</v>
      </c>
      <c r="J1087">
        <v>1</v>
      </c>
      <c r="K1087">
        <v>6200</v>
      </c>
      <c r="L1087">
        <v>0.1</v>
      </c>
      <c r="M1087">
        <v>5580</v>
      </c>
      <c r="N1087">
        <v>4300</v>
      </c>
      <c r="O1087">
        <v>1280</v>
      </c>
    </row>
    <row r="1088" spans="1:15" x14ac:dyDescent="0.25">
      <c r="A1088" t="s">
        <v>2049</v>
      </c>
      <c r="B1088" s="2">
        <v>46744</v>
      </c>
      <c r="C1088" t="s">
        <v>1803</v>
      </c>
      <c r="D1088" t="s">
        <v>1804</v>
      </c>
      <c r="E1088" t="s">
        <v>39</v>
      </c>
      <c r="F1088" t="s">
        <v>40</v>
      </c>
      <c r="G1088" t="s">
        <v>51</v>
      </c>
      <c r="H1088" t="s">
        <v>21</v>
      </c>
      <c r="I1088" t="s">
        <v>116</v>
      </c>
      <c r="J1088">
        <v>5</v>
      </c>
      <c r="K1088">
        <v>1400</v>
      </c>
      <c r="L1088">
        <v>0.05</v>
      </c>
      <c r="M1088">
        <v>6650</v>
      </c>
      <c r="N1088">
        <v>4500</v>
      </c>
      <c r="O1088">
        <v>2150</v>
      </c>
    </row>
    <row r="1089" spans="1:15" x14ac:dyDescent="0.25">
      <c r="A1089" t="s">
        <v>2050</v>
      </c>
      <c r="B1089" s="2">
        <v>46745</v>
      </c>
      <c r="C1089" t="s">
        <v>1372</v>
      </c>
      <c r="D1089" t="s">
        <v>1373</v>
      </c>
      <c r="E1089" t="s">
        <v>96</v>
      </c>
      <c r="F1089" t="s">
        <v>97</v>
      </c>
      <c r="G1089" t="s">
        <v>57</v>
      </c>
      <c r="H1089" t="s">
        <v>58</v>
      </c>
      <c r="I1089" t="s">
        <v>59</v>
      </c>
      <c r="J1089">
        <v>3</v>
      </c>
      <c r="K1089">
        <v>5600</v>
      </c>
      <c r="L1089">
        <v>0</v>
      </c>
      <c r="M1089">
        <v>16800</v>
      </c>
      <c r="N1089">
        <v>11700</v>
      </c>
      <c r="O1089">
        <v>5100</v>
      </c>
    </row>
    <row r="1090" spans="1:15" x14ac:dyDescent="0.25">
      <c r="A1090" t="s">
        <v>2051</v>
      </c>
      <c r="B1090" s="2">
        <v>46746</v>
      </c>
      <c r="C1090" t="s">
        <v>2052</v>
      </c>
      <c r="D1090" t="s">
        <v>2053</v>
      </c>
      <c r="E1090" t="s">
        <v>26</v>
      </c>
      <c r="F1090" t="s">
        <v>46</v>
      </c>
      <c r="G1090" t="s">
        <v>51</v>
      </c>
      <c r="H1090" t="s">
        <v>52</v>
      </c>
      <c r="I1090" t="s">
        <v>53</v>
      </c>
      <c r="J1090">
        <v>1</v>
      </c>
      <c r="K1090">
        <v>2200</v>
      </c>
      <c r="L1090">
        <v>0.1</v>
      </c>
      <c r="M1090">
        <v>1980</v>
      </c>
      <c r="N1090">
        <v>1450</v>
      </c>
      <c r="O1090">
        <v>530</v>
      </c>
    </row>
    <row r="1091" spans="1:15" x14ac:dyDescent="0.25">
      <c r="A1091" t="s">
        <v>2054</v>
      </c>
      <c r="B1091" s="2">
        <v>46747</v>
      </c>
      <c r="C1091" t="s">
        <v>1393</v>
      </c>
      <c r="D1091" t="s">
        <v>1394</v>
      </c>
      <c r="E1091" t="s">
        <v>26</v>
      </c>
      <c r="F1091" t="s">
        <v>204</v>
      </c>
      <c r="G1091" t="s">
        <v>51</v>
      </c>
      <c r="H1091" t="s">
        <v>52</v>
      </c>
      <c r="I1091" t="s">
        <v>208</v>
      </c>
      <c r="J1091">
        <v>3</v>
      </c>
      <c r="K1091">
        <v>2800</v>
      </c>
      <c r="L1091">
        <v>0</v>
      </c>
      <c r="M1091">
        <v>8400</v>
      </c>
      <c r="N1091">
        <v>5400</v>
      </c>
      <c r="O1091">
        <v>3000</v>
      </c>
    </row>
    <row r="1092" spans="1:15" x14ac:dyDescent="0.25">
      <c r="A1092" t="s">
        <v>2055</v>
      </c>
      <c r="B1092" s="2">
        <v>46748</v>
      </c>
      <c r="C1092" t="s">
        <v>562</v>
      </c>
      <c r="D1092" t="s">
        <v>563</v>
      </c>
      <c r="E1092" t="s">
        <v>26</v>
      </c>
      <c r="F1092" t="s">
        <v>34</v>
      </c>
      <c r="G1092" t="s">
        <v>20</v>
      </c>
      <c r="H1092" t="s">
        <v>84</v>
      </c>
      <c r="I1092" t="s">
        <v>85</v>
      </c>
      <c r="J1092">
        <v>3</v>
      </c>
      <c r="K1092">
        <v>280</v>
      </c>
      <c r="L1092">
        <v>0.15</v>
      </c>
      <c r="M1092">
        <v>714</v>
      </c>
      <c r="N1092">
        <v>480</v>
      </c>
      <c r="O1092">
        <v>234</v>
      </c>
    </row>
    <row r="1093" spans="1:15" x14ac:dyDescent="0.25">
      <c r="A1093" t="s">
        <v>2056</v>
      </c>
      <c r="B1093" s="2">
        <v>46749</v>
      </c>
      <c r="C1093" t="s">
        <v>291</v>
      </c>
      <c r="D1093" t="s">
        <v>292</v>
      </c>
      <c r="E1093" t="s">
        <v>39</v>
      </c>
      <c r="F1093" t="s">
        <v>40</v>
      </c>
      <c r="G1093" t="s">
        <v>28</v>
      </c>
      <c r="H1093" t="s">
        <v>29</v>
      </c>
      <c r="I1093" t="s">
        <v>47</v>
      </c>
      <c r="J1093">
        <v>2</v>
      </c>
      <c r="K1093">
        <v>6800</v>
      </c>
      <c r="L1093">
        <v>0.25</v>
      </c>
      <c r="M1093">
        <v>10200</v>
      </c>
      <c r="N1093">
        <v>9400</v>
      </c>
      <c r="O1093">
        <v>800</v>
      </c>
    </row>
    <row r="1094" spans="1:15" x14ac:dyDescent="0.25">
      <c r="A1094" t="s">
        <v>2057</v>
      </c>
      <c r="B1094" s="2">
        <v>46750</v>
      </c>
      <c r="C1094" t="s">
        <v>865</v>
      </c>
      <c r="D1094" t="s">
        <v>866</v>
      </c>
      <c r="E1094" t="s">
        <v>39</v>
      </c>
      <c r="F1094" t="s">
        <v>71</v>
      </c>
      <c r="G1094" t="s">
        <v>28</v>
      </c>
      <c r="H1094" t="s">
        <v>29</v>
      </c>
      <c r="I1094" t="s">
        <v>47</v>
      </c>
      <c r="J1094">
        <v>5</v>
      </c>
      <c r="K1094">
        <v>6800</v>
      </c>
      <c r="L1094">
        <v>0.15</v>
      </c>
      <c r="M1094">
        <v>28900</v>
      </c>
      <c r="N1094">
        <v>23500</v>
      </c>
      <c r="O1094">
        <v>5400</v>
      </c>
    </row>
    <row r="1095" spans="1:15" x14ac:dyDescent="0.25">
      <c r="A1095" t="s">
        <v>2058</v>
      </c>
      <c r="B1095" s="2">
        <v>46751</v>
      </c>
      <c r="C1095" t="s">
        <v>769</v>
      </c>
      <c r="D1095" t="s">
        <v>770</v>
      </c>
      <c r="E1095" t="s">
        <v>26</v>
      </c>
      <c r="F1095" t="s">
        <v>27</v>
      </c>
      <c r="G1095" t="s">
        <v>57</v>
      </c>
      <c r="H1095" t="s">
        <v>58</v>
      </c>
      <c r="I1095" t="s">
        <v>59</v>
      </c>
      <c r="J1095">
        <v>1</v>
      </c>
      <c r="K1095">
        <v>5600</v>
      </c>
      <c r="L1095">
        <v>0.25</v>
      </c>
      <c r="M1095">
        <v>4200</v>
      </c>
      <c r="N1095">
        <v>3900</v>
      </c>
      <c r="O1095">
        <v>300</v>
      </c>
    </row>
    <row r="1096" spans="1:15" x14ac:dyDescent="0.25">
      <c r="A1096" t="s">
        <v>2059</v>
      </c>
      <c r="B1096" s="2">
        <v>46752</v>
      </c>
      <c r="C1096" t="s">
        <v>1294</v>
      </c>
      <c r="D1096" t="s">
        <v>1295</v>
      </c>
      <c r="E1096" t="s">
        <v>96</v>
      </c>
      <c r="F1096" t="s">
        <v>200</v>
      </c>
      <c r="G1096" t="s">
        <v>28</v>
      </c>
      <c r="H1096" t="s">
        <v>29</v>
      </c>
      <c r="I1096" t="s">
        <v>47</v>
      </c>
      <c r="J1096">
        <v>1</v>
      </c>
      <c r="K1096">
        <v>6800</v>
      </c>
      <c r="L1096">
        <v>0.15</v>
      </c>
      <c r="M1096">
        <v>5780</v>
      </c>
      <c r="N1096">
        <v>4700</v>
      </c>
      <c r="O1096">
        <v>1080</v>
      </c>
    </row>
    <row r="1097" spans="1:15" x14ac:dyDescent="0.25">
      <c r="A1097" t="s">
        <v>2060</v>
      </c>
      <c r="B1097" s="2">
        <v>46753</v>
      </c>
      <c r="C1097" t="s">
        <v>828</v>
      </c>
      <c r="D1097" t="s">
        <v>829</v>
      </c>
      <c r="E1097" t="s">
        <v>96</v>
      </c>
      <c r="F1097" t="s">
        <v>196</v>
      </c>
      <c r="G1097" t="s">
        <v>20</v>
      </c>
      <c r="H1097" t="s">
        <v>84</v>
      </c>
      <c r="I1097" t="s">
        <v>169</v>
      </c>
      <c r="J1097">
        <v>5</v>
      </c>
      <c r="K1097">
        <v>450</v>
      </c>
      <c r="L1097">
        <v>0.15</v>
      </c>
      <c r="M1097">
        <v>1912.5</v>
      </c>
      <c r="N1097">
        <v>1300</v>
      </c>
      <c r="O1097">
        <v>612.5</v>
      </c>
    </row>
    <row r="1098" spans="1:15" x14ac:dyDescent="0.25">
      <c r="A1098" t="s">
        <v>2061</v>
      </c>
      <c r="B1098" s="2">
        <v>46754</v>
      </c>
      <c r="C1098" t="s">
        <v>781</v>
      </c>
      <c r="D1098" t="s">
        <v>782</v>
      </c>
      <c r="E1098" t="s">
        <v>26</v>
      </c>
      <c r="F1098" t="s">
        <v>128</v>
      </c>
      <c r="G1098" t="s">
        <v>28</v>
      </c>
      <c r="H1098" t="s">
        <v>29</v>
      </c>
      <c r="I1098" t="s">
        <v>47</v>
      </c>
      <c r="J1098">
        <v>4</v>
      </c>
      <c r="K1098">
        <v>6800</v>
      </c>
      <c r="L1098">
        <v>0.2</v>
      </c>
      <c r="M1098">
        <v>21760</v>
      </c>
      <c r="N1098">
        <v>18800</v>
      </c>
      <c r="O1098">
        <v>2960</v>
      </c>
    </row>
    <row r="1099" spans="1:15" x14ac:dyDescent="0.25">
      <c r="A1099" t="s">
        <v>2062</v>
      </c>
      <c r="B1099" s="2">
        <v>46755</v>
      </c>
      <c r="C1099" t="s">
        <v>532</v>
      </c>
      <c r="D1099" t="s">
        <v>533</v>
      </c>
      <c r="E1099" t="s">
        <v>39</v>
      </c>
      <c r="F1099" t="s">
        <v>40</v>
      </c>
      <c r="G1099" t="s">
        <v>57</v>
      </c>
      <c r="H1099" t="s">
        <v>58</v>
      </c>
      <c r="I1099" t="s">
        <v>129</v>
      </c>
      <c r="J1099">
        <v>1</v>
      </c>
      <c r="K1099">
        <v>4800</v>
      </c>
      <c r="L1099">
        <v>0</v>
      </c>
      <c r="M1099">
        <v>4800</v>
      </c>
      <c r="N1099">
        <v>3300</v>
      </c>
      <c r="O1099">
        <v>1500</v>
      </c>
    </row>
    <row r="1100" spans="1:15" x14ac:dyDescent="0.25">
      <c r="A1100" t="s">
        <v>2063</v>
      </c>
      <c r="B1100" s="2">
        <v>46756</v>
      </c>
      <c r="C1100" t="s">
        <v>32</v>
      </c>
      <c r="D1100" t="s">
        <v>33</v>
      </c>
      <c r="E1100" t="s">
        <v>96</v>
      </c>
      <c r="F1100" t="s">
        <v>97</v>
      </c>
      <c r="G1100" t="s">
        <v>20</v>
      </c>
      <c r="H1100" t="s">
        <v>84</v>
      </c>
      <c r="I1100" t="s">
        <v>169</v>
      </c>
      <c r="J1100">
        <v>1</v>
      </c>
      <c r="K1100">
        <v>450</v>
      </c>
      <c r="L1100">
        <v>0.15</v>
      </c>
      <c r="M1100">
        <v>382.5</v>
      </c>
      <c r="N1100">
        <v>260</v>
      </c>
      <c r="O1100">
        <v>122.5</v>
      </c>
    </row>
    <row r="1101" spans="1:15" x14ac:dyDescent="0.25">
      <c r="A1101" t="s">
        <v>2064</v>
      </c>
      <c r="B1101" s="2">
        <v>46757</v>
      </c>
      <c r="C1101" t="s">
        <v>1636</v>
      </c>
      <c r="D1101" t="s">
        <v>1637</v>
      </c>
      <c r="E1101" t="s">
        <v>39</v>
      </c>
      <c r="F1101" t="s">
        <v>76</v>
      </c>
      <c r="G1101" t="s">
        <v>51</v>
      </c>
      <c r="H1101" t="s">
        <v>89</v>
      </c>
      <c r="I1101" t="s">
        <v>90</v>
      </c>
      <c r="J1101">
        <v>2</v>
      </c>
      <c r="K1101">
        <v>10500</v>
      </c>
      <c r="L1101">
        <v>0.1</v>
      </c>
      <c r="M1101">
        <v>18900</v>
      </c>
      <c r="N1101">
        <v>15200</v>
      </c>
      <c r="O1101">
        <v>3700</v>
      </c>
    </row>
    <row r="1102" spans="1:15" x14ac:dyDescent="0.25">
      <c r="A1102" t="s">
        <v>2065</v>
      </c>
      <c r="B1102" s="2">
        <v>46758</v>
      </c>
      <c r="C1102" t="s">
        <v>1755</v>
      </c>
      <c r="D1102" t="s">
        <v>1756</v>
      </c>
      <c r="E1102" t="s">
        <v>39</v>
      </c>
      <c r="F1102" t="s">
        <v>124</v>
      </c>
      <c r="G1102" t="s">
        <v>28</v>
      </c>
      <c r="H1102" t="s">
        <v>29</v>
      </c>
      <c r="I1102" t="s">
        <v>30</v>
      </c>
      <c r="J1102">
        <v>1</v>
      </c>
      <c r="K1102">
        <v>1900</v>
      </c>
      <c r="L1102">
        <v>0.1</v>
      </c>
      <c r="M1102">
        <v>1710</v>
      </c>
      <c r="N1102">
        <v>1250</v>
      </c>
      <c r="O1102">
        <v>460</v>
      </c>
    </row>
    <row r="1103" spans="1:15" x14ac:dyDescent="0.25">
      <c r="A1103" t="s">
        <v>2066</v>
      </c>
      <c r="B1103" s="2">
        <v>46759</v>
      </c>
      <c r="C1103" t="s">
        <v>787</v>
      </c>
      <c r="D1103" t="s">
        <v>788</v>
      </c>
      <c r="E1103" t="s">
        <v>26</v>
      </c>
      <c r="F1103" t="s">
        <v>27</v>
      </c>
      <c r="G1103" t="s">
        <v>28</v>
      </c>
      <c r="H1103" t="s">
        <v>29</v>
      </c>
      <c r="I1103" t="s">
        <v>30</v>
      </c>
      <c r="J1103">
        <v>4</v>
      </c>
      <c r="K1103">
        <v>1900</v>
      </c>
      <c r="L1103">
        <v>0.2</v>
      </c>
      <c r="M1103">
        <v>6080</v>
      </c>
      <c r="N1103">
        <v>5000</v>
      </c>
      <c r="O1103">
        <v>1080</v>
      </c>
    </row>
    <row r="1104" spans="1:15" x14ac:dyDescent="0.25">
      <c r="A1104" t="s">
        <v>2067</v>
      </c>
      <c r="B1104" s="2">
        <v>46760</v>
      </c>
      <c r="C1104" t="s">
        <v>685</v>
      </c>
      <c r="D1104" t="s">
        <v>686</v>
      </c>
      <c r="E1104" t="s">
        <v>96</v>
      </c>
      <c r="F1104" t="s">
        <v>120</v>
      </c>
      <c r="G1104" t="s">
        <v>51</v>
      </c>
      <c r="H1104" t="s">
        <v>21</v>
      </c>
      <c r="I1104" t="s">
        <v>80</v>
      </c>
      <c r="J1104">
        <v>3</v>
      </c>
      <c r="K1104">
        <v>850</v>
      </c>
      <c r="L1104">
        <v>0.15</v>
      </c>
      <c r="M1104">
        <v>2167.5</v>
      </c>
      <c r="N1104">
        <v>1680</v>
      </c>
      <c r="O1104">
        <v>487.5</v>
      </c>
    </row>
    <row r="1105" spans="1:15" x14ac:dyDescent="0.25">
      <c r="A1105" t="s">
        <v>2068</v>
      </c>
      <c r="B1105" s="2">
        <v>46761</v>
      </c>
      <c r="C1105" t="s">
        <v>1183</v>
      </c>
      <c r="D1105" t="s">
        <v>1184</v>
      </c>
      <c r="E1105" t="s">
        <v>96</v>
      </c>
      <c r="F1105" t="s">
        <v>200</v>
      </c>
      <c r="G1105" t="s">
        <v>20</v>
      </c>
      <c r="H1105" t="s">
        <v>21</v>
      </c>
      <c r="I1105" t="s">
        <v>22</v>
      </c>
      <c r="J1105">
        <v>4</v>
      </c>
      <c r="K1105">
        <v>650</v>
      </c>
      <c r="L1105">
        <v>0.1</v>
      </c>
      <c r="M1105">
        <v>2340</v>
      </c>
      <c r="N1105">
        <v>1560</v>
      </c>
      <c r="O1105">
        <v>780</v>
      </c>
    </row>
    <row r="1106" spans="1:15" x14ac:dyDescent="0.25">
      <c r="A1106" t="s">
        <v>2069</v>
      </c>
      <c r="B1106" s="2">
        <v>46762</v>
      </c>
      <c r="C1106" t="s">
        <v>82</v>
      </c>
      <c r="D1106" t="s">
        <v>83</v>
      </c>
      <c r="E1106" t="s">
        <v>18</v>
      </c>
      <c r="F1106" t="s">
        <v>94</v>
      </c>
      <c r="G1106" t="s">
        <v>51</v>
      </c>
      <c r="H1106" t="s">
        <v>89</v>
      </c>
      <c r="I1106" t="s">
        <v>90</v>
      </c>
      <c r="J1106">
        <v>3</v>
      </c>
      <c r="K1106">
        <v>10500</v>
      </c>
      <c r="L1106">
        <v>0.15</v>
      </c>
      <c r="M1106">
        <v>26775</v>
      </c>
      <c r="N1106">
        <v>22800</v>
      </c>
      <c r="O1106">
        <v>3975</v>
      </c>
    </row>
    <row r="1107" spans="1:15" x14ac:dyDescent="0.25">
      <c r="A1107" t="s">
        <v>2070</v>
      </c>
      <c r="B1107" s="2">
        <v>46763</v>
      </c>
      <c r="C1107" t="s">
        <v>1079</v>
      </c>
      <c r="D1107" t="s">
        <v>1080</v>
      </c>
      <c r="E1107" t="s">
        <v>18</v>
      </c>
      <c r="F1107" t="s">
        <v>19</v>
      </c>
      <c r="G1107" t="s">
        <v>57</v>
      </c>
      <c r="H1107" t="s">
        <v>104</v>
      </c>
      <c r="I1107" t="s">
        <v>105</v>
      </c>
      <c r="J1107">
        <v>3</v>
      </c>
      <c r="K1107">
        <v>7500</v>
      </c>
      <c r="L1107">
        <v>0.1</v>
      </c>
      <c r="M1107">
        <v>20250</v>
      </c>
      <c r="N1107">
        <v>15600</v>
      </c>
      <c r="O1107">
        <v>4650</v>
      </c>
    </row>
    <row r="1108" spans="1:15" x14ac:dyDescent="0.25">
      <c r="A1108" t="s">
        <v>2071</v>
      </c>
      <c r="B1108" s="2">
        <v>46764</v>
      </c>
      <c r="C1108" t="s">
        <v>1231</v>
      </c>
      <c r="D1108" t="s">
        <v>1232</v>
      </c>
      <c r="E1108" t="s">
        <v>26</v>
      </c>
      <c r="F1108" t="s">
        <v>46</v>
      </c>
      <c r="G1108" t="s">
        <v>57</v>
      </c>
      <c r="H1108" t="s">
        <v>58</v>
      </c>
      <c r="I1108" t="s">
        <v>129</v>
      </c>
      <c r="J1108">
        <v>5</v>
      </c>
      <c r="K1108">
        <v>4800</v>
      </c>
      <c r="L1108">
        <v>0.1</v>
      </c>
      <c r="M1108">
        <v>21600</v>
      </c>
      <c r="N1108">
        <v>16500</v>
      </c>
      <c r="O1108">
        <v>5100</v>
      </c>
    </row>
    <row r="1109" spans="1:15" x14ac:dyDescent="0.25">
      <c r="A1109" t="s">
        <v>2072</v>
      </c>
      <c r="B1109" s="2">
        <v>46765</v>
      </c>
      <c r="C1109" t="s">
        <v>630</v>
      </c>
      <c r="D1109" t="s">
        <v>631</v>
      </c>
      <c r="E1109" t="s">
        <v>18</v>
      </c>
      <c r="F1109" t="s">
        <v>19</v>
      </c>
      <c r="G1109" t="s">
        <v>20</v>
      </c>
      <c r="H1109" t="s">
        <v>21</v>
      </c>
      <c r="I1109" t="s">
        <v>22</v>
      </c>
      <c r="J1109">
        <v>4</v>
      </c>
      <c r="K1109">
        <v>650</v>
      </c>
      <c r="L1109">
        <v>0</v>
      </c>
      <c r="M1109">
        <v>2600</v>
      </c>
      <c r="N1109">
        <v>1560</v>
      </c>
      <c r="O1109">
        <v>1040</v>
      </c>
    </row>
    <row r="1110" spans="1:15" x14ac:dyDescent="0.25">
      <c r="A1110" t="s">
        <v>2073</v>
      </c>
      <c r="B1110" s="2">
        <v>46766</v>
      </c>
      <c r="C1110" t="s">
        <v>860</v>
      </c>
      <c r="D1110" t="s">
        <v>861</v>
      </c>
      <c r="E1110" t="s">
        <v>39</v>
      </c>
      <c r="F1110" t="s">
        <v>76</v>
      </c>
      <c r="G1110" t="s">
        <v>57</v>
      </c>
      <c r="H1110" t="s">
        <v>188</v>
      </c>
      <c r="I1110" t="s">
        <v>189</v>
      </c>
      <c r="J1110">
        <v>4</v>
      </c>
      <c r="K1110">
        <v>6200</v>
      </c>
      <c r="L1110">
        <v>0</v>
      </c>
      <c r="M1110">
        <v>24800</v>
      </c>
      <c r="N1110">
        <v>17200</v>
      </c>
      <c r="O1110">
        <v>7600</v>
      </c>
    </row>
    <row r="1111" spans="1:15" x14ac:dyDescent="0.25">
      <c r="A1111" t="s">
        <v>2074</v>
      </c>
      <c r="B1111" s="2">
        <v>46767</v>
      </c>
      <c r="C1111" t="s">
        <v>567</v>
      </c>
      <c r="D1111" t="s">
        <v>568</v>
      </c>
      <c r="E1111" t="s">
        <v>26</v>
      </c>
      <c r="F1111" t="s">
        <v>34</v>
      </c>
      <c r="G1111" t="s">
        <v>20</v>
      </c>
      <c r="H1111" t="s">
        <v>84</v>
      </c>
      <c r="I1111" t="s">
        <v>85</v>
      </c>
      <c r="J1111">
        <v>5</v>
      </c>
      <c r="K1111">
        <v>280</v>
      </c>
      <c r="L1111">
        <v>0.15</v>
      </c>
      <c r="M1111">
        <v>1190</v>
      </c>
      <c r="N1111">
        <v>800</v>
      </c>
      <c r="O1111">
        <v>390</v>
      </c>
    </row>
    <row r="1112" spans="1:15" x14ac:dyDescent="0.25">
      <c r="A1112" t="s">
        <v>2075</v>
      </c>
      <c r="B1112" s="2">
        <v>46768</v>
      </c>
      <c r="C1112" t="s">
        <v>865</v>
      </c>
      <c r="D1112" t="s">
        <v>866</v>
      </c>
      <c r="E1112" t="s">
        <v>96</v>
      </c>
      <c r="F1112" t="s">
        <v>120</v>
      </c>
      <c r="G1112" t="s">
        <v>51</v>
      </c>
      <c r="H1112" t="s">
        <v>21</v>
      </c>
      <c r="I1112" t="s">
        <v>116</v>
      </c>
      <c r="J1112">
        <v>2</v>
      </c>
      <c r="K1112">
        <v>1400</v>
      </c>
      <c r="L1112">
        <v>0.25</v>
      </c>
      <c r="M1112">
        <v>2100</v>
      </c>
      <c r="N1112">
        <v>1800</v>
      </c>
      <c r="O1112">
        <v>300</v>
      </c>
    </row>
    <row r="1113" spans="1:15" x14ac:dyDescent="0.25">
      <c r="A1113" t="s">
        <v>2076</v>
      </c>
      <c r="B1113" s="2">
        <v>46769</v>
      </c>
      <c r="C1113" t="s">
        <v>1551</v>
      </c>
      <c r="D1113" t="s">
        <v>1552</v>
      </c>
      <c r="E1113" t="s">
        <v>39</v>
      </c>
      <c r="F1113" t="s">
        <v>40</v>
      </c>
      <c r="G1113" t="s">
        <v>28</v>
      </c>
      <c r="H1113" t="s">
        <v>63</v>
      </c>
      <c r="I1113" t="s">
        <v>64</v>
      </c>
      <c r="J1113">
        <v>1</v>
      </c>
      <c r="K1113">
        <v>2400</v>
      </c>
      <c r="L1113">
        <v>0.2</v>
      </c>
      <c r="M1113">
        <v>1920</v>
      </c>
      <c r="N1113">
        <v>1650</v>
      </c>
      <c r="O1113">
        <v>270</v>
      </c>
    </row>
    <row r="1114" spans="1:15" x14ac:dyDescent="0.25">
      <c r="A1114" t="s">
        <v>2077</v>
      </c>
      <c r="B1114" s="2">
        <v>46770</v>
      </c>
      <c r="C1114" t="s">
        <v>2078</v>
      </c>
      <c r="D1114" t="s">
        <v>2079</v>
      </c>
      <c r="E1114" t="s">
        <v>26</v>
      </c>
      <c r="F1114" t="s">
        <v>128</v>
      </c>
      <c r="G1114" t="s">
        <v>28</v>
      </c>
      <c r="H1114" t="s">
        <v>29</v>
      </c>
      <c r="I1114" t="s">
        <v>30</v>
      </c>
      <c r="J1114">
        <v>2</v>
      </c>
      <c r="K1114">
        <v>1900</v>
      </c>
      <c r="L1114">
        <v>0.1</v>
      </c>
      <c r="M1114">
        <v>3420</v>
      </c>
      <c r="N1114">
        <v>2500</v>
      </c>
      <c r="O1114">
        <v>920</v>
      </c>
    </row>
    <row r="1115" spans="1:15" x14ac:dyDescent="0.25">
      <c r="A1115" t="s">
        <v>2080</v>
      </c>
      <c r="B1115" s="2">
        <v>46771</v>
      </c>
      <c r="C1115" t="s">
        <v>637</v>
      </c>
      <c r="D1115" t="s">
        <v>638</v>
      </c>
      <c r="E1115" t="s">
        <v>26</v>
      </c>
      <c r="F1115" t="s">
        <v>46</v>
      </c>
      <c r="G1115" t="s">
        <v>28</v>
      </c>
      <c r="H1115" t="s">
        <v>29</v>
      </c>
      <c r="I1115" t="s">
        <v>30</v>
      </c>
      <c r="J1115">
        <v>1</v>
      </c>
      <c r="K1115">
        <v>1900</v>
      </c>
      <c r="L1115">
        <v>0</v>
      </c>
      <c r="M1115">
        <v>1900</v>
      </c>
      <c r="N1115">
        <v>1250</v>
      </c>
      <c r="O1115">
        <v>650</v>
      </c>
    </row>
    <row r="1116" spans="1:15" x14ac:dyDescent="0.25">
      <c r="A1116" t="s">
        <v>2081</v>
      </c>
      <c r="B1116" s="2">
        <v>46772</v>
      </c>
      <c r="C1116" t="s">
        <v>411</v>
      </c>
      <c r="D1116" t="s">
        <v>412</v>
      </c>
      <c r="E1116" t="s">
        <v>39</v>
      </c>
      <c r="F1116" t="s">
        <v>40</v>
      </c>
      <c r="G1116" t="s">
        <v>51</v>
      </c>
      <c r="H1116" t="s">
        <v>21</v>
      </c>
      <c r="I1116" t="s">
        <v>72</v>
      </c>
      <c r="J1116">
        <v>1</v>
      </c>
      <c r="K1116">
        <v>1800</v>
      </c>
      <c r="L1116">
        <v>0.15</v>
      </c>
      <c r="M1116">
        <v>1530</v>
      </c>
      <c r="N1116">
        <v>1100</v>
      </c>
      <c r="O1116">
        <v>430</v>
      </c>
    </row>
    <row r="1117" spans="1:15" x14ac:dyDescent="0.25">
      <c r="A1117" t="s">
        <v>2082</v>
      </c>
      <c r="B1117" s="2">
        <v>46773</v>
      </c>
      <c r="C1117" t="s">
        <v>357</v>
      </c>
      <c r="D1117" t="s">
        <v>358</v>
      </c>
      <c r="E1117" t="s">
        <v>18</v>
      </c>
      <c r="F1117" t="s">
        <v>19</v>
      </c>
      <c r="G1117" t="s">
        <v>28</v>
      </c>
      <c r="H1117" t="s">
        <v>29</v>
      </c>
      <c r="I1117" t="s">
        <v>30</v>
      </c>
      <c r="J1117">
        <v>1</v>
      </c>
      <c r="K1117">
        <v>1900</v>
      </c>
      <c r="L1117">
        <v>0.15</v>
      </c>
      <c r="M1117">
        <v>1615</v>
      </c>
      <c r="N1117">
        <v>1250</v>
      </c>
      <c r="O1117">
        <v>365</v>
      </c>
    </row>
    <row r="1118" spans="1:15" x14ac:dyDescent="0.25">
      <c r="A1118" t="s">
        <v>2083</v>
      </c>
      <c r="B1118" s="2">
        <v>46774</v>
      </c>
      <c r="C1118" t="s">
        <v>2084</v>
      </c>
      <c r="D1118" t="s">
        <v>2085</v>
      </c>
      <c r="E1118" t="s">
        <v>26</v>
      </c>
      <c r="F1118" t="s">
        <v>27</v>
      </c>
      <c r="G1118" t="s">
        <v>51</v>
      </c>
      <c r="H1118" t="s">
        <v>52</v>
      </c>
      <c r="I1118" t="s">
        <v>208</v>
      </c>
      <c r="J1118">
        <v>4</v>
      </c>
      <c r="K1118">
        <v>2800</v>
      </c>
      <c r="L1118">
        <v>0.1</v>
      </c>
      <c r="M1118">
        <v>10080</v>
      </c>
      <c r="N1118">
        <v>7200</v>
      </c>
      <c r="O1118">
        <v>2880</v>
      </c>
    </row>
    <row r="1119" spans="1:15" x14ac:dyDescent="0.25">
      <c r="A1119" t="s">
        <v>2086</v>
      </c>
      <c r="B1119" s="2">
        <v>46775</v>
      </c>
      <c r="C1119" t="s">
        <v>817</v>
      </c>
      <c r="D1119" t="s">
        <v>818</v>
      </c>
      <c r="E1119" t="s">
        <v>18</v>
      </c>
      <c r="F1119" t="s">
        <v>94</v>
      </c>
      <c r="G1119" t="s">
        <v>20</v>
      </c>
      <c r="H1119" t="s">
        <v>84</v>
      </c>
      <c r="I1119" t="s">
        <v>85</v>
      </c>
      <c r="J1119">
        <v>5</v>
      </c>
      <c r="K1119">
        <v>280</v>
      </c>
      <c r="L1119">
        <v>0.1</v>
      </c>
      <c r="M1119">
        <v>1260</v>
      </c>
      <c r="N1119">
        <v>800</v>
      </c>
      <c r="O1119">
        <v>460</v>
      </c>
    </row>
    <row r="1120" spans="1:15" x14ac:dyDescent="0.25">
      <c r="A1120" t="s">
        <v>2087</v>
      </c>
      <c r="B1120" s="2">
        <v>46776</v>
      </c>
      <c r="C1120" t="s">
        <v>1498</v>
      </c>
      <c r="D1120" t="s">
        <v>1499</v>
      </c>
      <c r="E1120" t="s">
        <v>39</v>
      </c>
      <c r="F1120" t="s">
        <v>71</v>
      </c>
      <c r="G1120" t="s">
        <v>57</v>
      </c>
      <c r="H1120" t="s">
        <v>188</v>
      </c>
      <c r="I1120" t="s">
        <v>189</v>
      </c>
      <c r="J1120">
        <v>1</v>
      </c>
      <c r="K1120">
        <v>6200</v>
      </c>
      <c r="L1120">
        <v>0.2</v>
      </c>
      <c r="M1120">
        <v>4960</v>
      </c>
      <c r="N1120">
        <v>4300</v>
      </c>
      <c r="O1120">
        <v>660</v>
      </c>
    </row>
    <row r="1121" spans="1:15" x14ac:dyDescent="0.25">
      <c r="A1121" t="s">
        <v>2088</v>
      </c>
      <c r="B1121" s="2">
        <v>46777</v>
      </c>
      <c r="C1121" t="s">
        <v>1734</v>
      </c>
      <c r="D1121" t="s">
        <v>1735</v>
      </c>
      <c r="E1121" t="s">
        <v>26</v>
      </c>
      <c r="F1121" t="s">
        <v>34</v>
      </c>
      <c r="G1121" t="s">
        <v>20</v>
      </c>
      <c r="H1121" t="s">
        <v>21</v>
      </c>
      <c r="I1121" t="s">
        <v>22</v>
      </c>
      <c r="J1121">
        <v>3</v>
      </c>
      <c r="K1121">
        <v>650</v>
      </c>
      <c r="L1121">
        <v>0.1</v>
      </c>
      <c r="M1121">
        <v>1755</v>
      </c>
      <c r="N1121">
        <v>1170</v>
      </c>
      <c r="O1121">
        <v>585</v>
      </c>
    </row>
    <row r="1122" spans="1:15" x14ac:dyDescent="0.25">
      <c r="A1122" t="s">
        <v>2089</v>
      </c>
      <c r="B1122" s="2">
        <v>46778</v>
      </c>
      <c r="C1122" t="s">
        <v>1294</v>
      </c>
      <c r="D1122" t="s">
        <v>1295</v>
      </c>
      <c r="E1122" t="s">
        <v>39</v>
      </c>
      <c r="F1122" t="s">
        <v>71</v>
      </c>
      <c r="G1122" t="s">
        <v>51</v>
      </c>
      <c r="H1122" t="s">
        <v>52</v>
      </c>
      <c r="I1122" t="s">
        <v>53</v>
      </c>
      <c r="J1122">
        <v>3</v>
      </c>
      <c r="K1122">
        <v>2200</v>
      </c>
      <c r="L1122">
        <v>0</v>
      </c>
      <c r="M1122">
        <v>6600</v>
      </c>
      <c r="N1122">
        <v>4350</v>
      </c>
      <c r="O1122">
        <v>2250</v>
      </c>
    </row>
    <row r="1123" spans="1:15" x14ac:dyDescent="0.25">
      <c r="A1123" t="s">
        <v>2090</v>
      </c>
      <c r="B1123" s="2">
        <v>46779</v>
      </c>
      <c r="C1123" t="s">
        <v>284</v>
      </c>
      <c r="D1123" t="s">
        <v>285</v>
      </c>
      <c r="E1123" t="s">
        <v>18</v>
      </c>
      <c r="F1123" t="s">
        <v>94</v>
      </c>
      <c r="G1123" t="s">
        <v>51</v>
      </c>
      <c r="H1123" t="s">
        <v>21</v>
      </c>
      <c r="I1123" t="s">
        <v>116</v>
      </c>
      <c r="J1123">
        <v>4</v>
      </c>
      <c r="K1123">
        <v>1400</v>
      </c>
      <c r="L1123">
        <v>0.15</v>
      </c>
      <c r="M1123">
        <v>4760</v>
      </c>
      <c r="N1123">
        <v>3600</v>
      </c>
      <c r="O1123">
        <v>1160</v>
      </c>
    </row>
    <row r="1124" spans="1:15" x14ac:dyDescent="0.25">
      <c r="A1124" t="s">
        <v>2091</v>
      </c>
      <c r="B1124" s="2">
        <v>46780</v>
      </c>
      <c r="C1124" t="s">
        <v>2092</v>
      </c>
      <c r="D1124" t="s">
        <v>2093</v>
      </c>
      <c r="E1124" t="s">
        <v>26</v>
      </c>
      <c r="F1124" t="s">
        <v>204</v>
      </c>
      <c r="G1124" t="s">
        <v>57</v>
      </c>
      <c r="H1124" t="s">
        <v>58</v>
      </c>
      <c r="I1124" t="s">
        <v>59</v>
      </c>
      <c r="J1124">
        <v>1</v>
      </c>
      <c r="K1124">
        <v>5600</v>
      </c>
      <c r="L1124">
        <v>0.2</v>
      </c>
      <c r="M1124">
        <v>4480</v>
      </c>
      <c r="N1124">
        <v>3900</v>
      </c>
      <c r="O1124">
        <v>580</v>
      </c>
    </row>
    <row r="1125" spans="1:15" x14ac:dyDescent="0.25">
      <c r="A1125" t="s">
        <v>2094</v>
      </c>
      <c r="B1125" s="2">
        <v>46781</v>
      </c>
      <c r="C1125" t="s">
        <v>744</v>
      </c>
      <c r="D1125" t="s">
        <v>745</v>
      </c>
      <c r="E1125" t="s">
        <v>39</v>
      </c>
      <c r="F1125" t="s">
        <v>76</v>
      </c>
      <c r="G1125" t="s">
        <v>20</v>
      </c>
      <c r="H1125" t="s">
        <v>21</v>
      </c>
      <c r="I1125" t="s">
        <v>22</v>
      </c>
      <c r="J1125">
        <v>4</v>
      </c>
      <c r="K1125">
        <v>650</v>
      </c>
      <c r="L1125">
        <v>0.1</v>
      </c>
      <c r="M1125">
        <v>2340</v>
      </c>
      <c r="N1125">
        <v>1560</v>
      </c>
      <c r="O1125">
        <v>780</v>
      </c>
    </row>
    <row r="1126" spans="1:15" x14ac:dyDescent="0.25">
      <c r="A1126" t="s">
        <v>2095</v>
      </c>
      <c r="B1126" s="2">
        <v>46782</v>
      </c>
      <c r="C1126" t="s">
        <v>1742</v>
      </c>
      <c r="D1126" t="s">
        <v>1743</v>
      </c>
      <c r="E1126" t="s">
        <v>26</v>
      </c>
      <c r="F1126" t="s">
        <v>34</v>
      </c>
      <c r="G1126" t="s">
        <v>51</v>
      </c>
      <c r="H1126" t="s">
        <v>52</v>
      </c>
      <c r="I1126" t="s">
        <v>208</v>
      </c>
      <c r="J1126">
        <v>2</v>
      </c>
      <c r="K1126">
        <v>2800</v>
      </c>
      <c r="L1126">
        <v>0</v>
      </c>
      <c r="M1126">
        <v>5600</v>
      </c>
      <c r="N1126">
        <v>3600</v>
      </c>
      <c r="O1126">
        <v>2000</v>
      </c>
    </row>
    <row r="1127" spans="1:15" x14ac:dyDescent="0.25">
      <c r="A1127" t="s">
        <v>2096</v>
      </c>
      <c r="B1127" s="2">
        <v>46783</v>
      </c>
      <c r="C1127" t="s">
        <v>977</v>
      </c>
      <c r="D1127" t="s">
        <v>978</v>
      </c>
      <c r="E1127" t="s">
        <v>26</v>
      </c>
      <c r="F1127" t="s">
        <v>204</v>
      </c>
      <c r="G1127" t="s">
        <v>28</v>
      </c>
      <c r="H1127" t="s">
        <v>29</v>
      </c>
      <c r="I1127" t="s">
        <v>35</v>
      </c>
      <c r="J1127">
        <v>5</v>
      </c>
      <c r="K1127">
        <v>4200</v>
      </c>
      <c r="L1127">
        <v>0.05</v>
      </c>
      <c r="M1127">
        <v>19950</v>
      </c>
      <c r="N1127">
        <v>14500</v>
      </c>
      <c r="O1127">
        <v>5450</v>
      </c>
    </row>
    <row r="1128" spans="1:15" x14ac:dyDescent="0.25">
      <c r="A1128" t="s">
        <v>2097</v>
      </c>
      <c r="B1128" s="2">
        <v>46784</v>
      </c>
      <c r="C1128" t="s">
        <v>219</v>
      </c>
      <c r="D1128" t="s">
        <v>220</v>
      </c>
      <c r="E1128" t="s">
        <v>39</v>
      </c>
      <c r="F1128" t="s">
        <v>76</v>
      </c>
      <c r="G1128" t="s">
        <v>51</v>
      </c>
      <c r="H1128" t="s">
        <v>21</v>
      </c>
      <c r="I1128" t="s">
        <v>80</v>
      </c>
      <c r="J1128">
        <v>2</v>
      </c>
      <c r="K1128">
        <v>850</v>
      </c>
      <c r="L1128">
        <v>0.05</v>
      </c>
      <c r="M1128">
        <v>1615</v>
      </c>
      <c r="N1128">
        <v>1120</v>
      </c>
      <c r="O1128">
        <v>495</v>
      </c>
    </row>
    <row r="1129" spans="1:15" x14ac:dyDescent="0.25">
      <c r="A1129" t="s">
        <v>2098</v>
      </c>
      <c r="B1129" s="2">
        <v>46785</v>
      </c>
      <c r="C1129" t="s">
        <v>2099</v>
      </c>
      <c r="D1129" t="s">
        <v>2100</v>
      </c>
      <c r="E1129" t="s">
        <v>39</v>
      </c>
      <c r="F1129" t="s">
        <v>40</v>
      </c>
      <c r="G1129" t="s">
        <v>51</v>
      </c>
      <c r="H1129" t="s">
        <v>52</v>
      </c>
      <c r="I1129" t="s">
        <v>53</v>
      </c>
      <c r="J1129">
        <v>1</v>
      </c>
      <c r="K1129">
        <v>2200</v>
      </c>
      <c r="L1129">
        <v>0</v>
      </c>
      <c r="M1129">
        <v>2200</v>
      </c>
      <c r="N1129">
        <v>1450</v>
      </c>
      <c r="O1129">
        <v>750</v>
      </c>
    </row>
    <row r="1130" spans="1:15" x14ac:dyDescent="0.25">
      <c r="A1130" t="s">
        <v>2101</v>
      </c>
      <c r="B1130" s="2">
        <v>46786</v>
      </c>
      <c r="C1130" t="s">
        <v>2102</v>
      </c>
      <c r="D1130" t="s">
        <v>2103</v>
      </c>
      <c r="E1130" t="s">
        <v>39</v>
      </c>
      <c r="F1130" t="s">
        <v>76</v>
      </c>
      <c r="G1130" t="s">
        <v>51</v>
      </c>
      <c r="H1130" t="s">
        <v>21</v>
      </c>
      <c r="I1130" t="s">
        <v>80</v>
      </c>
      <c r="J1130">
        <v>4</v>
      </c>
      <c r="K1130">
        <v>850</v>
      </c>
      <c r="L1130">
        <v>0</v>
      </c>
      <c r="M1130">
        <v>3400</v>
      </c>
      <c r="N1130">
        <v>2240</v>
      </c>
      <c r="O1130">
        <v>1160</v>
      </c>
    </row>
    <row r="1131" spans="1:15" x14ac:dyDescent="0.25">
      <c r="A1131" t="s">
        <v>2104</v>
      </c>
      <c r="B1131" s="2">
        <v>46787</v>
      </c>
      <c r="C1131" t="s">
        <v>694</v>
      </c>
      <c r="D1131" t="s">
        <v>695</v>
      </c>
      <c r="E1131" t="s">
        <v>39</v>
      </c>
      <c r="F1131" t="s">
        <v>71</v>
      </c>
      <c r="G1131" t="s">
        <v>28</v>
      </c>
      <c r="H1131" t="s">
        <v>29</v>
      </c>
      <c r="I1131" t="s">
        <v>47</v>
      </c>
      <c r="J1131">
        <v>5</v>
      </c>
      <c r="K1131">
        <v>6800</v>
      </c>
      <c r="L1131">
        <v>0.1</v>
      </c>
      <c r="M1131">
        <v>30600</v>
      </c>
      <c r="N1131">
        <v>23500</v>
      </c>
      <c r="O1131">
        <v>7100</v>
      </c>
    </row>
    <row r="1132" spans="1:15" x14ac:dyDescent="0.25">
      <c r="A1132" t="s">
        <v>2105</v>
      </c>
      <c r="B1132" s="2">
        <v>46788</v>
      </c>
      <c r="C1132" t="s">
        <v>994</v>
      </c>
      <c r="D1132" t="s">
        <v>995</v>
      </c>
      <c r="E1132" t="s">
        <v>26</v>
      </c>
      <c r="F1132" t="s">
        <v>34</v>
      </c>
      <c r="G1132" t="s">
        <v>20</v>
      </c>
      <c r="H1132" t="s">
        <v>21</v>
      </c>
      <c r="I1132" t="s">
        <v>22</v>
      </c>
      <c r="J1132">
        <v>4</v>
      </c>
      <c r="K1132">
        <v>650</v>
      </c>
      <c r="L1132">
        <v>0.1</v>
      </c>
      <c r="M1132">
        <v>2340</v>
      </c>
      <c r="N1132">
        <v>1560</v>
      </c>
      <c r="O1132">
        <v>780</v>
      </c>
    </row>
    <row r="1133" spans="1:15" x14ac:dyDescent="0.25">
      <c r="A1133" t="s">
        <v>2106</v>
      </c>
      <c r="B1133" s="2">
        <v>46789</v>
      </c>
      <c r="C1133" t="s">
        <v>1243</v>
      </c>
      <c r="D1133" t="s">
        <v>1244</v>
      </c>
      <c r="E1133" t="s">
        <v>26</v>
      </c>
      <c r="F1133" t="s">
        <v>128</v>
      </c>
      <c r="G1133" t="s">
        <v>51</v>
      </c>
      <c r="H1133" t="s">
        <v>21</v>
      </c>
      <c r="I1133" t="s">
        <v>116</v>
      </c>
      <c r="J1133">
        <v>2</v>
      </c>
      <c r="K1133">
        <v>1400</v>
      </c>
      <c r="L1133">
        <v>0</v>
      </c>
      <c r="M1133">
        <v>2800</v>
      </c>
      <c r="N1133">
        <v>1800</v>
      </c>
      <c r="O1133">
        <v>1000</v>
      </c>
    </row>
    <row r="1134" spans="1:15" x14ac:dyDescent="0.25">
      <c r="A1134" t="s">
        <v>2107</v>
      </c>
      <c r="B1134" s="2">
        <v>46790</v>
      </c>
      <c r="C1134" t="s">
        <v>180</v>
      </c>
      <c r="D1134" t="s">
        <v>181</v>
      </c>
      <c r="E1134" t="s">
        <v>26</v>
      </c>
      <c r="F1134" t="s">
        <v>46</v>
      </c>
      <c r="G1134" t="s">
        <v>51</v>
      </c>
      <c r="H1134" t="s">
        <v>52</v>
      </c>
      <c r="I1134" t="s">
        <v>53</v>
      </c>
      <c r="J1134">
        <v>3</v>
      </c>
      <c r="K1134">
        <v>2200</v>
      </c>
      <c r="L1134">
        <v>0.1</v>
      </c>
      <c r="M1134">
        <v>5940</v>
      </c>
      <c r="N1134">
        <v>4350</v>
      </c>
      <c r="O1134">
        <v>1590</v>
      </c>
    </row>
    <row r="1135" spans="1:15" x14ac:dyDescent="0.25">
      <c r="A1135" t="s">
        <v>2108</v>
      </c>
      <c r="B1135" s="2">
        <v>46791</v>
      </c>
      <c r="C1135" t="s">
        <v>308</v>
      </c>
      <c r="D1135" t="s">
        <v>309</v>
      </c>
      <c r="E1135" t="s">
        <v>26</v>
      </c>
      <c r="F1135" t="s">
        <v>27</v>
      </c>
      <c r="G1135" t="s">
        <v>57</v>
      </c>
      <c r="H1135" t="s">
        <v>58</v>
      </c>
      <c r="I1135" t="s">
        <v>129</v>
      </c>
      <c r="J1135">
        <v>5</v>
      </c>
      <c r="K1135">
        <v>4800</v>
      </c>
      <c r="L1135">
        <v>0.15</v>
      </c>
      <c r="M1135">
        <v>20400</v>
      </c>
      <c r="N1135">
        <v>16500</v>
      </c>
      <c r="O1135">
        <v>3900</v>
      </c>
    </row>
    <row r="1136" spans="1:15" x14ac:dyDescent="0.25">
      <c r="A1136" t="s">
        <v>2109</v>
      </c>
      <c r="B1136" s="2">
        <v>46792</v>
      </c>
      <c r="C1136" t="s">
        <v>926</v>
      </c>
      <c r="D1136" t="s">
        <v>927</v>
      </c>
      <c r="E1136" t="s">
        <v>26</v>
      </c>
      <c r="F1136" t="s">
        <v>204</v>
      </c>
      <c r="G1136" t="s">
        <v>20</v>
      </c>
      <c r="H1136" t="s">
        <v>41</v>
      </c>
      <c r="I1136" t="s">
        <v>42</v>
      </c>
      <c r="J1136">
        <v>1</v>
      </c>
      <c r="K1136">
        <v>520</v>
      </c>
      <c r="L1136">
        <v>0.1</v>
      </c>
      <c r="M1136">
        <v>468</v>
      </c>
      <c r="N1136">
        <v>330</v>
      </c>
      <c r="O1136">
        <v>138</v>
      </c>
    </row>
    <row r="1137" spans="1:15" x14ac:dyDescent="0.25">
      <c r="A1137" t="s">
        <v>2110</v>
      </c>
      <c r="B1137" s="2">
        <v>46793</v>
      </c>
      <c r="C1137" t="s">
        <v>2111</v>
      </c>
      <c r="D1137" t="s">
        <v>2112</v>
      </c>
      <c r="E1137" t="s">
        <v>39</v>
      </c>
      <c r="F1137" t="s">
        <v>76</v>
      </c>
      <c r="G1137" t="s">
        <v>20</v>
      </c>
      <c r="H1137" t="s">
        <v>84</v>
      </c>
      <c r="I1137" t="s">
        <v>210</v>
      </c>
      <c r="J1137">
        <v>1</v>
      </c>
      <c r="K1137">
        <v>300</v>
      </c>
      <c r="L1137">
        <v>0.05</v>
      </c>
      <c r="M1137">
        <v>285</v>
      </c>
      <c r="N1137">
        <v>170</v>
      </c>
      <c r="O1137">
        <v>115</v>
      </c>
    </row>
    <row r="1138" spans="1:15" x14ac:dyDescent="0.25">
      <c r="A1138" t="s">
        <v>2113</v>
      </c>
      <c r="B1138" s="2">
        <v>46794</v>
      </c>
      <c r="C1138" t="s">
        <v>1502</v>
      </c>
      <c r="D1138" t="s">
        <v>1503</v>
      </c>
      <c r="E1138" t="s">
        <v>39</v>
      </c>
      <c r="F1138" t="s">
        <v>71</v>
      </c>
      <c r="G1138" t="s">
        <v>20</v>
      </c>
      <c r="H1138" t="s">
        <v>41</v>
      </c>
      <c r="I1138" t="s">
        <v>42</v>
      </c>
      <c r="J1138">
        <v>5</v>
      </c>
      <c r="K1138">
        <v>520</v>
      </c>
      <c r="L1138">
        <v>0.1</v>
      </c>
      <c r="M1138">
        <v>2340</v>
      </c>
      <c r="N1138">
        <v>1650</v>
      </c>
      <c r="O1138">
        <v>690</v>
      </c>
    </row>
    <row r="1139" spans="1:15" x14ac:dyDescent="0.25">
      <c r="A1139" t="s">
        <v>2114</v>
      </c>
      <c r="B1139" s="2">
        <v>46795</v>
      </c>
      <c r="C1139" t="s">
        <v>775</v>
      </c>
      <c r="D1139" t="s">
        <v>776</v>
      </c>
      <c r="E1139" t="s">
        <v>39</v>
      </c>
      <c r="F1139" t="s">
        <v>76</v>
      </c>
      <c r="G1139" t="s">
        <v>20</v>
      </c>
      <c r="H1139" t="s">
        <v>84</v>
      </c>
      <c r="I1139" t="s">
        <v>210</v>
      </c>
      <c r="J1139">
        <v>3</v>
      </c>
      <c r="K1139">
        <v>300</v>
      </c>
      <c r="L1139">
        <v>0.15</v>
      </c>
      <c r="M1139">
        <v>765</v>
      </c>
      <c r="N1139">
        <v>510</v>
      </c>
      <c r="O1139">
        <v>255</v>
      </c>
    </row>
    <row r="1140" spans="1:15" x14ac:dyDescent="0.25">
      <c r="A1140" t="s">
        <v>2115</v>
      </c>
      <c r="B1140" s="2">
        <v>46796</v>
      </c>
      <c r="C1140" t="s">
        <v>1253</v>
      </c>
      <c r="D1140" t="s">
        <v>1254</v>
      </c>
      <c r="E1140" t="s">
        <v>96</v>
      </c>
      <c r="F1140" t="s">
        <v>120</v>
      </c>
      <c r="G1140" t="s">
        <v>51</v>
      </c>
      <c r="H1140" t="s">
        <v>52</v>
      </c>
      <c r="I1140" t="s">
        <v>208</v>
      </c>
      <c r="J1140">
        <v>1</v>
      </c>
      <c r="K1140">
        <v>2800</v>
      </c>
      <c r="L1140">
        <v>0.05</v>
      </c>
      <c r="M1140">
        <v>2660</v>
      </c>
      <c r="N1140">
        <v>1800</v>
      </c>
      <c r="O1140">
        <v>860</v>
      </c>
    </row>
    <row r="1141" spans="1:15" x14ac:dyDescent="0.25">
      <c r="A1141" t="s">
        <v>2116</v>
      </c>
      <c r="B1141" s="2">
        <v>46797</v>
      </c>
      <c r="C1141" t="s">
        <v>69</v>
      </c>
      <c r="D1141" t="s">
        <v>70</v>
      </c>
      <c r="E1141" t="s">
        <v>96</v>
      </c>
      <c r="F1141" t="s">
        <v>200</v>
      </c>
      <c r="G1141" t="s">
        <v>51</v>
      </c>
      <c r="H1141" t="s">
        <v>52</v>
      </c>
      <c r="I1141" t="s">
        <v>208</v>
      </c>
      <c r="J1141">
        <v>2</v>
      </c>
      <c r="K1141">
        <v>2800</v>
      </c>
      <c r="L1141">
        <v>0.05</v>
      </c>
      <c r="M1141">
        <v>5320</v>
      </c>
      <c r="N1141">
        <v>3600</v>
      </c>
      <c r="O1141">
        <v>1720</v>
      </c>
    </row>
    <row r="1142" spans="1:15" x14ac:dyDescent="0.25">
      <c r="A1142" t="s">
        <v>2117</v>
      </c>
      <c r="B1142" s="2">
        <v>46798</v>
      </c>
      <c r="C1142" t="s">
        <v>206</v>
      </c>
      <c r="D1142" t="s">
        <v>207</v>
      </c>
      <c r="E1142" t="s">
        <v>26</v>
      </c>
      <c r="F1142" t="s">
        <v>27</v>
      </c>
      <c r="G1142" t="s">
        <v>20</v>
      </c>
      <c r="H1142" t="s">
        <v>84</v>
      </c>
      <c r="I1142" t="s">
        <v>169</v>
      </c>
      <c r="J1142">
        <v>5</v>
      </c>
      <c r="K1142">
        <v>450</v>
      </c>
      <c r="L1142">
        <v>0</v>
      </c>
      <c r="M1142">
        <v>2250</v>
      </c>
      <c r="N1142">
        <v>1300</v>
      </c>
      <c r="O1142">
        <v>950</v>
      </c>
    </row>
    <row r="1143" spans="1:15" x14ac:dyDescent="0.25">
      <c r="A1143" t="s">
        <v>2118</v>
      </c>
      <c r="B1143" s="2">
        <v>46799</v>
      </c>
      <c r="C1143" t="s">
        <v>893</v>
      </c>
      <c r="D1143" t="s">
        <v>894</v>
      </c>
      <c r="E1143" t="s">
        <v>26</v>
      </c>
      <c r="F1143" t="s">
        <v>27</v>
      </c>
      <c r="G1143" t="s">
        <v>57</v>
      </c>
      <c r="H1143" t="s">
        <v>58</v>
      </c>
      <c r="I1143" t="s">
        <v>59</v>
      </c>
      <c r="J1143">
        <v>3</v>
      </c>
      <c r="K1143">
        <v>5600</v>
      </c>
      <c r="L1143">
        <v>0.15</v>
      </c>
      <c r="M1143">
        <v>14280</v>
      </c>
      <c r="N1143">
        <v>11700</v>
      </c>
      <c r="O1143">
        <v>2580</v>
      </c>
    </row>
    <row r="1144" spans="1:15" x14ac:dyDescent="0.25">
      <c r="A1144" t="s">
        <v>2119</v>
      </c>
      <c r="B1144" s="2">
        <v>46800</v>
      </c>
      <c r="C1144" t="s">
        <v>1699</v>
      </c>
      <c r="D1144" t="s">
        <v>1700</v>
      </c>
      <c r="E1144" t="s">
        <v>26</v>
      </c>
      <c r="F1144" t="s">
        <v>34</v>
      </c>
      <c r="G1144" t="s">
        <v>57</v>
      </c>
      <c r="H1144" t="s">
        <v>188</v>
      </c>
      <c r="I1144" t="s">
        <v>189</v>
      </c>
      <c r="J1144">
        <v>5</v>
      </c>
      <c r="K1144">
        <v>6200</v>
      </c>
      <c r="L1144">
        <v>0.1</v>
      </c>
      <c r="M1144">
        <v>27900</v>
      </c>
      <c r="N1144">
        <v>21500</v>
      </c>
      <c r="O1144">
        <v>6400</v>
      </c>
    </row>
    <row r="1145" spans="1:15" x14ac:dyDescent="0.25">
      <c r="A1145" t="s">
        <v>2120</v>
      </c>
      <c r="B1145" s="2">
        <v>46801</v>
      </c>
      <c r="C1145" t="s">
        <v>1259</v>
      </c>
      <c r="D1145" t="s">
        <v>1260</v>
      </c>
      <c r="E1145" t="s">
        <v>96</v>
      </c>
      <c r="F1145" t="s">
        <v>200</v>
      </c>
      <c r="G1145" t="s">
        <v>51</v>
      </c>
      <c r="H1145" t="s">
        <v>21</v>
      </c>
      <c r="I1145" t="s">
        <v>116</v>
      </c>
      <c r="J1145">
        <v>5</v>
      </c>
      <c r="K1145">
        <v>1400</v>
      </c>
      <c r="L1145">
        <v>0.05</v>
      </c>
      <c r="M1145">
        <v>6650</v>
      </c>
      <c r="N1145">
        <v>4500</v>
      </c>
      <c r="O1145">
        <v>2150</v>
      </c>
    </row>
    <row r="1146" spans="1:15" x14ac:dyDescent="0.25">
      <c r="A1146" t="s">
        <v>2121</v>
      </c>
      <c r="B1146" s="2">
        <v>46802</v>
      </c>
      <c r="C1146" t="s">
        <v>55</v>
      </c>
      <c r="D1146" t="s">
        <v>56</v>
      </c>
      <c r="E1146" t="s">
        <v>26</v>
      </c>
      <c r="F1146" t="s">
        <v>128</v>
      </c>
      <c r="G1146" t="s">
        <v>51</v>
      </c>
      <c r="H1146" t="s">
        <v>21</v>
      </c>
      <c r="I1146" t="s">
        <v>116</v>
      </c>
      <c r="J1146">
        <v>5</v>
      </c>
      <c r="K1146">
        <v>1400</v>
      </c>
      <c r="L1146">
        <v>0.25</v>
      </c>
      <c r="M1146">
        <v>5250</v>
      </c>
      <c r="N1146">
        <v>4500</v>
      </c>
      <c r="O1146">
        <v>750</v>
      </c>
    </row>
    <row r="1147" spans="1:15" x14ac:dyDescent="0.25">
      <c r="A1147" t="s">
        <v>2122</v>
      </c>
      <c r="B1147" s="2">
        <v>46803</v>
      </c>
      <c r="C1147" t="s">
        <v>547</v>
      </c>
      <c r="D1147" t="s">
        <v>548</v>
      </c>
      <c r="E1147" t="s">
        <v>96</v>
      </c>
      <c r="F1147" t="s">
        <v>196</v>
      </c>
      <c r="G1147" t="s">
        <v>51</v>
      </c>
      <c r="H1147" t="s">
        <v>21</v>
      </c>
      <c r="I1147" t="s">
        <v>72</v>
      </c>
      <c r="J1147">
        <v>2</v>
      </c>
      <c r="K1147">
        <v>1800</v>
      </c>
      <c r="L1147">
        <v>0.1</v>
      </c>
      <c r="M1147">
        <v>3240</v>
      </c>
      <c r="N1147">
        <v>2200</v>
      </c>
      <c r="O1147">
        <v>1040</v>
      </c>
    </row>
    <row r="1148" spans="1:15" x14ac:dyDescent="0.25">
      <c r="A1148" t="s">
        <v>2123</v>
      </c>
      <c r="B1148" s="2">
        <v>46804</v>
      </c>
      <c r="C1148" t="s">
        <v>1657</v>
      </c>
      <c r="D1148" t="s">
        <v>1658</v>
      </c>
      <c r="E1148" t="s">
        <v>96</v>
      </c>
      <c r="F1148" t="s">
        <v>97</v>
      </c>
      <c r="G1148" t="s">
        <v>28</v>
      </c>
      <c r="H1148" t="s">
        <v>63</v>
      </c>
      <c r="I1148" t="s">
        <v>64</v>
      </c>
      <c r="J1148">
        <v>4</v>
      </c>
      <c r="K1148">
        <v>2400</v>
      </c>
      <c r="L1148">
        <v>0</v>
      </c>
      <c r="M1148">
        <v>9600</v>
      </c>
      <c r="N1148">
        <v>6600</v>
      </c>
      <c r="O1148">
        <v>3000</v>
      </c>
    </row>
    <row r="1149" spans="1:15" x14ac:dyDescent="0.25">
      <c r="A1149" t="s">
        <v>2124</v>
      </c>
      <c r="B1149" s="2">
        <v>46805</v>
      </c>
      <c r="C1149" t="s">
        <v>2125</v>
      </c>
      <c r="D1149" t="s">
        <v>2126</v>
      </c>
      <c r="E1149" t="s">
        <v>26</v>
      </c>
      <c r="F1149" t="s">
        <v>34</v>
      </c>
      <c r="G1149" t="s">
        <v>57</v>
      </c>
      <c r="H1149" t="s">
        <v>58</v>
      </c>
      <c r="I1149" t="s">
        <v>129</v>
      </c>
      <c r="J1149">
        <v>1</v>
      </c>
      <c r="K1149">
        <v>4800</v>
      </c>
      <c r="L1149">
        <v>0.2</v>
      </c>
      <c r="M1149">
        <v>3840</v>
      </c>
      <c r="N1149">
        <v>3300</v>
      </c>
      <c r="O1149">
        <v>540</v>
      </c>
    </row>
    <row r="1150" spans="1:15" x14ac:dyDescent="0.25">
      <c r="A1150" t="s">
        <v>2127</v>
      </c>
      <c r="B1150" s="2">
        <v>46806</v>
      </c>
      <c r="C1150" t="s">
        <v>703</v>
      </c>
      <c r="D1150" t="s">
        <v>704</v>
      </c>
      <c r="E1150" t="s">
        <v>96</v>
      </c>
      <c r="F1150" t="s">
        <v>97</v>
      </c>
      <c r="G1150" t="s">
        <v>51</v>
      </c>
      <c r="H1150" t="s">
        <v>21</v>
      </c>
      <c r="I1150" t="s">
        <v>116</v>
      </c>
      <c r="J1150">
        <v>5</v>
      </c>
      <c r="K1150">
        <v>1400</v>
      </c>
      <c r="L1150">
        <v>0.1</v>
      </c>
      <c r="M1150">
        <v>6300</v>
      </c>
      <c r="N1150">
        <v>4500</v>
      </c>
      <c r="O1150">
        <v>1800</v>
      </c>
    </row>
    <row r="1151" spans="1:15" x14ac:dyDescent="0.25">
      <c r="A1151" t="s">
        <v>2128</v>
      </c>
      <c r="B1151" s="2">
        <v>46807</v>
      </c>
      <c r="C1151" t="s">
        <v>1714</v>
      </c>
      <c r="D1151" t="s">
        <v>1715</v>
      </c>
      <c r="E1151" t="s">
        <v>26</v>
      </c>
      <c r="F1151" t="s">
        <v>34</v>
      </c>
      <c r="G1151" t="s">
        <v>28</v>
      </c>
      <c r="H1151" t="s">
        <v>29</v>
      </c>
      <c r="I1151" t="s">
        <v>30</v>
      </c>
      <c r="J1151">
        <v>1</v>
      </c>
      <c r="K1151">
        <v>1900</v>
      </c>
      <c r="L1151">
        <v>0.2</v>
      </c>
      <c r="M1151">
        <v>1520</v>
      </c>
      <c r="N1151">
        <v>1250</v>
      </c>
      <c r="O1151">
        <v>270</v>
      </c>
    </row>
    <row r="1152" spans="1:15" x14ac:dyDescent="0.25">
      <c r="A1152" t="s">
        <v>2129</v>
      </c>
      <c r="B1152" s="2">
        <v>46808</v>
      </c>
      <c r="C1152" t="s">
        <v>1847</v>
      </c>
      <c r="D1152" t="s">
        <v>1848</v>
      </c>
      <c r="E1152" t="s">
        <v>96</v>
      </c>
      <c r="F1152" t="s">
        <v>120</v>
      </c>
      <c r="G1152" t="s">
        <v>51</v>
      </c>
      <c r="H1152" t="s">
        <v>21</v>
      </c>
      <c r="I1152" t="s">
        <v>80</v>
      </c>
      <c r="J1152">
        <v>4</v>
      </c>
      <c r="K1152">
        <v>850</v>
      </c>
      <c r="L1152">
        <v>0.15</v>
      </c>
      <c r="M1152">
        <v>2890</v>
      </c>
      <c r="N1152">
        <v>2240</v>
      </c>
      <c r="O1152">
        <v>650</v>
      </c>
    </row>
    <row r="1153" spans="1:15" x14ac:dyDescent="0.25">
      <c r="A1153" t="s">
        <v>2130</v>
      </c>
      <c r="B1153" s="2">
        <v>46809</v>
      </c>
      <c r="C1153" t="s">
        <v>2131</v>
      </c>
      <c r="D1153" t="s">
        <v>2132</v>
      </c>
      <c r="E1153" t="s">
        <v>26</v>
      </c>
      <c r="F1153" t="s">
        <v>204</v>
      </c>
      <c r="G1153" t="s">
        <v>57</v>
      </c>
      <c r="H1153" t="s">
        <v>58</v>
      </c>
      <c r="I1153" t="s">
        <v>129</v>
      </c>
      <c r="J1153">
        <v>2</v>
      </c>
      <c r="K1153">
        <v>4800</v>
      </c>
      <c r="L1153">
        <v>0.1</v>
      </c>
      <c r="M1153">
        <v>8640</v>
      </c>
      <c r="N1153">
        <v>6600</v>
      </c>
      <c r="O1153">
        <v>2040</v>
      </c>
    </row>
    <row r="1154" spans="1:15" x14ac:dyDescent="0.25">
      <c r="A1154" t="s">
        <v>2133</v>
      </c>
      <c r="B1154" s="2">
        <v>46810</v>
      </c>
      <c r="C1154" t="s">
        <v>1739</v>
      </c>
      <c r="D1154" t="s">
        <v>1740</v>
      </c>
      <c r="E1154" t="s">
        <v>39</v>
      </c>
      <c r="F1154" t="s">
        <v>76</v>
      </c>
      <c r="G1154" t="s">
        <v>20</v>
      </c>
      <c r="H1154" t="s">
        <v>84</v>
      </c>
      <c r="I1154" t="s">
        <v>169</v>
      </c>
      <c r="J1154">
        <v>5</v>
      </c>
      <c r="K1154">
        <v>450</v>
      </c>
      <c r="L1154">
        <v>0.15</v>
      </c>
      <c r="M1154">
        <v>1912.5</v>
      </c>
      <c r="N1154">
        <v>1300</v>
      </c>
      <c r="O1154">
        <v>612.5</v>
      </c>
    </row>
    <row r="1155" spans="1:15" x14ac:dyDescent="0.25">
      <c r="A1155" t="s">
        <v>2134</v>
      </c>
      <c r="B1155" s="2">
        <v>46811</v>
      </c>
      <c r="C1155" t="s">
        <v>1641</v>
      </c>
      <c r="D1155" t="s">
        <v>1642</v>
      </c>
      <c r="E1155" t="s">
        <v>39</v>
      </c>
      <c r="F1155" t="s">
        <v>40</v>
      </c>
      <c r="G1155" t="s">
        <v>51</v>
      </c>
      <c r="H1155" t="s">
        <v>52</v>
      </c>
      <c r="I1155" t="s">
        <v>208</v>
      </c>
      <c r="J1155">
        <v>1</v>
      </c>
      <c r="K1155">
        <v>2800</v>
      </c>
      <c r="L1155">
        <v>0.1</v>
      </c>
      <c r="M1155">
        <v>2520</v>
      </c>
      <c r="N1155">
        <v>1800</v>
      </c>
      <c r="O1155">
        <v>720</v>
      </c>
    </row>
    <row r="1156" spans="1:15" x14ac:dyDescent="0.25">
      <c r="A1156" t="s">
        <v>2135</v>
      </c>
      <c r="B1156" s="2">
        <v>46812</v>
      </c>
      <c r="C1156" t="s">
        <v>2136</v>
      </c>
      <c r="D1156" t="s">
        <v>2137</v>
      </c>
      <c r="E1156" t="s">
        <v>39</v>
      </c>
      <c r="F1156" t="s">
        <v>71</v>
      </c>
      <c r="G1156" t="s">
        <v>28</v>
      </c>
      <c r="H1156" t="s">
        <v>63</v>
      </c>
      <c r="I1156" t="s">
        <v>64</v>
      </c>
      <c r="J1156">
        <v>2</v>
      </c>
      <c r="K1156">
        <v>2400</v>
      </c>
      <c r="L1156">
        <v>0.1</v>
      </c>
      <c r="M1156">
        <v>4320</v>
      </c>
      <c r="N1156">
        <v>3300</v>
      </c>
      <c r="O1156">
        <v>1020</v>
      </c>
    </row>
    <row r="1157" spans="1:15" x14ac:dyDescent="0.25">
      <c r="A1157" t="s">
        <v>2138</v>
      </c>
      <c r="B1157" s="2">
        <v>46813</v>
      </c>
      <c r="C1157" t="s">
        <v>1679</v>
      </c>
      <c r="D1157" t="s">
        <v>1680</v>
      </c>
      <c r="E1157" t="s">
        <v>39</v>
      </c>
      <c r="F1157" t="s">
        <v>124</v>
      </c>
      <c r="G1157" t="s">
        <v>57</v>
      </c>
      <c r="H1157" t="s">
        <v>58</v>
      </c>
      <c r="I1157" t="s">
        <v>59</v>
      </c>
      <c r="J1157">
        <v>5</v>
      </c>
      <c r="K1157">
        <v>5600</v>
      </c>
      <c r="L1157">
        <v>0.1</v>
      </c>
      <c r="M1157">
        <v>25200</v>
      </c>
      <c r="N1157">
        <v>19500</v>
      </c>
      <c r="O1157">
        <v>5700</v>
      </c>
    </row>
    <row r="1158" spans="1:15" x14ac:dyDescent="0.25">
      <c r="A1158" t="s">
        <v>2139</v>
      </c>
      <c r="B1158" s="2">
        <v>46814</v>
      </c>
      <c r="C1158" t="s">
        <v>381</v>
      </c>
      <c r="D1158" t="s">
        <v>382</v>
      </c>
      <c r="E1158" t="s">
        <v>26</v>
      </c>
      <c r="F1158" t="s">
        <v>34</v>
      </c>
      <c r="G1158" t="s">
        <v>20</v>
      </c>
      <c r="H1158" t="s">
        <v>84</v>
      </c>
      <c r="I1158" t="s">
        <v>169</v>
      </c>
      <c r="J1158">
        <v>5</v>
      </c>
      <c r="K1158">
        <v>450</v>
      </c>
      <c r="L1158">
        <v>0.05</v>
      </c>
      <c r="M1158">
        <v>2137.5</v>
      </c>
      <c r="N1158">
        <v>1300</v>
      </c>
      <c r="O1158">
        <v>837.5</v>
      </c>
    </row>
    <row r="1159" spans="1:15" x14ac:dyDescent="0.25">
      <c r="A1159" t="s">
        <v>2140</v>
      </c>
      <c r="B1159" s="2">
        <v>46815</v>
      </c>
      <c r="C1159" t="s">
        <v>1897</v>
      </c>
      <c r="D1159" t="s">
        <v>1898</v>
      </c>
      <c r="E1159" t="s">
        <v>96</v>
      </c>
      <c r="F1159" t="s">
        <v>200</v>
      </c>
      <c r="G1159" t="s">
        <v>57</v>
      </c>
      <c r="H1159" t="s">
        <v>58</v>
      </c>
      <c r="I1159" t="s">
        <v>59</v>
      </c>
      <c r="J1159">
        <v>5</v>
      </c>
      <c r="K1159">
        <v>5600</v>
      </c>
      <c r="L1159">
        <v>0.1</v>
      </c>
      <c r="M1159">
        <v>25200</v>
      </c>
      <c r="N1159">
        <v>19500</v>
      </c>
      <c r="O1159">
        <v>5700</v>
      </c>
    </row>
    <row r="1160" spans="1:15" x14ac:dyDescent="0.25">
      <c r="A1160" t="s">
        <v>2141</v>
      </c>
      <c r="B1160" s="2">
        <v>46816</v>
      </c>
      <c r="C1160" t="s">
        <v>1231</v>
      </c>
      <c r="D1160" t="s">
        <v>1232</v>
      </c>
      <c r="E1160" t="s">
        <v>26</v>
      </c>
      <c r="F1160" t="s">
        <v>128</v>
      </c>
      <c r="G1160" t="s">
        <v>28</v>
      </c>
      <c r="H1160" t="s">
        <v>29</v>
      </c>
      <c r="I1160" t="s">
        <v>47</v>
      </c>
      <c r="J1160">
        <v>4</v>
      </c>
      <c r="K1160">
        <v>6800</v>
      </c>
      <c r="L1160">
        <v>0</v>
      </c>
      <c r="M1160">
        <v>27200</v>
      </c>
      <c r="N1160">
        <v>18800</v>
      </c>
      <c r="O1160">
        <v>8400</v>
      </c>
    </row>
    <row r="1161" spans="1:15" x14ac:dyDescent="0.25">
      <c r="A1161" t="s">
        <v>2142</v>
      </c>
      <c r="B1161" s="2">
        <v>46817</v>
      </c>
      <c r="C1161" t="s">
        <v>1046</v>
      </c>
      <c r="D1161" t="s">
        <v>1047</v>
      </c>
      <c r="E1161" t="s">
        <v>26</v>
      </c>
      <c r="F1161" t="s">
        <v>204</v>
      </c>
      <c r="G1161" t="s">
        <v>28</v>
      </c>
      <c r="H1161" t="s">
        <v>29</v>
      </c>
      <c r="I1161" t="s">
        <v>47</v>
      </c>
      <c r="J1161">
        <v>3</v>
      </c>
      <c r="K1161">
        <v>6800</v>
      </c>
      <c r="L1161">
        <v>0</v>
      </c>
      <c r="M1161">
        <v>20400</v>
      </c>
      <c r="N1161">
        <v>14100</v>
      </c>
      <c r="O1161">
        <v>6300</v>
      </c>
    </row>
    <row r="1162" spans="1:15" x14ac:dyDescent="0.25">
      <c r="A1162" t="s">
        <v>2143</v>
      </c>
      <c r="B1162" s="2">
        <v>46818</v>
      </c>
      <c r="C1162" t="s">
        <v>1714</v>
      </c>
      <c r="D1162" t="s">
        <v>1715</v>
      </c>
      <c r="E1162" t="s">
        <v>39</v>
      </c>
      <c r="F1162" t="s">
        <v>124</v>
      </c>
      <c r="G1162" t="s">
        <v>20</v>
      </c>
      <c r="H1162" t="s">
        <v>84</v>
      </c>
      <c r="I1162" t="s">
        <v>169</v>
      </c>
      <c r="J1162">
        <v>4</v>
      </c>
      <c r="K1162">
        <v>450</v>
      </c>
      <c r="L1162">
        <v>0.05</v>
      </c>
      <c r="M1162">
        <v>1710</v>
      </c>
      <c r="N1162">
        <v>1040</v>
      </c>
      <c r="O1162">
        <v>670</v>
      </c>
    </row>
    <row r="1163" spans="1:15" x14ac:dyDescent="0.25">
      <c r="A1163" t="s">
        <v>2144</v>
      </c>
      <c r="B1163" s="2">
        <v>46819</v>
      </c>
      <c r="C1163" t="s">
        <v>778</v>
      </c>
      <c r="D1163" t="s">
        <v>779</v>
      </c>
      <c r="E1163" t="s">
        <v>26</v>
      </c>
      <c r="F1163" t="s">
        <v>204</v>
      </c>
      <c r="G1163" t="s">
        <v>57</v>
      </c>
      <c r="H1163" t="s">
        <v>58</v>
      </c>
      <c r="I1163" t="s">
        <v>129</v>
      </c>
      <c r="J1163">
        <v>4</v>
      </c>
      <c r="K1163">
        <v>4800</v>
      </c>
      <c r="L1163">
        <v>0.1</v>
      </c>
      <c r="M1163">
        <v>17280</v>
      </c>
      <c r="N1163">
        <v>13200</v>
      </c>
      <c r="O1163">
        <v>4080</v>
      </c>
    </row>
    <row r="1164" spans="1:15" x14ac:dyDescent="0.25">
      <c r="A1164" t="s">
        <v>2145</v>
      </c>
      <c r="B1164" s="2">
        <v>46820</v>
      </c>
      <c r="C1164" t="s">
        <v>1019</v>
      </c>
      <c r="D1164" t="s">
        <v>1020</v>
      </c>
      <c r="E1164" t="s">
        <v>39</v>
      </c>
      <c r="F1164" t="s">
        <v>40</v>
      </c>
      <c r="G1164" t="s">
        <v>57</v>
      </c>
      <c r="H1164" t="s">
        <v>58</v>
      </c>
      <c r="I1164" t="s">
        <v>129</v>
      </c>
      <c r="J1164">
        <v>2</v>
      </c>
      <c r="K1164">
        <v>4800</v>
      </c>
      <c r="L1164">
        <v>0.05</v>
      </c>
      <c r="M1164">
        <v>9120</v>
      </c>
      <c r="N1164">
        <v>6600</v>
      </c>
      <c r="O1164">
        <v>2520</v>
      </c>
    </row>
    <row r="1165" spans="1:15" x14ac:dyDescent="0.25">
      <c r="A1165" t="s">
        <v>2146</v>
      </c>
      <c r="B1165" s="2">
        <v>46821</v>
      </c>
      <c r="C1165" t="s">
        <v>821</v>
      </c>
      <c r="D1165" t="s">
        <v>822</v>
      </c>
      <c r="E1165" t="s">
        <v>96</v>
      </c>
      <c r="F1165" t="s">
        <v>200</v>
      </c>
      <c r="G1165" t="s">
        <v>57</v>
      </c>
      <c r="H1165" t="s">
        <v>58</v>
      </c>
      <c r="I1165" t="s">
        <v>59</v>
      </c>
      <c r="J1165">
        <v>3</v>
      </c>
      <c r="K1165">
        <v>5600</v>
      </c>
      <c r="L1165">
        <v>0.15</v>
      </c>
      <c r="M1165">
        <v>14280</v>
      </c>
      <c r="N1165">
        <v>11700</v>
      </c>
      <c r="O1165">
        <v>2580</v>
      </c>
    </row>
    <row r="1166" spans="1:15" x14ac:dyDescent="0.25">
      <c r="A1166" t="s">
        <v>2147</v>
      </c>
      <c r="B1166" s="2">
        <v>46822</v>
      </c>
      <c r="C1166" t="s">
        <v>1054</v>
      </c>
      <c r="D1166" t="s">
        <v>1055</v>
      </c>
      <c r="E1166" t="s">
        <v>26</v>
      </c>
      <c r="F1166" t="s">
        <v>46</v>
      </c>
      <c r="G1166" t="s">
        <v>51</v>
      </c>
      <c r="H1166" t="s">
        <v>52</v>
      </c>
      <c r="I1166" t="s">
        <v>53</v>
      </c>
      <c r="J1166">
        <v>4</v>
      </c>
      <c r="K1166">
        <v>2200</v>
      </c>
      <c r="L1166">
        <v>0.25</v>
      </c>
      <c r="M1166">
        <v>6600</v>
      </c>
      <c r="N1166">
        <v>5800</v>
      </c>
      <c r="O1166">
        <v>800</v>
      </c>
    </row>
    <row r="1167" spans="1:15" x14ac:dyDescent="0.25">
      <c r="A1167" t="s">
        <v>2148</v>
      </c>
      <c r="B1167" s="2">
        <v>46823</v>
      </c>
      <c r="C1167" t="s">
        <v>1183</v>
      </c>
      <c r="D1167" t="s">
        <v>1184</v>
      </c>
      <c r="E1167" t="s">
        <v>18</v>
      </c>
      <c r="F1167" t="s">
        <v>19</v>
      </c>
      <c r="G1167" t="s">
        <v>20</v>
      </c>
      <c r="H1167" t="s">
        <v>84</v>
      </c>
      <c r="I1167" t="s">
        <v>169</v>
      </c>
      <c r="J1167">
        <v>1</v>
      </c>
      <c r="K1167">
        <v>450</v>
      </c>
      <c r="L1167">
        <v>0.1</v>
      </c>
      <c r="M1167">
        <v>405</v>
      </c>
      <c r="N1167">
        <v>260</v>
      </c>
      <c r="O1167">
        <v>145</v>
      </c>
    </row>
    <row r="1168" spans="1:15" x14ac:dyDescent="0.25">
      <c r="A1168" t="s">
        <v>2149</v>
      </c>
      <c r="B1168" s="2">
        <v>46824</v>
      </c>
      <c r="C1168" t="s">
        <v>491</v>
      </c>
      <c r="D1168" t="s">
        <v>492</v>
      </c>
      <c r="E1168" t="s">
        <v>26</v>
      </c>
      <c r="F1168" t="s">
        <v>46</v>
      </c>
      <c r="G1168" t="s">
        <v>57</v>
      </c>
      <c r="H1168" t="s">
        <v>58</v>
      </c>
      <c r="I1168" t="s">
        <v>129</v>
      </c>
      <c r="J1168">
        <v>5</v>
      </c>
      <c r="K1168">
        <v>4800</v>
      </c>
      <c r="L1168">
        <v>0.1</v>
      </c>
      <c r="M1168">
        <v>21600</v>
      </c>
      <c r="N1168">
        <v>16500</v>
      </c>
      <c r="O1168">
        <v>5100</v>
      </c>
    </row>
    <row r="1169" spans="1:15" x14ac:dyDescent="0.25">
      <c r="A1169" t="s">
        <v>2150</v>
      </c>
      <c r="B1169" s="2">
        <v>46825</v>
      </c>
      <c r="C1169" t="s">
        <v>206</v>
      </c>
      <c r="D1169" t="s">
        <v>207</v>
      </c>
      <c r="E1169" t="s">
        <v>96</v>
      </c>
      <c r="F1169" t="s">
        <v>97</v>
      </c>
      <c r="G1169" t="s">
        <v>20</v>
      </c>
      <c r="H1169" t="s">
        <v>21</v>
      </c>
      <c r="I1169" t="s">
        <v>22</v>
      </c>
      <c r="J1169">
        <v>4</v>
      </c>
      <c r="K1169">
        <v>650</v>
      </c>
      <c r="L1169">
        <v>0.15</v>
      </c>
      <c r="M1169">
        <v>2210</v>
      </c>
      <c r="N1169">
        <v>1560</v>
      </c>
      <c r="O1169">
        <v>650</v>
      </c>
    </row>
    <row r="1170" spans="1:15" x14ac:dyDescent="0.25">
      <c r="A1170" t="s">
        <v>2151</v>
      </c>
      <c r="B1170" s="2">
        <v>46826</v>
      </c>
      <c r="C1170" t="s">
        <v>1461</v>
      </c>
      <c r="D1170" t="s">
        <v>1462</v>
      </c>
      <c r="E1170" t="s">
        <v>26</v>
      </c>
      <c r="F1170" t="s">
        <v>46</v>
      </c>
      <c r="G1170" t="s">
        <v>28</v>
      </c>
      <c r="H1170" t="s">
        <v>63</v>
      </c>
      <c r="I1170" t="s">
        <v>64</v>
      </c>
      <c r="J1170">
        <v>5</v>
      </c>
      <c r="K1170">
        <v>2400</v>
      </c>
      <c r="L1170">
        <v>0.1</v>
      </c>
      <c r="M1170">
        <v>10800</v>
      </c>
      <c r="N1170">
        <v>8250</v>
      </c>
      <c r="O1170">
        <v>2550</v>
      </c>
    </row>
    <row r="1171" spans="1:15" x14ac:dyDescent="0.25">
      <c r="A1171" t="s">
        <v>2152</v>
      </c>
      <c r="B1171" s="2">
        <v>46827</v>
      </c>
      <c r="C1171" t="s">
        <v>983</v>
      </c>
      <c r="D1171" t="s">
        <v>984</v>
      </c>
      <c r="E1171" t="s">
        <v>39</v>
      </c>
      <c r="F1171" t="s">
        <v>71</v>
      </c>
      <c r="G1171" t="s">
        <v>20</v>
      </c>
      <c r="H1171" t="s">
        <v>84</v>
      </c>
      <c r="I1171" t="s">
        <v>85</v>
      </c>
      <c r="J1171">
        <v>1</v>
      </c>
      <c r="K1171">
        <v>280</v>
      </c>
      <c r="L1171">
        <v>0.1</v>
      </c>
      <c r="M1171">
        <v>252</v>
      </c>
      <c r="N1171">
        <v>160</v>
      </c>
      <c r="O1171">
        <v>92</v>
      </c>
    </row>
    <row r="1172" spans="1:15" x14ac:dyDescent="0.25">
      <c r="A1172" t="s">
        <v>2153</v>
      </c>
      <c r="B1172" s="2">
        <v>46828</v>
      </c>
      <c r="C1172" t="s">
        <v>630</v>
      </c>
      <c r="D1172" t="s">
        <v>631</v>
      </c>
      <c r="E1172" t="s">
        <v>39</v>
      </c>
      <c r="F1172" t="s">
        <v>76</v>
      </c>
      <c r="G1172" t="s">
        <v>51</v>
      </c>
      <c r="H1172" t="s">
        <v>21</v>
      </c>
      <c r="I1172" t="s">
        <v>80</v>
      </c>
      <c r="J1172">
        <v>4</v>
      </c>
      <c r="K1172">
        <v>850</v>
      </c>
      <c r="L1172">
        <v>0.2</v>
      </c>
      <c r="M1172">
        <v>2720</v>
      </c>
      <c r="N1172">
        <v>2240</v>
      </c>
      <c r="O1172">
        <v>480</v>
      </c>
    </row>
    <row r="1173" spans="1:15" x14ac:dyDescent="0.25">
      <c r="A1173" t="s">
        <v>2154</v>
      </c>
      <c r="B1173" s="2">
        <v>46829</v>
      </c>
      <c r="C1173" t="s">
        <v>703</v>
      </c>
      <c r="D1173" t="s">
        <v>704</v>
      </c>
      <c r="E1173" t="s">
        <v>39</v>
      </c>
      <c r="F1173" t="s">
        <v>40</v>
      </c>
      <c r="G1173" t="s">
        <v>57</v>
      </c>
      <c r="H1173" t="s">
        <v>58</v>
      </c>
      <c r="I1173" t="s">
        <v>129</v>
      </c>
      <c r="J1173">
        <v>1</v>
      </c>
      <c r="K1173">
        <v>4800</v>
      </c>
      <c r="L1173">
        <v>0.2</v>
      </c>
      <c r="M1173">
        <v>3840</v>
      </c>
      <c r="N1173">
        <v>3300</v>
      </c>
      <c r="O1173">
        <v>540</v>
      </c>
    </row>
    <row r="1174" spans="1:15" x14ac:dyDescent="0.25">
      <c r="A1174" t="s">
        <v>2155</v>
      </c>
      <c r="B1174" s="2">
        <v>46830</v>
      </c>
      <c r="C1174" t="s">
        <v>417</v>
      </c>
      <c r="D1174" t="s">
        <v>418</v>
      </c>
      <c r="E1174" t="s">
        <v>96</v>
      </c>
      <c r="F1174" t="s">
        <v>97</v>
      </c>
      <c r="G1174" t="s">
        <v>28</v>
      </c>
      <c r="H1174" t="s">
        <v>63</v>
      </c>
      <c r="I1174" t="s">
        <v>64</v>
      </c>
      <c r="J1174">
        <v>4</v>
      </c>
      <c r="K1174">
        <v>2400</v>
      </c>
      <c r="L1174">
        <v>0.2</v>
      </c>
      <c r="M1174">
        <v>7680</v>
      </c>
      <c r="N1174">
        <v>6600</v>
      </c>
      <c r="O1174">
        <v>1080</v>
      </c>
    </row>
    <row r="1175" spans="1:15" x14ac:dyDescent="0.25">
      <c r="A1175" t="s">
        <v>2156</v>
      </c>
      <c r="B1175" s="2">
        <v>46831</v>
      </c>
      <c r="C1175" t="s">
        <v>396</v>
      </c>
      <c r="D1175" t="s">
        <v>397</v>
      </c>
      <c r="E1175" t="s">
        <v>26</v>
      </c>
      <c r="F1175" t="s">
        <v>204</v>
      </c>
      <c r="G1175" t="s">
        <v>51</v>
      </c>
      <c r="H1175" t="s">
        <v>21</v>
      </c>
      <c r="I1175" t="s">
        <v>116</v>
      </c>
      <c r="J1175">
        <v>2</v>
      </c>
      <c r="K1175">
        <v>1400</v>
      </c>
      <c r="L1175">
        <v>0.2</v>
      </c>
      <c r="M1175">
        <v>2240</v>
      </c>
      <c r="N1175">
        <v>1800</v>
      </c>
      <c r="O1175">
        <v>440</v>
      </c>
    </row>
    <row r="1176" spans="1:15" x14ac:dyDescent="0.25">
      <c r="A1176" t="s">
        <v>2157</v>
      </c>
      <c r="B1176" s="2">
        <v>46832</v>
      </c>
      <c r="C1176" t="s">
        <v>78</v>
      </c>
      <c r="D1176" t="s">
        <v>79</v>
      </c>
      <c r="E1176" t="s">
        <v>26</v>
      </c>
      <c r="F1176" t="s">
        <v>128</v>
      </c>
      <c r="G1176" t="s">
        <v>51</v>
      </c>
      <c r="H1176" t="s">
        <v>89</v>
      </c>
      <c r="I1176" t="s">
        <v>90</v>
      </c>
      <c r="J1176">
        <v>1</v>
      </c>
      <c r="K1176">
        <v>10500</v>
      </c>
      <c r="L1176">
        <v>0.1</v>
      </c>
      <c r="M1176">
        <v>9450</v>
      </c>
      <c r="N1176">
        <v>7600</v>
      </c>
      <c r="O1176">
        <v>1850</v>
      </c>
    </row>
    <row r="1177" spans="1:15" x14ac:dyDescent="0.25">
      <c r="A1177" t="s">
        <v>2158</v>
      </c>
      <c r="B1177" s="2">
        <v>46833</v>
      </c>
      <c r="C1177" t="s">
        <v>1750</v>
      </c>
      <c r="D1177" t="s">
        <v>1751</v>
      </c>
      <c r="E1177" t="s">
        <v>96</v>
      </c>
      <c r="F1177" t="s">
        <v>120</v>
      </c>
      <c r="G1177" t="s">
        <v>51</v>
      </c>
      <c r="H1177" t="s">
        <v>52</v>
      </c>
      <c r="I1177" t="s">
        <v>53</v>
      </c>
      <c r="J1177">
        <v>2</v>
      </c>
      <c r="K1177">
        <v>2200</v>
      </c>
      <c r="L1177">
        <v>0.1</v>
      </c>
      <c r="M1177">
        <v>3960</v>
      </c>
      <c r="N1177">
        <v>2900</v>
      </c>
      <c r="O1177">
        <v>1060</v>
      </c>
    </row>
    <row r="1178" spans="1:15" x14ac:dyDescent="0.25">
      <c r="A1178" t="s">
        <v>2159</v>
      </c>
      <c r="B1178" s="2">
        <v>46834</v>
      </c>
      <c r="C1178" t="s">
        <v>360</v>
      </c>
      <c r="D1178" t="s">
        <v>361</v>
      </c>
      <c r="E1178" t="s">
        <v>96</v>
      </c>
      <c r="F1178" t="s">
        <v>196</v>
      </c>
      <c r="G1178" t="s">
        <v>51</v>
      </c>
      <c r="H1178" t="s">
        <v>21</v>
      </c>
      <c r="I1178" t="s">
        <v>116</v>
      </c>
      <c r="J1178">
        <v>2</v>
      </c>
      <c r="K1178">
        <v>1400</v>
      </c>
      <c r="L1178">
        <v>0.15</v>
      </c>
      <c r="M1178">
        <v>2380</v>
      </c>
      <c r="N1178">
        <v>1800</v>
      </c>
      <c r="O1178">
        <v>580</v>
      </c>
    </row>
    <row r="1179" spans="1:15" x14ac:dyDescent="0.25">
      <c r="A1179" t="s">
        <v>2160</v>
      </c>
      <c r="B1179" s="2">
        <v>46835</v>
      </c>
      <c r="C1179" t="s">
        <v>715</v>
      </c>
      <c r="D1179" t="s">
        <v>716</v>
      </c>
      <c r="E1179" t="s">
        <v>26</v>
      </c>
      <c r="F1179" t="s">
        <v>128</v>
      </c>
      <c r="G1179" t="s">
        <v>28</v>
      </c>
      <c r="H1179" t="s">
        <v>29</v>
      </c>
      <c r="I1179" t="s">
        <v>47</v>
      </c>
      <c r="J1179">
        <v>5</v>
      </c>
      <c r="K1179">
        <v>6800</v>
      </c>
      <c r="L1179">
        <v>0.15</v>
      </c>
      <c r="M1179">
        <v>28900</v>
      </c>
      <c r="N1179">
        <v>23500</v>
      </c>
      <c r="O1179">
        <v>5400</v>
      </c>
    </row>
    <row r="1180" spans="1:15" x14ac:dyDescent="0.25">
      <c r="A1180" t="s">
        <v>2161</v>
      </c>
      <c r="B1180" s="2">
        <v>46836</v>
      </c>
      <c r="C1180" t="s">
        <v>497</v>
      </c>
      <c r="D1180" t="s">
        <v>498</v>
      </c>
      <c r="E1180" t="s">
        <v>39</v>
      </c>
      <c r="F1180" t="s">
        <v>40</v>
      </c>
      <c r="G1180" t="s">
        <v>28</v>
      </c>
      <c r="H1180" t="s">
        <v>63</v>
      </c>
      <c r="I1180" t="s">
        <v>64</v>
      </c>
      <c r="J1180">
        <v>4</v>
      </c>
      <c r="K1180">
        <v>2400</v>
      </c>
      <c r="L1180">
        <v>0.1</v>
      </c>
      <c r="M1180">
        <v>8640</v>
      </c>
      <c r="N1180">
        <v>6600</v>
      </c>
      <c r="O1180">
        <v>2040</v>
      </c>
    </row>
    <row r="1181" spans="1:15" x14ac:dyDescent="0.25">
      <c r="A1181" t="s">
        <v>2162</v>
      </c>
      <c r="B1181" s="2">
        <v>46837</v>
      </c>
      <c r="C1181" t="s">
        <v>1865</v>
      </c>
      <c r="D1181" t="s">
        <v>1866</v>
      </c>
      <c r="E1181" t="s">
        <v>39</v>
      </c>
      <c r="F1181" t="s">
        <v>76</v>
      </c>
      <c r="G1181" t="s">
        <v>57</v>
      </c>
      <c r="H1181" t="s">
        <v>58</v>
      </c>
      <c r="I1181" t="s">
        <v>59</v>
      </c>
      <c r="J1181">
        <v>5</v>
      </c>
      <c r="K1181">
        <v>5600</v>
      </c>
      <c r="L1181">
        <v>0.15</v>
      </c>
      <c r="M1181">
        <v>23800</v>
      </c>
      <c r="N1181">
        <v>19500</v>
      </c>
      <c r="O1181">
        <v>4300</v>
      </c>
    </row>
    <row r="1182" spans="1:15" x14ac:dyDescent="0.25">
      <c r="A1182" t="s">
        <v>2163</v>
      </c>
      <c r="B1182" s="2">
        <v>46838</v>
      </c>
      <c r="C1182" t="s">
        <v>1022</v>
      </c>
      <c r="D1182" t="s">
        <v>1023</v>
      </c>
      <c r="E1182" t="s">
        <v>26</v>
      </c>
      <c r="F1182" t="s">
        <v>46</v>
      </c>
      <c r="G1182" t="s">
        <v>28</v>
      </c>
      <c r="H1182" t="s">
        <v>29</v>
      </c>
      <c r="I1182" t="s">
        <v>35</v>
      </c>
      <c r="J1182">
        <v>1</v>
      </c>
      <c r="K1182">
        <v>4200</v>
      </c>
      <c r="L1182">
        <v>0.05</v>
      </c>
      <c r="M1182">
        <v>3990</v>
      </c>
      <c r="N1182">
        <v>2900</v>
      </c>
      <c r="O1182">
        <v>1090</v>
      </c>
    </row>
    <row r="1183" spans="1:15" x14ac:dyDescent="0.25">
      <c r="A1183" t="s">
        <v>2164</v>
      </c>
      <c r="B1183" s="2">
        <v>46839</v>
      </c>
      <c r="C1183" t="s">
        <v>1287</v>
      </c>
      <c r="D1183" t="s">
        <v>1288</v>
      </c>
      <c r="E1183" t="s">
        <v>39</v>
      </c>
      <c r="F1183" t="s">
        <v>40</v>
      </c>
      <c r="G1183" t="s">
        <v>51</v>
      </c>
      <c r="H1183" t="s">
        <v>21</v>
      </c>
      <c r="I1183" t="s">
        <v>72</v>
      </c>
      <c r="J1183">
        <v>2</v>
      </c>
      <c r="K1183">
        <v>1800</v>
      </c>
      <c r="L1183">
        <v>0.2</v>
      </c>
      <c r="M1183">
        <v>2880</v>
      </c>
      <c r="N1183">
        <v>2200</v>
      </c>
      <c r="O1183">
        <v>680</v>
      </c>
    </row>
    <row r="1184" spans="1:15" x14ac:dyDescent="0.25">
      <c r="A1184" t="s">
        <v>2165</v>
      </c>
      <c r="B1184" s="2">
        <v>46840</v>
      </c>
      <c r="C1184" t="s">
        <v>538</v>
      </c>
      <c r="D1184" t="s">
        <v>539</v>
      </c>
      <c r="E1184" t="s">
        <v>26</v>
      </c>
      <c r="F1184" t="s">
        <v>46</v>
      </c>
      <c r="G1184" t="s">
        <v>57</v>
      </c>
      <c r="H1184" t="s">
        <v>58</v>
      </c>
      <c r="I1184" t="s">
        <v>59</v>
      </c>
      <c r="J1184">
        <v>1</v>
      </c>
      <c r="K1184">
        <v>5600</v>
      </c>
      <c r="L1184">
        <v>0.05</v>
      </c>
      <c r="M1184">
        <v>5320</v>
      </c>
      <c r="N1184">
        <v>3900</v>
      </c>
      <c r="O1184">
        <v>1420</v>
      </c>
    </row>
    <row r="1185" spans="1:15" x14ac:dyDescent="0.25">
      <c r="A1185" t="s">
        <v>2166</v>
      </c>
      <c r="B1185" s="2">
        <v>46841</v>
      </c>
      <c r="C1185" t="s">
        <v>2167</v>
      </c>
      <c r="D1185" t="s">
        <v>2168</v>
      </c>
      <c r="E1185" t="s">
        <v>26</v>
      </c>
      <c r="F1185" t="s">
        <v>128</v>
      </c>
      <c r="G1185" t="s">
        <v>28</v>
      </c>
      <c r="H1185" t="s">
        <v>29</v>
      </c>
      <c r="I1185" t="s">
        <v>35</v>
      </c>
      <c r="J1185">
        <v>4</v>
      </c>
      <c r="K1185">
        <v>4200</v>
      </c>
      <c r="L1185">
        <v>0.15</v>
      </c>
      <c r="M1185">
        <v>14280</v>
      </c>
      <c r="N1185">
        <v>11600</v>
      </c>
      <c r="O1185">
        <v>2680</v>
      </c>
    </row>
    <row r="1186" spans="1:15" x14ac:dyDescent="0.25">
      <c r="A1186" t="s">
        <v>2169</v>
      </c>
      <c r="B1186" s="2">
        <v>46842</v>
      </c>
      <c r="C1186" t="s">
        <v>323</v>
      </c>
      <c r="D1186" t="s">
        <v>324</v>
      </c>
      <c r="E1186" t="s">
        <v>39</v>
      </c>
      <c r="F1186" t="s">
        <v>40</v>
      </c>
      <c r="G1186" t="s">
        <v>28</v>
      </c>
      <c r="H1186" t="s">
        <v>29</v>
      </c>
      <c r="I1186" t="s">
        <v>30</v>
      </c>
      <c r="J1186">
        <v>1</v>
      </c>
      <c r="K1186">
        <v>1900</v>
      </c>
      <c r="L1186">
        <v>0.15</v>
      </c>
      <c r="M1186">
        <v>1615</v>
      </c>
      <c r="N1186">
        <v>1250</v>
      </c>
      <c r="O1186">
        <v>365</v>
      </c>
    </row>
    <row r="1187" spans="1:15" x14ac:dyDescent="0.25">
      <c r="A1187" t="s">
        <v>2170</v>
      </c>
      <c r="B1187" s="2">
        <v>46843</v>
      </c>
      <c r="C1187" t="s">
        <v>152</v>
      </c>
      <c r="D1187" t="s">
        <v>153</v>
      </c>
      <c r="E1187" t="s">
        <v>26</v>
      </c>
      <c r="F1187" t="s">
        <v>128</v>
      </c>
      <c r="G1187" t="s">
        <v>20</v>
      </c>
      <c r="H1187" t="s">
        <v>41</v>
      </c>
      <c r="I1187" t="s">
        <v>42</v>
      </c>
      <c r="J1187">
        <v>2</v>
      </c>
      <c r="K1187">
        <v>520</v>
      </c>
      <c r="L1187">
        <v>0</v>
      </c>
      <c r="M1187">
        <v>1040</v>
      </c>
      <c r="N1187">
        <v>660</v>
      </c>
      <c r="O1187">
        <v>380</v>
      </c>
    </row>
    <row r="1188" spans="1:15" x14ac:dyDescent="0.25">
      <c r="A1188" t="s">
        <v>2171</v>
      </c>
      <c r="B1188" s="2">
        <v>46844</v>
      </c>
      <c r="C1188" t="s">
        <v>876</v>
      </c>
      <c r="D1188" t="s">
        <v>877</v>
      </c>
      <c r="E1188" t="s">
        <v>26</v>
      </c>
      <c r="F1188" t="s">
        <v>128</v>
      </c>
      <c r="G1188" t="s">
        <v>51</v>
      </c>
      <c r="H1188" t="s">
        <v>52</v>
      </c>
      <c r="I1188" t="s">
        <v>208</v>
      </c>
      <c r="J1188">
        <v>4</v>
      </c>
      <c r="K1188">
        <v>2800</v>
      </c>
      <c r="L1188">
        <v>0.15</v>
      </c>
      <c r="M1188">
        <v>9520</v>
      </c>
      <c r="N1188">
        <v>7200</v>
      </c>
      <c r="O1188">
        <v>2320</v>
      </c>
    </row>
    <row r="1189" spans="1:15" x14ac:dyDescent="0.25">
      <c r="A1189" t="s">
        <v>2172</v>
      </c>
      <c r="B1189" s="2">
        <v>46845</v>
      </c>
      <c r="C1189" t="s">
        <v>2173</v>
      </c>
      <c r="D1189" t="s">
        <v>2174</v>
      </c>
      <c r="E1189" t="s">
        <v>96</v>
      </c>
      <c r="F1189" t="s">
        <v>196</v>
      </c>
      <c r="G1189" t="s">
        <v>57</v>
      </c>
      <c r="H1189" t="s">
        <v>104</v>
      </c>
      <c r="I1189" t="s">
        <v>105</v>
      </c>
      <c r="J1189">
        <v>2</v>
      </c>
      <c r="K1189">
        <v>7500</v>
      </c>
      <c r="L1189">
        <v>0</v>
      </c>
      <c r="M1189">
        <v>15000</v>
      </c>
      <c r="N1189">
        <v>10400</v>
      </c>
      <c r="O1189">
        <v>4600</v>
      </c>
    </row>
    <row r="1190" spans="1:15" x14ac:dyDescent="0.25">
      <c r="A1190" t="s">
        <v>2175</v>
      </c>
      <c r="B1190" s="2">
        <v>46846</v>
      </c>
      <c r="C1190" t="s">
        <v>311</v>
      </c>
      <c r="D1190" t="s">
        <v>312</v>
      </c>
      <c r="E1190" t="s">
        <v>26</v>
      </c>
      <c r="F1190" t="s">
        <v>128</v>
      </c>
      <c r="G1190" t="s">
        <v>20</v>
      </c>
      <c r="H1190" t="s">
        <v>84</v>
      </c>
      <c r="I1190" t="s">
        <v>85</v>
      </c>
      <c r="J1190">
        <v>1</v>
      </c>
      <c r="K1190">
        <v>280</v>
      </c>
      <c r="L1190">
        <v>0.05</v>
      </c>
      <c r="M1190">
        <v>266</v>
      </c>
      <c r="N1190">
        <v>160</v>
      </c>
      <c r="O1190">
        <v>106</v>
      </c>
    </row>
    <row r="1191" spans="1:15" x14ac:dyDescent="0.25">
      <c r="A1191" t="s">
        <v>2176</v>
      </c>
      <c r="B1191" s="2">
        <v>46847</v>
      </c>
      <c r="C1191" t="s">
        <v>1874</v>
      </c>
      <c r="D1191" t="s">
        <v>1875</v>
      </c>
      <c r="E1191" t="s">
        <v>39</v>
      </c>
      <c r="F1191" t="s">
        <v>40</v>
      </c>
      <c r="G1191" t="s">
        <v>51</v>
      </c>
      <c r="H1191" t="s">
        <v>89</v>
      </c>
      <c r="I1191" t="s">
        <v>90</v>
      </c>
      <c r="J1191">
        <v>2</v>
      </c>
      <c r="K1191">
        <v>10500</v>
      </c>
      <c r="L1191">
        <v>0.25</v>
      </c>
      <c r="M1191">
        <v>15750</v>
      </c>
      <c r="N1191">
        <v>15200</v>
      </c>
      <c r="O1191">
        <v>550</v>
      </c>
    </row>
    <row r="1192" spans="1:15" x14ac:dyDescent="0.25">
      <c r="A1192" t="s">
        <v>2177</v>
      </c>
      <c r="B1192" s="2">
        <v>46848</v>
      </c>
      <c r="C1192" t="s">
        <v>275</v>
      </c>
      <c r="D1192" t="s">
        <v>276</v>
      </c>
      <c r="E1192" t="s">
        <v>39</v>
      </c>
      <c r="F1192" t="s">
        <v>71</v>
      </c>
      <c r="G1192" t="s">
        <v>57</v>
      </c>
      <c r="H1192" t="s">
        <v>58</v>
      </c>
      <c r="I1192" t="s">
        <v>129</v>
      </c>
      <c r="J1192">
        <v>2</v>
      </c>
      <c r="K1192">
        <v>4800</v>
      </c>
      <c r="L1192">
        <v>0.15</v>
      </c>
      <c r="M1192">
        <v>8160</v>
      </c>
      <c r="N1192">
        <v>6600</v>
      </c>
      <c r="O1192">
        <v>1560</v>
      </c>
    </row>
    <row r="1193" spans="1:15" x14ac:dyDescent="0.25">
      <c r="A1193" t="s">
        <v>2178</v>
      </c>
      <c r="B1193" s="2">
        <v>46849</v>
      </c>
      <c r="C1193" t="s">
        <v>414</v>
      </c>
      <c r="D1193" t="s">
        <v>415</v>
      </c>
      <c r="E1193" t="s">
        <v>26</v>
      </c>
      <c r="F1193" t="s">
        <v>128</v>
      </c>
      <c r="G1193" t="s">
        <v>57</v>
      </c>
      <c r="H1193" t="s">
        <v>104</v>
      </c>
      <c r="I1193" t="s">
        <v>105</v>
      </c>
      <c r="J1193">
        <v>3</v>
      </c>
      <c r="K1193">
        <v>7500</v>
      </c>
      <c r="L1193">
        <v>0.15</v>
      </c>
      <c r="M1193">
        <v>19125</v>
      </c>
      <c r="N1193">
        <v>15600</v>
      </c>
      <c r="O1193">
        <v>3525</v>
      </c>
    </row>
    <row r="1194" spans="1:15" x14ac:dyDescent="0.25">
      <c r="A1194" t="s">
        <v>2179</v>
      </c>
      <c r="B1194" s="2">
        <v>46850</v>
      </c>
      <c r="C1194" t="s">
        <v>685</v>
      </c>
      <c r="D1194" t="s">
        <v>686</v>
      </c>
      <c r="E1194" t="s">
        <v>96</v>
      </c>
      <c r="F1194" t="s">
        <v>196</v>
      </c>
      <c r="G1194" t="s">
        <v>28</v>
      </c>
      <c r="H1194" t="s">
        <v>29</v>
      </c>
      <c r="I1194" t="s">
        <v>47</v>
      </c>
      <c r="J1194">
        <v>4</v>
      </c>
      <c r="K1194">
        <v>6800</v>
      </c>
      <c r="L1194">
        <v>0.15</v>
      </c>
      <c r="M1194">
        <v>23120</v>
      </c>
      <c r="N1194">
        <v>18800</v>
      </c>
      <c r="O1194">
        <v>4320</v>
      </c>
    </row>
    <row r="1195" spans="1:15" x14ac:dyDescent="0.25">
      <c r="A1195" t="s">
        <v>2180</v>
      </c>
      <c r="B1195" s="2">
        <v>46851</v>
      </c>
      <c r="C1195" t="s">
        <v>287</v>
      </c>
      <c r="D1195" t="s">
        <v>288</v>
      </c>
      <c r="E1195" t="s">
        <v>18</v>
      </c>
      <c r="F1195" t="s">
        <v>19</v>
      </c>
      <c r="G1195" t="s">
        <v>28</v>
      </c>
      <c r="H1195" t="s">
        <v>29</v>
      </c>
      <c r="I1195" t="s">
        <v>47</v>
      </c>
      <c r="J1195">
        <v>1</v>
      </c>
      <c r="K1195">
        <v>6800</v>
      </c>
      <c r="L1195">
        <v>0</v>
      </c>
      <c r="M1195">
        <v>6800</v>
      </c>
      <c r="N1195">
        <v>4700</v>
      </c>
      <c r="O1195">
        <v>2100</v>
      </c>
    </row>
    <row r="1196" spans="1:15" x14ac:dyDescent="0.25">
      <c r="A1196" t="s">
        <v>2181</v>
      </c>
      <c r="B1196" s="2">
        <v>46852</v>
      </c>
      <c r="C1196" t="s">
        <v>2182</v>
      </c>
      <c r="D1196" t="s">
        <v>2183</v>
      </c>
      <c r="E1196" t="s">
        <v>39</v>
      </c>
      <c r="F1196" t="s">
        <v>76</v>
      </c>
      <c r="G1196" t="s">
        <v>20</v>
      </c>
      <c r="H1196" t="s">
        <v>84</v>
      </c>
      <c r="I1196" t="s">
        <v>210</v>
      </c>
      <c r="J1196">
        <v>1</v>
      </c>
      <c r="K1196">
        <v>300</v>
      </c>
      <c r="L1196">
        <v>0.15</v>
      </c>
      <c r="M1196">
        <v>255</v>
      </c>
      <c r="N1196">
        <v>170</v>
      </c>
      <c r="O1196">
        <v>85</v>
      </c>
    </row>
    <row r="1197" spans="1:15" x14ac:dyDescent="0.25">
      <c r="A1197" t="s">
        <v>2184</v>
      </c>
      <c r="B1197" s="2">
        <v>46853</v>
      </c>
      <c r="C1197" t="s">
        <v>896</v>
      </c>
      <c r="D1197" t="s">
        <v>897</v>
      </c>
      <c r="E1197" t="s">
        <v>26</v>
      </c>
      <c r="F1197" t="s">
        <v>204</v>
      </c>
      <c r="G1197" t="s">
        <v>20</v>
      </c>
      <c r="H1197" t="s">
        <v>41</v>
      </c>
      <c r="I1197" t="s">
        <v>42</v>
      </c>
      <c r="J1197">
        <v>4</v>
      </c>
      <c r="K1197">
        <v>520</v>
      </c>
      <c r="L1197">
        <v>0.05</v>
      </c>
      <c r="M1197">
        <v>1976</v>
      </c>
      <c r="N1197">
        <v>1320</v>
      </c>
      <c r="O1197">
        <v>656</v>
      </c>
    </row>
    <row r="1198" spans="1:15" x14ac:dyDescent="0.25">
      <c r="A1198" t="s">
        <v>2185</v>
      </c>
      <c r="B1198" s="2">
        <v>46854</v>
      </c>
      <c r="C1198" t="s">
        <v>1724</v>
      </c>
      <c r="D1198" t="s">
        <v>1725</v>
      </c>
      <c r="E1198" t="s">
        <v>26</v>
      </c>
      <c r="F1198" t="s">
        <v>27</v>
      </c>
      <c r="G1198" t="s">
        <v>51</v>
      </c>
      <c r="H1198" t="s">
        <v>52</v>
      </c>
      <c r="I1198" t="s">
        <v>53</v>
      </c>
      <c r="J1198">
        <v>3</v>
      </c>
      <c r="K1198">
        <v>2200</v>
      </c>
      <c r="L1198">
        <v>0</v>
      </c>
      <c r="M1198">
        <v>6600</v>
      </c>
      <c r="N1198">
        <v>4350</v>
      </c>
      <c r="O1198">
        <v>2250</v>
      </c>
    </row>
    <row r="1199" spans="1:15" x14ac:dyDescent="0.25">
      <c r="A1199" t="s">
        <v>2186</v>
      </c>
      <c r="B1199" s="2">
        <v>46855</v>
      </c>
      <c r="C1199" t="s">
        <v>637</v>
      </c>
      <c r="D1199" t="s">
        <v>638</v>
      </c>
      <c r="E1199" t="s">
        <v>39</v>
      </c>
      <c r="F1199" t="s">
        <v>40</v>
      </c>
      <c r="G1199" t="s">
        <v>28</v>
      </c>
      <c r="H1199" t="s">
        <v>29</v>
      </c>
      <c r="I1199" t="s">
        <v>47</v>
      </c>
      <c r="J1199">
        <v>3</v>
      </c>
      <c r="K1199">
        <v>6800</v>
      </c>
      <c r="L1199">
        <v>0.15</v>
      </c>
      <c r="M1199">
        <v>17340</v>
      </c>
      <c r="N1199">
        <v>14100</v>
      </c>
      <c r="O1199">
        <v>3240</v>
      </c>
    </row>
    <row r="1200" spans="1:15" x14ac:dyDescent="0.25">
      <c r="A1200" t="s">
        <v>2187</v>
      </c>
      <c r="B1200" s="2">
        <v>46856</v>
      </c>
      <c r="C1200" t="s">
        <v>417</v>
      </c>
      <c r="D1200" t="s">
        <v>418</v>
      </c>
      <c r="E1200" t="s">
        <v>39</v>
      </c>
      <c r="F1200" t="s">
        <v>71</v>
      </c>
      <c r="G1200" t="s">
        <v>57</v>
      </c>
      <c r="H1200" t="s">
        <v>58</v>
      </c>
      <c r="I1200" t="s">
        <v>59</v>
      </c>
      <c r="J1200">
        <v>4</v>
      </c>
      <c r="K1200">
        <v>5600</v>
      </c>
      <c r="L1200">
        <v>0.2</v>
      </c>
      <c r="M1200">
        <v>17920</v>
      </c>
      <c r="N1200">
        <v>15600</v>
      </c>
      <c r="O1200">
        <v>2320</v>
      </c>
    </row>
    <row r="1201" spans="1:15" x14ac:dyDescent="0.25">
      <c r="A1201" t="s">
        <v>2188</v>
      </c>
      <c r="B1201" s="2">
        <v>46857</v>
      </c>
      <c r="C1201" t="s">
        <v>1323</v>
      </c>
      <c r="D1201" t="s">
        <v>1324</v>
      </c>
      <c r="E1201" t="s">
        <v>26</v>
      </c>
      <c r="F1201" t="s">
        <v>34</v>
      </c>
      <c r="G1201" t="s">
        <v>28</v>
      </c>
      <c r="H1201" t="s">
        <v>63</v>
      </c>
      <c r="I1201" t="s">
        <v>64</v>
      </c>
      <c r="J1201">
        <v>3</v>
      </c>
      <c r="K1201">
        <v>2400</v>
      </c>
      <c r="L1201">
        <v>0.15</v>
      </c>
      <c r="M1201">
        <v>6120</v>
      </c>
      <c r="N1201">
        <v>4950</v>
      </c>
      <c r="O1201">
        <v>1170</v>
      </c>
    </row>
    <row r="1202" spans="1:15" x14ac:dyDescent="0.25">
      <c r="A1202" t="s">
        <v>2189</v>
      </c>
      <c r="B1202" s="2">
        <v>46858</v>
      </c>
      <c r="C1202" t="s">
        <v>1145</v>
      </c>
      <c r="D1202" t="s">
        <v>1146</v>
      </c>
      <c r="E1202" t="s">
        <v>39</v>
      </c>
      <c r="F1202" t="s">
        <v>40</v>
      </c>
      <c r="G1202" t="s">
        <v>28</v>
      </c>
      <c r="H1202" t="s">
        <v>29</v>
      </c>
      <c r="I1202" t="s">
        <v>47</v>
      </c>
      <c r="J1202">
        <v>5</v>
      </c>
      <c r="K1202">
        <v>6800</v>
      </c>
      <c r="L1202">
        <v>0.15</v>
      </c>
      <c r="M1202">
        <v>28900</v>
      </c>
      <c r="N1202">
        <v>23500</v>
      </c>
      <c r="O1202">
        <v>5400</v>
      </c>
    </row>
    <row r="1203" spans="1:15" x14ac:dyDescent="0.25">
      <c r="A1203" t="s">
        <v>2190</v>
      </c>
      <c r="B1203" s="2">
        <v>46859</v>
      </c>
      <c r="C1203" t="s">
        <v>2167</v>
      </c>
      <c r="D1203" t="s">
        <v>2168</v>
      </c>
      <c r="E1203" t="s">
        <v>96</v>
      </c>
      <c r="F1203" t="s">
        <v>120</v>
      </c>
      <c r="G1203" t="s">
        <v>20</v>
      </c>
      <c r="H1203" t="s">
        <v>41</v>
      </c>
      <c r="I1203" t="s">
        <v>42</v>
      </c>
      <c r="J1203">
        <v>1</v>
      </c>
      <c r="K1203">
        <v>520</v>
      </c>
      <c r="L1203">
        <v>0.15</v>
      </c>
      <c r="M1203">
        <v>442</v>
      </c>
      <c r="N1203">
        <v>330</v>
      </c>
      <c r="O1203">
        <v>112</v>
      </c>
    </row>
    <row r="1204" spans="1:15" x14ac:dyDescent="0.25">
      <c r="A1204" t="s">
        <v>2191</v>
      </c>
      <c r="B1204" s="2">
        <v>46860</v>
      </c>
      <c r="C1204" t="s">
        <v>1920</v>
      </c>
      <c r="D1204" t="s">
        <v>1921</v>
      </c>
      <c r="E1204" t="s">
        <v>96</v>
      </c>
      <c r="F1204" t="s">
        <v>200</v>
      </c>
      <c r="G1204" t="s">
        <v>20</v>
      </c>
      <c r="H1204" t="s">
        <v>41</v>
      </c>
      <c r="I1204" t="s">
        <v>42</v>
      </c>
      <c r="J1204">
        <v>1</v>
      </c>
      <c r="K1204">
        <v>520</v>
      </c>
      <c r="L1204">
        <v>0.1</v>
      </c>
      <c r="M1204">
        <v>468</v>
      </c>
      <c r="N1204">
        <v>330</v>
      </c>
      <c r="O1204">
        <v>138</v>
      </c>
    </row>
    <row r="1205" spans="1:15" x14ac:dyDescent="0.25">
      <c r="A1205" t="s">
        <v>2192</v>
      </c>
      <c r="B1205" s="2">
        <v>46861</v>
      </c>
      <c r="C1205" t="s">
        <v>708</v>
      </c>
      <c r="D1205" t="s">
        <v>709</v>
      </c>
      <c r="E1205" t="s">
        <v>26</v>
      </c>
      <c r="F1205" t="s">
        <v>204</v>
      </c>
      <c r="G1205" t="s">
        <v>51</v>
      </c>
      <c r="H1205" t="s">
        <v>89</v>
      </c>
      <c r="I1205" t="s">
        <v>90</v>
      </c>
      <c r="J1205">
        <v>3</v>
      </c>
      <c r="K1205">
        <v>10500</v>
      </c>
      <c r="L1205">
        <v>0.25</v>
      </c>
      <c r="M1205">
        <v>23625</v>
      </c>
      <c r="N1205">
        <v>22800</v>
      </c>
      <c r="O1205">
        <v>825</v>
      </c>
    </row>
    <row r="1206" spans="1:15" x14ac:dyDescent="0.25">
      <c r="A1206" t="s">
        <v>2193</v>
      </c>
      <c r="B1206" s="2">
        <v>46862</v>
      </c>
      <c r="C1206" t="s">
        <v>256</v>
      </c>
      <c r="D1206" t="s">
        <v>257</v>
      </c>
      <c r="E1206" t="s">
        <v>18</v>
      </c>
      <c r="F1206" t="s">
        <v>227</v>
      </c>
      <c r="G1206" t="s">
        <v>57</v>
      </c>
      <c r="H1206" t="s">
        <v>58</v>
      </c>
      <c r="I1206" t="s">
        <v>59</v>
      </c>
      <c r="J1206">
        <v>5</v>
      </c>
      <c r="K1206">
        <v>5600</v>
      </c>
      <c r="L1206">
        <v>0.15</v>
      </c>
      <c r="M1206">
        <v>23800</v>
      </c>
      <c r="N1206">
        <v>19500</v>
      </c>
      <c r="O1206">
        <v>4300</v>
      </c>
    </row>
    <row r="1207" spans="1:15" x14ac:dyDescent="0.25">
      <c r="A1207" t="s">
        <v>2194</v>
      </c>
      <c r="B1207" s="2">
        <v>46863</v>
      </c>
      <c r="C1207" t="s">
        <v>929</v>
      </c>
      <c r="D1207" t="s">
        <v>930</v>
      </c>
      <c r="E1207" t="s">
        <v>26</v>
      </c>
      <c r="F1207" t="s">
        <v>34</v>
      </c>
      <c r="G1207" t="s">
        <v>51</v>
      </c>
      <c r="H1207" t="s">
        <v>21</v>
      </c>
      <c r="I1207" t="s">
        <v>80</v>
      </c>
      <c r="J1207">
        <v>3</v>
      </c>
      <c r="K1207">
        <v>850</v>
      </c>
      <c r="L1207">
        <v>0</v>
      </c>
      <c r="M1207">
        <v>2550</v>
      </c>
      <c r="N1207">
        <v>1680</v>
      </c>
      <c r="O1207">
        <v>870</v>
      </c>
    </row>
    <row r="1208" spans="1:15" x14ac:dyDescent="0.25">
      <c r="A1208" t="s">
        <v>2195</v>
      </c>
      <c r="B1208" s="2">
        <v>46864</v>
      </c>
      <c r="C1208" t="s">
        <v>753</v>
      </c>
      <c r="D1208" t="s">
        <v>754</v>
      </c>
      <c r="E1208" t="s">
        <v>26</v>
      </c>
      <c r="F1208" t="s">
        <v>46</v>
      </c>
      <c r="G1208" t="s">
        <v>28</v>
      </c>
      <c r="H1208" t="s">
        <v>29</v>
      </c>
      <c r="I1208" t="s">
        <v>30</v>
      </c>
      <c r="J1208">
        <v>2</v>
      </c>
      <c r="K1208">
        <v>1900</v>
      </c>
      <c r="L1208">
        <v>0.1</v>
      </c>
      <c r="M1208">
        <v>3420</v>
      </c>
      <c r="N1208">
        <v>2500</v>
      </c>
      <c r="O1208">
        <v>920</v>
      </c>
    </row>
    <row r="1209" spans="1:15" x14ac:dyDescent="0.25">
      <c r="A1209" t="s">
        <v>2196</v>
      </c>
      <c r="B1209" s="2">
        <v>46865</v>
      </c>
      <c r="C1209" t="s">
        <v>2102</v>
      </c>
      <c r="D1209" t="s">
        <v>2103</v>
      </c>
      <c r="E1209" t="s">
        <v>96</v>
      </c>
      <c r="F1209" t="s">
        <v>200</v>
      </c>
      <c r="G1209" t="s">
        <v>57</v>
      </c>
      <c r="H1209" t="s">
        <v>188</v>
      </c>
      <c r="I1209" t="s">
        <v>189</v>
      </c>
      <c r="J1209">
        <v>1</v>
      </c>
      <c r="K1209">
        <v>6200</v>
      </c>
      <c r="L1209">
        <v>0</v>
      </c>
      <c r="M1209">
        <v>6200</v>
      </c>
      <c r="N1209">
        <v>4300</v>
      </c>
      <c r="O1209">
        <v>1900</v>
      </c>
    </row>
    <row r="1210" spans="1:15" x14ac:dyDescent="0.25">
      <c r="A1210" t="s">
        <v>2197</v>
      </c>
      <c r="B1210" s="2">
        <v>46866</v>
      </c>
      <c r="C1210" t="s">
        <v>284</v>
      </c>
      <c r="D1210" t="s">
        <v>285</v>
      </c>
      <c r="E1210" t="s">
        <v>26</v>
      </c>
      <c r="F1210" t="s">
        <v>128</v>
      </c>
      <c r="G1210" t="s">
        <v>20</v>
      </c>
      <c r="H1210" t="s">
        <v>84</v>
      </c>
      <c r="I1210" t="s">
        <v>210</v>
      </c>
      <c r="J1210">
        <v>4</v>
      </c>
      <c r="K1210">
        <v>300</v>
      </c>
      <c r="L1210">
        <v>0.2</v>
      </c>
      <c r="M1210">
        <v>960</v>
      </c>
      <c r="N1210">
        <v>680</v>
      </c>
      <c r="O1210">
        <v>280</v>
      </c>
    </row>
    <row r="1211" spans="1:15" x14ac:dyDescent="0.25">
      <c r="A1211" t="s">
        <v>2198</v>
      </c>
      <c r="B1211" s="2">
        <v>46867</v>
      </c>
      <c r="C1211" t="s">
        <v>831</v>
      </c>
      <c r="D1211" t="s">
        <v>832</v>
      </c>
      <c r="E1211" t="s">
        <v>26</v>
      </c>
      <c r="F1211" t="s">
        <v>128</v>
      </c>
      <c r="G1211" t="s">
        <v>28</v>
      </c>
      <c r="H1211" t="s">
        <v>29</v>
      </c>
      <c r="I1211" t="s">
        <v>47</v>
      </c>
      <c r="J1211">
        <v>1</v>
      </c>
      <c r="K1211">
        <v>6800</v>
      </c>
      <c r="L1211">
        <v>0.25</v>
      </c>
      <c r="M1211">
        <v>5100</v>
      </c>
      <c r="N1211">
        <v>4700</v>
      </c>
      <c r="O1211">
        <v>400</v>
      </c>
    </row>
    <row r="1212" spans="1:15" x14ac:dyDescent="0.25">
      <c r="A1212" t="s">
        <v>2199</v>
      </c>
      <c r="B1212" s="2">
        <v>46868</v>
      </c>
      <c r="C1212" t="s">
        <v>1186</v>
      </c>
      <c r="D1212" t="s">
        <v>1187</v>
      </c>
      <c r="E1212" t="s">
        <v>26</v>
      </c>
      <c r="F1212" t="s">
        <v>204</v>
      </c>
      <c r="G1212" t="s">
        <v>20</v>
      </c>
      <c r="H1212" t="s">
        <v>84</v>
      </c>
      <c r="I1212" t="s">
        <v>210</v>
      </c>
      <c r="J1212">
        <v>5</v>
      </c>
      <c r="K1212">
        <v>300</v>
      </c>
      <c r="L1212">
        <v>0.1</v>
      </c>
      <c r="M1212">
        <v>1350</v>
      </c>
      <c r="N1212">
        <v>850</v>
      </c>
      <c r="O1212">
        <v>500</v>
      </c>
    </row>
    <row r="1213" spans="1:15" x14ac:dyDescent="0.25">
      <c r="A1213" t="s">
        <v>2200</v>
      </c>
      <c r="B1213" s="2">
        <v>46869</v>
      </c>
      <c r="C1213" t="s">
        <v>384</v>
      </c>
      <c r="D1213" t="s">
        <v>385</v>
      </c>
      <c r="E1213" t="s">
        <v>96</v>
      </c>
      <c r="F1213" t="s">
        <v>97</v>
      </c>
      <c r="G1213" t="s">
        <v>57</v>
      </c>
      <c r="H1213" t="s">
        <v>58</v>
      </c>
      <c r="I1213" t="s">
        <v>59</v>
      </c>
      <c r="J1213">
        <v>4</v>
      </c>
      <c r="K1213">
        <v>5600</v>
      </c>
      <c r="L1213">
        <v>0.05</v>
      </c>
      <c r="M1213">
        <v>21280</v>
      </c>
      <c r="N1213">
        <v>15600</v>
      </c>
      <c r="O1213">
        <v>5680</v>
      </c>
    </row>
    <row r="1214" spans="1:15" x14ac:dyDescent="0.25">
      <c r="A1214" t="s">
        <v>2201</v>
      </c>
      <c r="B1214" s="2">
        <v>46870</v>
      </c>
      <c r="C1214" t="s">
        <v>1299</v>
      </c>
      <c r="D1214" t="s">
        <v>1300</v>
      </c>
      <c r="E1214" t="s">
        <v>18</v>
      </c>
      <c r="F1214" t="s">
        <v>94</v>
      </c>
      <c r="G1214" t="s">
        <v>20</v>
      </c>
      <c r="H1214" t="s">
        <v>84</v>
      </c>
      <c r="I1214" t="s">
        <v>210</v>
      </c>
      <c r="J1214">
        <v>5</v>
      </c>
      <c r="K1214">
        <v>300</v>
      </c>
      <c r="L1214">
        <v>0.15</v>
      </c>
      <c r="M1214">
        <v>1275</v>
      </c>
      <c r="N1214">
        <v>850</v>
      </c>
      <c r="O1214">
        <v>425</v>
      </c>
    </row>
    <row r="1215" spans="1:15" x14ac:dyDescent="0.25">
      <c r="A1215" t="s">
        <v>2202</v>
      </c>
      <c r="B1215" s="2">
        <v>46871</v>
      </c>
      <c r="C1215" t="s">
        <v>1915</v>
      </c>
      <c r="D1215" t="s">
        <v>1916</v>
      </c>
      <c r="E1215" t="s">
        <v>26</v>
      </c>
      <c r="F1215" t="s">
        <v>34</v>
      </c>
      <c r="G1215" t="s">
        <v>20</v>
      </c>
      <c r="H1215" t="s">
        <v>84</v>
      </c>
      <c r="I1215" t="s">
        <v>169</v>
      </c>
      <c r="J1215">
        <v>2</v>
      </c>
      <c r="K1215">
        <v>450</v>
      </c>
      <c r="L1215">
        <v>0.05</v>
      </c>
      <c r="M1215">
        <v>855</v>
      </c>
      <c r="N1215">
        <v>520</v>
      </c>
      <c r="O1215">
        <v>335</v>
      </c>
    </row>
    <row r="1216" spans="1:15" x14ac:dyDescent="0.25">
      <c r="A1216" t="s">
        <v>2203</v>
      </c>
      <c r="B1216" s="2">
        <v>46872</v>
      </c>
      <c r="C1216" t="s">
        <v>186</v>
      </c>
      <c r="D1216" t="s">
        <v>187</v>
      </c>
      <c r="E1216" t="s">
        <v>26</v>
      </c>
      <c r="F1216" t="s">
        <v>204</v>
      </c>
      <c r="G1216" t="s">
        <v>51</v>
      </c>
      <c r="H1216" t="s">
        <v>52</v>
      </c>
      <c r="I1216" t="s">
        <v>208</v>
      </c>
      <c r="J1216">
        <v>4</v>
      </c>
      <c r="K1216">
        <v>2800</v>
      </c>
      <c r="L1216">
        <v>0.1</v>
      </c>
      <c r="M1216">
        <v>10080</v>
      </c>
      <c r="N1216">
        <v>7200</v>
      </c>
      <c r="O1216">
        <v>2880</v>
      </c>
    </row>
    <row r="1217" spans="1:15" x14ac:dyDescent="0.25">
      <c r="A1217" t="s">
        <v>2204</v>
      </c>
      <c r="B1217" s="2">
        <v>46873</v>
      </c>
      <c r="C1217" t="s">
        <v>519</v>
      </c>
      <c r="D1217" t="s">
        <v>520</v>
      </c>
      <c r="E1217" t="s">
        <v>96</v>
      </c>
      <c r="F1217" t="s">
        <v>196</v>
      </c>
      <c r="G1217" t="s">
        <v>51</v>
      </c>
      <c r="H1217" t="s">
        <v>21</v>
      </c>
      <c r="I1217" t="s">
        <v>80</v>
      </c>
      <c r="J1217">
        <v>4</v>
      </c>
      <c r="K1217">
        <v>850</v>
      </c>
      <c r="L1217">
        <v>0.1</v>
      </c>
      <c r="M1217">
        <v>3060</v>
      </c>
      <c r="N1217">
        <v>2240</v>
      </c>
      <c r="O1217">
        <v>820</v>
      </c>
    </row>
    <row r="1218" spans="1:15" x14ac:dyDescent="0.25">
      <c r="A1218" t="s">
        <v>2205</v>
      </c>
      <c r="B1218" s="2">
        <v>46874</v>
      </c>
      <c r="C1218" t="s">
        <v>938</v>
      </c>
      <c r="D1218" t="s">
        <v>939</v>
      </c>
      <c r="E1218" t="s">
        <v>96</v>
      </c>
      <c r="F1218" t="s">
        <v>200</v>
      </c>
      <c r="G1218" t="s">
        <v>28</v>
      </c>
      <c r="H1218" t="s">
        <v>63</v>
      </c>
      <c r="I1218" t="s">
        <v>64</v>
      </c>
      <c r="J1218">
        <v>3</v>
      </c>
      <c r="K1218">
        <v>2400</v>
      </c>
      <c r="L1218">
        <v>0.2</v>
      </c>
      <c r="M1218">
        <v>5760</v>
      </c>
      <c r="N1218">
        <v>4950</v>
      </c>
      <c r="O1218">
        <v>810</v>
      </c>
    </row>
    <row r="1219" spans="1:15" x14ac:dyDescent="0.25">
      <c r="A1219" t="s">
        <v>2206</v>
      </c>
      <c r="B1219" s="2">
        <v>46875</v>
      </c>
      <c r="C1219" t="s">
        <v>2207</v>
      </c>
      <c r="D1219" t="s">
        <v>2208</v>
      </c>
      <c r="E1219" t="s">
        <v>39</v>
      </c>
      <c r="F1219" t="s">
        <v>40</v>
      </c>
      <c r="G1219" t="s">
        <v>28</v>
      </c>
      <c r="H1219" t="s">
        <v>63</v>
      </c>
      <c r="I1219" t="s">
        <v>64</v>
      </c>
      <c r="J1219">
        <v>1</v>
      </c>
      <c r="K1219">
        <v>2400</v>
      </c>
      <c r="L1219">
        <v>0.05</v>
      </c>
      <c r="M1219">
        <v>2280</v>
      </c>
      <c r="N1219">
        <v>1650</v>
      </c>
      <c r="O1219">
        <v>630</v>
      </c>
    </row>
    <row r="1220" spans="1:15" x14ac:dyDescent="0.25">
      <c r="A1220" t="s">
        <v>2209</v>
      </c>
      <c r="B1220" s="2">
        <v>46876</v>
      </c>
      <c r="C1220" t="s">
        <v>766</v>
      </c>
      <c r="D1220" t="s">
        <v>767</v>
      </c>
      <c r="E1220" t="s">
        <v>39</v>
      </c>
      <c r="F1220" t="s">
        <v>124</v>
      </c>
      <c r="G1220" t="s">
        <v>28</v>
      </c>
      <c r="H1220" t="s">
        <v>29</v>
      </c>
      <c r="I1220" t="s">
        <v>47</v>
      </c>
      <c r="J1220">
        <v>5</v>
      </c>
      <c r="K1220">
        <v>6800</v>
      </c>
      <c r="L1220">
        <v>0.15</v>
      </c>
      <c r="M1220">
        <v>28900</v>
      </c>
      <c r="N1220">
        <v>23500</v>
      </c>
      <c r="O1220">
        <v>5400</v>
      </c>
    </row>
    <row r="1221" spans="1:15" x14ac:dyDescent="0.25">
      <c r="A1221" t="s">
        <v>2210</v>
      </c>
      <c r="B1221" s="2">
        <v>46877</v>
      </c>
      <c r="C1221" t="s">
        <v>1480</v>
      </c>
      <c r="D1221" t="s">
        <v>1481</v>
      </c>
      <c r="E1221" t="s">
        <v>39</v>
      </c>
      <c r="F1221" t="s">
        <v>124</v>
      </c>
      <c r="G1221" t="s">
        <v>57</v>
      </c>
      <c r="H1221" t="s">
        <v>58</v>
      </c>
      <c r="I1221" t="s">
        <v>129</v>
      </c>
      <c r="J1221">
        <v>2</v>
      </c>
      <c r="K1221">
        <v>4800</v>
      </c>
      <c r="L1221">
        <v>0.2</v>
      </c>
      <c r="M1221">
        <v>7680</v>
      </c>
      <c r="N1221">
        <v>6600</v>
      </c>
      <c r="O1221">
        <v>1080</v>
      </c>
    </row>
    <row r="1222" spans="1:15" x14ac:dyDescent="0.25">
      <c r="A1222" t="s">
        <v>2211</v>
      </c>
      <c r="B1222" s="2">
        <v>46878</v>
      </c>
      <c r="C1222" t="s">
        <v>2022</v>
      </c>
      <c r="D1222" t="s">
        <v>2023</v>
      </c>
      <c r="E1222" t="s">
        <v>96</v>
      </c>
      <c r="F1222" t="s">
        <v>97</v>
      </c>
      <c r="G1222" t="s">
        <v>57</v>
      </c>
      <c r="H1222" t="s">
        <v>188</v>
      </c>
      <c r="I1222" t="s">
        <v>189</v>
      </c>
      <c r="J1222">
        <v>1</v>
      </c>
      <c r="K1222">
        <v>6200</v>
      </c>
      <c r="L1222">
        <v>0.15</v>
      </c>
      <c r="M1222">
        <v>5270</v>
      </c>
      <c r="N1222">
        <v>4300</v>
      </c>
      <c r="O1222">
        <v>970</v>
      </c>
    </row>
    <row r="1223" spans="1:15" x14ac:dyDescent="0.25">
      <c r="A1223" t="s">
        <v>2212</v>
      </c>
      <c r="B1223" s="2">
        <v>46879</v>
      </c>
      <c r="C1223" t="s">
        <v>1031</v>
      </c>
      <c r="D1223" t="s">
        <v>1032</v>
      </c>
      <c r="E1223" t="s">
        <v>26</v>
      </c>
      <c r="F1223" t="s">
        <v>204</v>
      </c>
      <c r="G1223" t="s">
        <v>28</v>
      </c>
      <c r="H1223" t="s">
        <v>29</v>
      </c>
      <c r="I1223" t="s">
        <v>47</v>
      </c>
      <c r="J1223">
        <v>2</v>
      </c>
      <c r="K1223">
        <v>6800</v>
      </c>
      <c r="L1223">
        <v>0</v>
      </c>
      <c r="M1223">
        <v>13600</v>
      </c>
      <c r="N1223">
        <v>9400</v>
      </c>
      <c r="O1223">
        <v>4200</v>
      </c>
    </row>
    <row r="1224" spans="1:15" x14ac:dyDescent="0.25">
      <c r="A1224" t="s">
        <v>2213</v>
      </c>
      <c r="B1224" s="2">
        <v>46880</v>
      </c>
      <c r="C1224" t="s">
        <v>969</v>
      </c>
      <c r="D1224" t="s">
        <v>970</v>
      </c>
      <c r="E1224" t="s">
        <v>18</v>
      </c>
      <c r="F1224" t="s">
        <v>19</v>
      </c>
      <c r="G1224" t="s">
        <v>57</v>
      </c>
      <c r="H1224" t="s">
        <v>58</v>
      </c>
      <c r="I1224" t="s">
        <v>129</v>
      </c>
      <c r="J1224">
        <v>4</v>
      </c>
      <c r="K1224">
        <v>4800</v>
      </c>
      <c r="L1224">
        <v>0.15</v>
      </c>
      <c r="M1224">
        <v>16320</v>
      </c>
      <c r="N1224">
        <v>13200</v>
      </c>
      <c r="O1224">
        <v>3120</v>
      </c>
    </row>
    <row r="1225" spans="1:15" x14ac:dyDescent="0.25">
      <c r="A1225" t="s">
        <v>2214</v>
      </c>
      <c r="B1225" s="2">
        <v>46881</v>
      </c>
      <c r="C1225" t="s">
        <v>849</v>
      </c>
      <c r="D1225" t="s">
        <v>850</v>
      </c>
      <c r="E1225" t="s">
        <v>96</v>
      </c>
      <c r="F1225" t="s">
        <v>196</v>
      </c>
      <c r="G1225" t="s">
        <v>51</v>
      </c>
      <c r="H1225" t="s">
        <v>89</v>
      </c>
      <c r="I1225" t="s">
        <v>90</v>
      </c>
      <c r="J1225">
        <v>5</v>
      </c>
      <c r="K1225">
        <v>10500</v>
      </c>
      <c r="L1225">
        <v>0.2</v>
      </c>
      <c r="M1225">
        <v>42000</v>
      </c>
      <c r="N1225">
        <v>38000</v>
      </c>
      <c r="O1225">
        <v>4000</v>
      </c>
    </row>
    <row r="1226" spans="1:15" x14ac:dyDescent="0.25">
      <c r="A1226" t="s">
        <v>2215</v>
      </c>
      <c r="B1226" s="2">
        <v>46882</v>
      </c>
      <c r="C1226" t="s">
        <v>1682</v>
      </c>
      <c r="D1226" t="s">
        <v>1683</v>
      </c>
      <c r="E1226" t="s">
        <v>96</v>
      </c>
      <c r="F1226" t="s">
        <v>120</v>
      </c>
      <c r="G1226" t="s">
        <v>57</v>
      </c>
      <c r="H1226" t="s">
        <v>58</v>
      </c>
      <c r="I1226" t="s">
        <v>129</v>
      </c>
      <c r="J1226">
        <v>3</v>
      </c>
      <c r="K1226">
        <v>4800</v>
      </c>
      <c r="L1226">
        <v>0.1</v>
      </c>
      <c r="M1226">
        <v>12960</v>
      </c>
      <c r="N1226">
        <v>9900</v>
      </c>
      <c r="O1226">
        <v>3060</v>
      </c>
    </row>
    <row r="1227" spans="1:15" x14ac:dyDescent="0.25">
      <c r="A1227" t="s">
        <v>2216</v>
      </c>
      <c r="B1227" s="2">
        <v>46883</v>
      </c>
      <c r="C1227" t="s">
        <v>945</v>
      </c>
      <c r="D1227" t="s">
        <v>946</v>
      </c>
      <c r="E1227" t="s">
        <v>18</v>
      </c>
      <c r="F1227" t="s">
        <v>227</v>
      </c>
      <c r="G1227" t="s">
        <v>20</v>
      </c>
      <c r="H1227" t="s">
        <v>84</v>
      </c>
      <c r="I1227" t="s">
        <v>85</v>
      </c>
      <c r="J1227">
        <v>2</v>
      </c>
      <c r="K1227">
        <v>280</v>
      </c>
      <c r="L1227">
        <v>0.1</v>
      </c>
      <c r="M1227">
        <v>504</v>
      </c>
      <c r="N1227">
        <v>320</v>
      </c>
      <c r="O1227">
        <v>184</v>
      </c>
    </row>
    <row r="1228" spans="1:15" x14ac:dyDescent="0.25">
      <c r="A1228" t="s">
        <v>2217</v>
      </c>
      <c r="B1228" s="2">
        <v>46884</v>
      </c>
      <c r="C1228" t="s">
        <v>256</v>
      </c>
      <c r="D1228" t="s">
        <v>257</v>
      </c>
      <c r="E1228" t="s">
        <v>18</v>
      </c>
      <c r="F1228" t="s">
        <v>94</v>
      </c>
      <c r="G1228" t="s">
        <v>57</v>
      </c>
      <c r="H1228" t="s">
        <v>188</v>
      </c>
      <c r="I1228" t="s">
        <v>189</v>
      </c>
      <c r="J1228">
        <v>2</v>
      </c>
      <c r="K1228">
        <v>6200</v>
      </c>
      <c r="L1228">
        <v>0.2</v>
      </c>
      <c r="M1228">
        <v>9920</v>
      </c>
      <c r="N1228">
        <v>8600</v>
      </c>
      <c r="O1228">
        <v>1320</v>
      </c>
    </row>
    <row r="1229" spans="1:15" x14ac:dyDescent="0.25">
      <c r="A1229" t="s">
        <v>2218</v>
      </c>
      <c r="B1229" s="2">
        <v>46885</v>
      </c>
      <c r="C1229" t="s">
        <v>1442</v>
      </c>
      <c r="D1229" t="s">
        <v>1443</v>
      </c>
      <c r="E1229" t="s">
        <v>26</v>
      </c>
      <c r="F1229" t="s">
        <v>34</v>
      </c>
      <c r="G1229" t="s">
        <v>51</v>
      </c>
      <c r="H1229" t="s">
        <v>52</v>
      </c>
      <c r="I1229" t="s">
        <v>208</v>
      </c>
      <c r="J1229">
        <v>5</v>
      </c>
      <c r="K1229">
        <v>2800</v>
      </c>
      <c r="L1229">
        <v>0.2</v>
      </c>
      <c r="M1229">
        <v>11200</v>
      </c>
      <c r="N1229">
        <v>9000</v>
      </c>
      <c r="O1229">
        <v>2200</v>
      </c>
    </row>
    <row r="1230" spans="1:15" x14ac:dyDescent="0.25">
      <c r="A1230" t="s">
        <v>2219</v>
      </c>
      <c r="B1230" s="2">
        <v>46886</v>
      </c>
      <c r="C1230" t="s">
        <v>697</v>
      </c>
      <c r="D1230" t="s">
        <v>698</v>
      </c>
      <c r="E1230" t="s">
        <v>18</v>
      </c>
      <c r="F1230" t="s">
        <v>19</v>
      </c>
      <c r="G1230" t="s">
        <v>51</v>
      </c>
      <c r="H1230" t="s">
        <v>52</v>
      </c>
      <c r="I1230" t="s">
        <v>53</v>
      </c>
      <c r="J1230">
        <v>5</v>
      </c>
      <c r="K1230">
        <v>2200</v>
      </c>
      <c r="L1230">
        <v>0.05</v>
      </c>
      <c r="M1230">
        <v>10450</v>
      </c>
      <c r="N1230">
        <v>7250</v>
      </c>
      <c r="O1230">
        <v>3200</v>
      </c>
    </row>
    <row r="1231" spans="1:15" x14ac:dyDescent="0.25">
      <c r="A1231" t="s">
        <v>2220</v>
      </c>
      <c r="B1231" s="2">
        <v>46887</v>
      </c>
      <c r="C1231" t="s">
        <v>2131</v>
      </c>
      <c r="D1231" t="s">
        <v>2132</v>
      </c>
      <c r="E1231" t="s">
        <v>39</v>
      </c>
      <c r="F1231" t="s">
        <v>76</v>
      </c>
      <c r="G1231" t="s">
        <v>51</v>
      </c>
      <c r="H1231" t="s">
        <v>52</v>
      </c>
      <c r="I1231" t="s">
        <v>208</v>
      </c>
      <c r="J1231">
        <v>3</v>
      </c>
      <c r="K1231">
        <v>2800</v>
      </c>
      <c r="L1231">
        <v>0.1</v>
      </c>
      <c r="M1231">
        <v>7560</v>
      </c>
      <c r="N1231">
        <v>5400</v>
      </c>
      <c r="O1231">
        <v>2160</v>
      </c>
    </row>
    <row r="1232" spans="1:15" x14ac:dyDescent="0.25">
      <c r="A1232" t="s">
        <v>2221</v>
      </c>
      <c r="B1232" s="2">
        <v>46888</v>
      </c>
      <c r="C1232" t="s">
        <v>570</v>
      </c>
      <c r="D1232" t="s">
        <v>571</v>
      </c>
      <c r="E1232" t="s">
        <v>96</v>
      </c>
      <c r="F1232" t="s">
        <v>97</v>
      </c>
      <c r="G1232" t="s">
        <v>51</v>
      </c>
      <c r="H1232" t="s">
        <v>52</v>
      </c>
      <c r="I1232" t="s">
        <v>208</v>
      </c>
      <c r="J1232">
        <v>3</v>
      </c>
      <c r="K1232">
        <v>2800</v>
      </c>
      <c r="L1232">
        <v>0.05</v>
      </c>
      <c r="M1232">
        <v>7980</v>
      </c>
      <c r="N1232">
        <v>5400</v>
      </c>
      <c r="O1232">
        <v>2580</v>
      </c>
    </row>
    <row r="1233" spans="1:15" x14ac:dyDescent="0.25">
      <c r="A1233" t="s">
        <v>2222</v>
      </c>
      <c r="B1233" s="2">
        <v>46889</v>
      </c>
      <c r="C1233" t="s">
        <v>216</v>
      </c>
      <c r="D1233" t="s">
        <v>217</v>
      </c>
      <c r="E1233" t="s">
        <v>26</v>
      </c>
      <c r="F1233" t="s">
        <v>27</v>
      </c>
      <c r="G1233" t="s">
        <v>51</v>
      </c>
      <c r="H1233" t="s">
        <v>89</v>
      </c>
      <c r="I1233" t="s">
        <v>90</v>
      </c>
      <c r="J1233">
        <v>2</v>
      </c>
      <c r="K1233">
        <v>10500</v>
      </c>
      <c r="L1233">
        <v>0.1</v>
      </c>
      <c r="M1233">
        <v>18900</v>
      </c>
      <c r="N1233">
        <v>15200</v>
      </c>
      <c r="O1233">
        <v>3700</v>
      </c>
    </row>
    <row r="1234" spans="1:15" x14ac:dyDescent="0.25">
      <c r="A1234" t="s">
        <v>2223</v>
      </c>
      <c r="B1234" s="2">
        <v>46890</v>
      </c>
      <c r="C1234" t="s">
        <v>1417</v>
      </c>
      <c r="D1234" t="s">
        <v>1418</v>
      </c>
      <c r="E1234" t="s">
        <v>18</v>
      </c>
      <c r="F1234" t="s">
        <v>115</v>
      </c>
      <c r="G1234" t="s">
        <v>51</v>
      </c>
      <c r="H1234" t="s">
        <v>52</v>
      </c>
      <c r="I1234" t="s">
        <v>53</v>
      </c>
      <c r="J1234">
        <v>4</v>
      </c>
      <c r="K1234">
        <v>2200</v>
      </c>
      <c r="L1234">
        <v>0.05</v>
      </c>
      <c r="M1234">
        <v>8360</v>
      </c>
      <c r="N1234">
        <v>5800</v>
      </c>
      <c r="O1234">
        <v>2560</v>
      </c>
    </row>
    <row r="1235" spans="1:15" x14ac:dyDescent="0.25">
      <c r="A1235" t="s">
        <v>2224</v>
      </c>
      <c r="B1235" s="2">
        <v>46891</v>
      </c>
      <c r="C1235" t="s">
        <v>2078</v>
      </c>
      <c r="D1235" t="s">
        <v>2079</v>
      </c>
      <c r="E1235" t="s">
        <v>18</v>
      </c>
      <c r="F1235" t="s">
        <v>94</v>
      </c>
      <c r="G1235" t="s">
        <v>28</v>
      </c>
      <c r="H1235" t="s">
        <v>29</v>
      </c>
      <c r="I1235" t="s">
        <v>35</v>
      </c>
      <c r="J1235">
        <v>2</v>
      </c>
      <c r="K1235">
        <v>4200</v>
      </c>
      <c r="L1235">
        <v>0.1</v>
      </c>
      <c r="M1235">
        <v>7560</v>
      </c>
      <c r="N1235">
        <v>5800</v>
      </c>
      <c r="O1235">
        <v>1760</v>
      </c>
    </row>
    <row r="1236" spans="1:15" x14ac:dyDescent="0.25">
      <c r="A1236" t="s">
        <v>2225</v>
      </c>
      <c r="B1236" s="2">
        <v>46892</v>
      </c>
      <c r="C1236" t="s">
        <v>640</v>
      </c>
      <c r="D1236" t="s">
        <v>641</v>
      </c>
      <c r="E1236" t="s">
        <v>39</v>
      </c>
      <c r="F1236" t="s">
        <v>124</v>
      </c>
      <c r="G1236" t="s">
        <v>57</v>
      </c>
      <c r="H1236" t="s">
        <v>104</v>
      </c>
      <c r="I1236" t="s">
        <v>105</v>
      </c>
      <c r="J1236">
        <v>2</v>
      </c>
      <c r="K1236">
        <v>7500</v>
      </c>
      <c r="L1236">
        <v>0.15</v>
      </c>
      <c r="M1236">
        <v>12750</v>
      </c>
      <c r="N1236">
        <v>10400</v>
      </c>
      <c r="O1236">
        <v>2350</v>
      </c>
    </row>
    <row r="1237" spans="1:15" x14ac:dyDescent="0.25">
      <c r="A1237" t="s">
        <v>2226</v>
      </c>
      <c r="B1237" s="2">
        <v>46893</v>
      </c>
      <c r="C1237" t="s">
        <v>146</v>
      </c>
      <c r="D1237" t="s">
        <v>147</v>
      </c>
      <c r="E1237" t="s">
        <v>96</v>
      </c>
      <c r="F1237" t="s">
        <v>120</v>
      </c>
      <c r="G1237" t="s">
        <v>57</v>
      </c>
      <c r="H1237" t="s">
        <v>188</v>
      </c>
      <c r="I1237" t="s">
        <v>189</v>
      </c>
      <c r="J1237">
        <v>2</v>
      </c>
      <c r="K1237">
        <v>6200</v>
      </c>
      <c r="L1237">
        <v>0.15</v>
      </c>
      <c r="M1237">
        <v>10540</v>
      </c>
      <c r="N1237">
        <v>8600</v>
      </c>
      <c r="O1237">
        <v>1940</v>
      </c>
    </row>
    <row r="1238" spans="1:15" x14ac:dyDescent="0.25">
      <c r="A1238" t="s">
        <v>2227</v>
      </c>
      <c r="B1238" s="2">
        <v>46894</v>
      </c>
      <c r="C1238" t="s">
        <v>838</v>
      </c>
      <c r="D1238" t="s">
        <v>839</v>
      </c>
      <c r="E1238" t="s">
        <v>39</v>
      </c>
      <c r="F1238" t="s">
        <v>40</v>
      </c>
      <c r="G1238" t="s">
        <v>51</v>
      </c>
      <c r="H1238" t="s">
        <v>52</v>
      </c>
      <c r="I1238" t="s">
        <v>208</v>
      </c>
      <c r="J1238">
        <v>1</v>
      </c>
      <c r="K1238">
        <v>2800</v>
      </c>
      <c r="L1238">
        <v>0.1</v>
      </c>
      <c r="M1238">
        <v>2520</v>
      </c>
      <c r="N1238">
        <v>1800</v>
      </c>
      <c r="O1238">
        <v>720</v>
      </c>
    </row>
    <row r="1239" spans="1:15" x14ac:dyDescent="0.25">
      <c r="A1239" t="s">
        <v>2228</v>
      </c>
      <c r="B1239" s="2">
        <v>46895</v>
      </c>
      <c r="C1239" t="s">
        <v>1671</v>
      </c>
      <c r="D1239" t="s">
        <v>1672</v>
      </c>
      <c r="E1239" t="s">
        <v>26</v>
      </c>
      <c r="F1239" t="s">
        <v>204</v>
      </c>
      <c r="G1239" t="s">
        <v>28</v>
      </c>
      <c r="H1239" t="s">
        <v>29</v>
      </c>
      <c r="I1239" t="s">
        <v>35</v>
      </c>
      <c r="J1239">
        <v>3</v>
      </c>
      <c r="K1239">
        <v>4200</v>
      </c>
      <c r="L1239">
        <v>0.05</v>
      </c>
      <c r="M1239">
        <v>11970</v>
      </c>
      <c r="N1239">
        <v>8700</v>
      </c>
      <c r="O1239">
        <v>3270</v>
      </c>
    </row>
    <row r="1240" spans="1:15" x14ac:dyDescent="0.25">
      <c r="A1240" t="s">
        <v>2229</v>
      </c>
      <c r="B1240" s="2">
        <v>46896</v>
      </c>
      <c r="C1240" t="s">
        <v>2230</v>
      </c>
      <c r="D1240" t="s">
        <v>2231</v>
      </c>
      <c r="E1240" t="s">
        <v>39</v>
      </c>
      <c r="F1240" t="s">
        <v>76</v>
      </c>
      <c r="G1240" t="s">
        <v>57</v>
      </c>
      <c r="H1240" t="s">
        <v>58</v>
      </c>
      <c r="I1240" t="s">
        <v>129</v>
      </c>
      <c r="J1240">
        <v>3</v>
      </c>
      <c r="K1240">
        <v>4800</v>
      </c>
      <c r="L1240">
        <v>0.1</v>
      </c>
      <c r="M1240">
        <v>12960</v>
      </c>
      <c r="N1240">
        <v>9900</v>
      </c>
      <c r="O1240">
        <v>3060</v>
      </c>
    </row>
    <row r="1241" spans="1:15" x14ac:dyDescent="0.25">
      <c r="A1241" t="s">
        <v>2232</v>
      </c>
      <c r="B1241" s="2">
        <v>46897</v>
      </c>
      <c r="C1241" t="s">
        <v>2233</v>
      </c>
      <c r="D1241" t="s">
        <v>2234</v>
      </c>
      <c r="E1241" t="s">
        <v>39</v>
      </c>
      <c r="F1241" t="s">
        <v>124</v>
      </c>
      <c r="G1241" t="s">
        <v>20</v>
      </c>
      <c r="H1241" t="s">
        <v>21</v>
      </c>
      <c r="I1241" t="s">
        <v>22</v>
      </c>
      <c r="J1241">
        <v>3</v>
      </c>
      <c r="K1241">
        <v>650</v>
      </c>
      <c r="L1241">
        <v>0.05</v>
      </c>
      <c r="M1241">
        <v>1852.5</v>
      </c>
      <c r="N1241">
        <v>1170</v>
      </c>
      <c r="O1241">
        <v>682.5</v>
      </c>
    </row>
    <row r="1242" spans="1:15" x14ac:dyDescent="0.25">
      <c r="A1242" t="s">
        <v>2235</v>
      </c>
      <c r="B1242" s="2">
        <v>46898</v>
      </c>
      <c r="C1242" t="s">
        <v>143</v>
      </c>
      <c r="D1242" t="s">
        <v>144</v>
      </c>
      <c r="E1242" t="s">
        <v>26</v>
      </c>
      <c r="F1242" t="s">
        <v>46</v>
      </c>
      <c r="G1242" t="s">
        <v>28</v>
      </c>
      <c r="H1242" t="s">
        <v>29</v>
      </c>
      <c r="I1242" t="s">
        <v>35</v>
      </c>
      <c r="J1242">
        <v>1</v>
      </c>
      <c r="K1242">
        <v>4200</v>
      </c>
      <c r="L1242">
        <v>0.15</v>
      </c>
      <c r="M1242">
        <v>3570</v>
      </c>
      <c r="N1242">
        <v>2900</v>
      </c>
      <c r="O1242">
        <v>670</v>
      </c>
    </row>
    <row r="1243" spans="1:15" x14ac:dyDescent="0.25">
      <c r="A1243" t="s">
        <v>2236</v>
      </c>
      <c r="B1243" s="2">
        <v>46899</v>
      </c>
      <c r="C1243" t="s">
        <v>357</v>
      </c>
      <c r="D1243" t="s">
        <v>358</v>
      </c>
      <c r="E1243" t="s">
        <v>26</v>
      </c>
      <c r="F1243" t="s">
        <v>34</v>
      </c>
      <c r="G1243" t="s">
        <v>28</v>
      </c>
      <c r="H1243" t="s">
        <v>29</v>
      </c>
      <c r="I1243" t="s">
        <v>35</v>
      </c>
      <c r="J1243">
        <v>5</v>
      </c>
      <c r="K1243">
        <v>4200</v>
      </c>
      <c r="L1243">
        <v>0.05</v>
      </c>
      <c r="M1243">
        <v>19950</v>
      </c>
      <c r="N1243">
        <v>14500</v>
      </c>
      <c r="O1243">
        <v>5450</v>
      </c>
    </row>
    <row r="1244" spans="1:15" x14ac:dyDescent="0.25">
      <c r="A1244" t="s">
        <v>2237</v>
      </c>
      <c r="B1244" s="2">
        <v>46900</v>
      </c>
      <c r="C1244" t="s">
        <v>177</v>
      </c>
      <c r="D1244" t="s">
        <v>178</v>
      </c>
      <c r="E1244" t="s">
        <v>26</v>
      </c>
      <c r="F1244" t="s">
        <v>204</v>
      </c>
      <c r="G1244" t="s">
        <v>57</v>
      </c>
      <c r="H1244" t="s">
        <v>188</v>
      </c>
      <c r="I1244" t="s">
        <v>189</v>
      </c>
      <c r="J1244">
        <v>1</v>
      </c>
      <c r="K1244">
        <v>6200</v>
      </c>
      <c r="L1244">
        <v>0.1</v>
      </c>
      <c r="M1244">
        <v>5580</v>
      </c>
      <c r="N1244">
        <v>4300</v>
      </c>
      <c r="O1244">
        <v>1280</v>
      </c>
    </row>
    <row r="1245" spans="1:15" x14ac:dyDescent="0.25">
      <c r="A1245" t="s">
        <v>2238</v>
      </c>
      <c r="B1245" s="2">
        <v>46901</v>
      </c>
      <c r="C1245" t="s">
        <v>1186</v>
      </c>
      <c r="D1245" t="s">
        <v>1187</v>
      </c>
      <c r="E1245" t="s">
        <v>26</v>
      </c>
      <c r="F1245" t="s">
        <v>34</v>
      </c>
      <c r="G1245" t="s">
        <v>28</v>
      </c>
      <c r="H1245" t="s">
        <v>29</v>
      </c>
      <c r="I1245" t="s">
        <v>47</v>
      </c>
      <c r="J1245">
        <v>4</v>
      </c>
      <c r="K1245">
        <v>6800</v>
      </c>
      <c r="L1245">
        <v>0</v>
      </c>
      <c r="M1245">
        <v>27200</v>
      </c>
      <c r="N1245">
        <v>18800</v>
      </c>
      <c r="O1245">
        <v>8400</v>
      </c>
    </row>
    <row r="1246" spans="1:15" x14ac:dyDescent="0.25">
      <c r="A1246" t="s">
        <v>2239</v>
      </c>
      <c r="B1246" s="2">
        <v>46902</v>
      </c>
      <c r="C1246" t="s">
        <v>1092</v>
      </c>
      <c r="D1246" t="s">
        <v>1093</v>
      </c>
      <c r="E1246" t="s">
        <v>39</v>
      </c>
      <c r="F1246" t="s">
        <v>124</v>
      </c>
      <c r="G1246" t="s">
        <v>51</v>
      </c>
      <c r="H1246" t="s">
        <v>52</v>
      </c>
      <c r="I1246" t="s">
        <v>53</v>
      </c>
      <c r="J1246">
        <v>5</v>
      </c>
      <c r="K1246">
        <v>2200</v>
      </c>
      <c r="L1246">
        <v>0.1</v>
      </c>
      <c r="M1246">
        <v>9900</v>
      </c>
      <c r="N1246">
        <v>7250</v>
      </c>
      <c r="O1246">
        <v>2650</v>
      </c>
    </row>
    <row r="1247" spans="1:15" x14ac:dyDescent="0.25">
      <c r="A1247" t="s">
        <v>2240</v>
      </c>
      <c r="B1247" s="2">
        <v>46903</v>
      </c>
      <c r="C1247" t="s">
        <v>2241</v>
      </c>
      <c r="D1247" t="s">
        <v>2242</v>
      </c>
      <c r="E1247" t="s">
        <v>96</v>
      </c>
      <c r="F1247" t="s">
        <v>97</v>
      </c>
      <c r="G1247" t="s">
        <v>28</v>
      </c>
      <c r="H1247" t="s">
        <v>29</v>
      </c>
      <c r="I1247" t="s">
        <v>35</v>
      </c>
      <c r="J1247">
        <v>3</v>
      </c>
      <c r="K1247">
        <v>4200</v>
      </c>
      <c r="L1247">
        <v>0.1</v>
      </c>
      <c r="M1247">
        <v>11340</v>
      </c>
      <c r="N1247">
        <v>8700</v>
      </c>
      <c r="O1247">
        <v>2640</v>
      </c>
    </row>
    <row r="1248" spans="1:15" x14ac:dyDescent="0.25">
      <c r="A1248" t="s">
        <v>2243</v>
      </c>
      <c r="B1248" s="2">
        <v>46904</v>
      </c>
      <c r="C1248" t="s">
        <v>501</v>
      </c>
      <c r="D1248" t="s">
        <v>502</v>
      </c>
      <c r="E1248" t="s">
        <v>96</v>
      </c>
      <c r="F1248" t="s">
        <v>196</v>
      </c>
      <c r="G1248" t="s">
        <v>57</v>
      </c>
      <c r="H1248" t="s">
        <v>104</v>
      </c>
      <c r="I1248" t="s">
        <v>105</v>
      </c>
      <c r="J1248">
        <v>2</v>
      </c>
      <c r="K1248">
        <v>7500</v>
      </c>
      <c r="L1248">
        <v>0.25</v>
      </c>
      <c r="M1248">
        <v>11250</v>
      </c>
      <c r="N1248">
        <v>10400</v>
      </c>
      <c r="O1248">
        <v>850</v>
      </c>
    </row>
    <row r="1249" spans="1:15" x14ac:dyDescent="0.25">
      <c r="A1249" t="s">
        <v>2244</v>
      </c>
      <c r="B1249" s="2">
        <v>46905</v>
      </c>
      <c r="C1249" t="s">
        <v>232</v>
      </c>
      <c r="D1249" t="s">
        <v>233</v>
      </c>
      <c r="E1249" t="s">
        <v>26</v>
      </c>
      <c r="F1249" t="s">
        <v>46</v>
      </c>
      <c r="G1249" t="s">
        <v>51</v>
      </c>
      <c r="H1249" t="s">
        <v>21</v>
      </c>
      <c r="I1249" t="s">
        <v>80</v>
      </c>
      <c r="J1249">
        <v>1</v>
      </c>
      <c r="K1249">
        <v>850</v>
      </c>
      <c r="L1249">
        <v>0.1</v>
      </c>
      <c r="M1249">
        <v>765</v>
      </c>
      <c r="N1249">
        <v>560</v>
      </c>
      <c r="O1249">
        <v>205</v>
      </c>
    </row>
    <row r="1250" spans="1:15" x14ac:dyDescent="0.25">
      <c r="A1250" t="s">
        <v>2245</v>
      </c>
      <c r="B1250" s="2">
        <v>46906</v>
      </c>
      <c r="C1250" t="s">
        <v>1480</v>
      </c>
      <c r="D1250" t="s">
        <v>1481</v>
      </c>
      <c r="E1250" t="s">
        <v>26</v>
      </c>
      <c r="F1250" t="s">
        <v>128</v>
      </c>
      <c r="G1250" t="s">
        <v>20</v>
      </c>
      <c r="H1250" t="s">
        <v>84</v>
      </c>
      <c r="I1250" t="s">
        <v>210</v>
      </c>
      <c r="J1250">
        <v>1</v>
      </c>
      <c r="K1250">
        <v>300</v>
      </c>
      <c r="L1250">
        <v>0.1</v>
      </c>
      <c r="M1250">
        <v>270</v>
      </c>
      <c r="N1250">
        <v>170</v>
      </c>
      <c r="O1250">
        <v>100</v>
      </c>
    </row>
    <row r="1251" spans="1:15" x14ac:dyDescent="0.25">
      <c r="A1251" t="s">
        <v>2246</v>
      </c>
      <c r="B1251" s="2">
        <v>46907</v>
      </c>
      <c r="C1251" t="s">
        <v>2247</v>
      </c>
      <c r="D1251" t="s">
        <v>2248</v>
      </c>
      <c r="E1251" t="s">
        <v>18</v>
      </c>
      <c r="F1251" t="s">
        <v>227</v>
      </c>
      <c r="G1251" t="s">
        <v>20</v>
      </c>
      <c r="H1251" t="s">
        <v>84</v>
      </c>
      <c r="I1251" t="s">
        <v>85</v>
      </c>
      <c r="J1251">
        <v>4</v>
      </c>
      <c r="K1251">
        <v>280</v>
      </c>
      <c r="L1251">
        <v>0</v>
      </c>
      <c r="M1251">
        <v>1120</v>
      </c>
      <c r="N1251">
        <v>640</v>
      </c>
      <c r="O1251">
        <v>480</v>
      </c>
    </row>
    <row r="1252" spans="1:15" x14ac:dyDescent="0.25">
      <c r="A1252" t="s">
        <v>2249</v>
      </c>
      <c r="B1252" s="2">
        <v>46908</v>
      </c>
      <c r="C1252" t="s">
        <v>1167</v>
      </c>
      <c r="D1252" t="s">
        <v>1168</v>
      </c>
      <c r="E1252" t="s">
        <v>26</v>
      </c>
      <c r="F1252" t="s">
        <v>27</v>
      </c>
      <c r="G1252" t="s">
        <v>20</v>
      </c>
      <c r="H1252" t="s">
        <v>21</v>
      </c>
      <c r="I1252" t="s">
        <v>22</v>
      </c>
      <c r="J1252">
        <v>1</v>
      </c>
      <c r="K1252">
        <v>650</v>
      </c>
      <c r="L1252">
        <v>0.1</v>
      </c>
      <c r="M1252">
        <v>585</v>
      </c>
      <c r="N1252">
        <v>390</v>
      </c>
      <c r="O1252">
        <v>195</v>
      </c>
    </row>
    <row r="1253" spans="1:15" x14ac:dyDescent="0.25">
      <c r="A1253" t="s">
        <v>2250</v>
      </c>
      <c r="B1253" s="2">
        <v>46909</v>
      </c>
      <c r="C1253" t="s">
        <v>2099</v>
      </c>
      <c r="D1253" t="s">
        <v>2100</v>
      </c>
      <c r="E1253" t="s">
        <v>26</v>
      </c>
      <c r="F1253" t="s">
        <v>204</v>
      </c>
      <c r="G1253" t="s">
        <v>20</v>
      </c>
      <c r="H1253" t="s">
        <v>84</v>
      </c>
      <c r="I1253" t="s">
        <v>85</v>
      </c>
      <c r="J1253">
        <v>5</v>
      </c>
      <c r="K1253">
        <v>280</v>
      </c>
      <c r="L1253">
        <v>0.1</v>
      </c>
      <c r="M1253">
        <v>1260</v>
      </c>
      <c r="N1253">
        <v>800</v>
      </c>
      <c r="O1253">
        <v>460</v>
      </c>
    </row>
    <row r="1254" spans="1:15" x14ac:dyDescent="0.25">
      <c r="A1254" t="s">
        <v>2251</v>
      </c>
      <c r="B1254" s="2">
        <v>46910</v>
      </c>
      <c r="C1254" t="s">
        <v>423</v>
      </c>
      <c r="D1254" t="s">
        <v>424</v>
      </c>
      <c r="E1254" t="s">
        <v>26</v>
      </c>
      <c r="F1254" t="s">
        <v>34</v>
      </c>
      <c r="G1254" t="s">
        <v>51</v>
      </c>
      <c r="H1254" t="s">
        <v>21</v>
      </c>
      <c r="I1254" t="s">
        <v>116</v>
      </c>
      <c r="J1254">
        <v>5</v>
      </c>
      <c r="K1254">
        <v>1400</v>
      </c>
      <c r="L1254">
        <v>0.1</v>
      </c>
      <c r="M1254">
        <v>6300</v>
      </c>
      <c r="N1254">
        <v>4500</v>
      </c>
      <c r="O1254">
        <v>1800</v>
      </c>
    </row>
    <row r="1255" spans="1:15" x14ac:dyDescent="0.25">
      <c r="A1255" t="s">
        <v>2252</v>
      </c>
      <c r="B1255" s="2">
        <v>46911</v>
      </c>
      <c r="C1255" t="s">
        <v>1612</v>
      </c>
      <c r="D1255" t="s">
        <v>1613</v>
      </c>
      <c r="E1255" t="s">
        <v>39</v>
      </c>
      <c r="F1255" t="s">
        <v>40</v>
      </c>
      <c r="G1255" t="s">
        <v>28</v>
      </c>
      <c r="H1255" t="s">
        <v>29</v>
      </c>
      <c r="I1255" t="s">
        <v>47</v>
      </c>
      <c r="J1255">
        <v>2</v>
      </c>
      <c r="K1255">
        <v>6800</v>
      </c>
      <c r="L1255">
        <v>0.15</v>
      </c>
      <c r="M1255">
        <v>11560</v>
      </c>
      <c r="N1255">
        <v>9400</v>
      </c>
      <c r="O1255">
        <v>2160</v>
      </c>
    </row>
    <row r="1256" spans="1:15" x14ac:dyDescent="0.25">
      <c r="A1256" t="s">
        <v>2253</v>
      </c>
      <c r="B1256" s="2">
        <v>46912</v>
      </c>
      <c r="C1256" t="s">
        <v>1626</v>
      </c>
      <c r="D1256" t="s">
        <v>1627</v>
      </c>
      <c r="E1256" t="s">
        <v>96</v>
      </c>
      <c r="F1256" t="s">
        <v>200</v>
      </c>
      <c r="G1256" t="s">
        <v>51</v>
      </c>
      <c r="H1256" t="s">
        <v>52</v>
      </c>
      <c r="I1256" t="s">
        <v>208</v>
      </c>
      <c r="J1256">
        <v>5</v>
      </c>
      <c r="K1256">
        <v>2800</v>
      </c>
      <c r="L1256">
        <v>0.15</v>
      </c>
      <c r="M1256">
        <v>11900</v>
      </c>
      <c r="N1256">
        <v>9000</v>
      </c>
      <c r="O1256">
        <v>2900</v>
      </c>
    </row>
    <row r="1257" spans="1:15" x14ac:dyDescent="0.25">
      <c r="A1257" t="s">
        <v>2254</v>
      </c>
      <c r="B1257" s="2">
        <v>46913</v>
      </c>
      <c r="C1257" t="s">
        <v>603</v>
      </c>
      <c r="D1257" t="s">
        <v>604</v>
      </c>
      <c r="E1257" t="s">
        <v>96</v>
      </c>
      <c r="F1257" t="s">
        <v>200</v>
      </c>
      <c r="G1257" t="s">
        <v>51</v>
      </c>
      <c r="H1257" t="s">
        <v>21</v>
      </c>
      <c r="I1257" t="s">
        <v>80</v>
      </c>
      <c r="J1257">
        <v>4</v>
      </c>
      <c r="K1257">
        <v>850</v>
      </c>
      <c r="L1257">
        <v>0.1</v>
      </c>
      <c r="M1257">
        <v>3060</v>
      </c>
      <c r="N1257">
        <v>2240</v>
      </c>
      <c r="O1257">
        <v>820</v>
      </c>
    </row>
    <row r="1258" spans="1:15" x14ac:dyDescent="0.25">
      <c r="A1258" t="s">
        <v>2255</v>
      </c>
      <c r="B1258" s="2">
        <v>46914</v>
      </c>
      <c r="C1258" t="s">
        <v>439</v>
      </c>
      <c r="D1258" t="s">
        <v>440</v>
      </c>
      <c r="E1258" t="s">
        <v>26</v>
      </c>
      <c r="F1258" t="s">
        <v>204</v>
      </c>
      <c r="G1258" t="s">
        <v>20</v>
      </c>
      <c r="H1258" t="s">
        <v>84</v>
      </c>
      <c r="I1258" t="s">
        <v>210</v>
      </c>
      <c r="J1258">
        <v>3</v>
      </c>
      <c r="K1258">
        <v>300</v>
      </c>
      <c r="L1258">
        <v>0.15</v>
      </c>
      <c r="M1258">
        <v>765</v>
      </c>
      <c r="N1258">
        <v>510</v>
      </c>
      <c r="O1258">
        <v>255</v>
      </c>
    </row>
    <row r="1259" spans="1:15" x14ac:dyDescent="0.25">
      <c r="A1259" t="s">
        <v>2256</v>
      </c>
      <c r="B1259" s="2">
        <v>46915</v>
      </c>
      <c r="C1259" t="s">
        <v>865</v>
      </c>
      <c r="D1259" t="s">
        <v>866</v>
      </c>
      <c r="E1259" t="s">
        <v>26</v>
      </c>
      <c r="F1259" t="s">
        <v>128</v>
      </c>
      <c r="G1259" t="s">
        <v>20</v>
      </c>
      <c r="H1259" t="s">
        <v>41</v>
      </c>
      <c r="I1259" t="s">
        <v>42</v>
      </c>
      <c r="J1259">
        <v>1</v>
      </c>
      <c r="K1259">
        <v>520</v>
      </c>
      <c r="L1259">
        <v>0.15</v>
      </c>
      <c r="M1259">
        <v>442</v>
      </c>
      <c r="N1259">
        <v>330</v>
      </c>
      <c r="O1259">
        <v>112</v>
      </c>
    </row>
    <row r="1260" spans="1:15" x14ac:dyDescent="0.25">
      <c r="A1260" t="s">
        <v>2257</v>
      </c>
      <c r="B1260" s="2">
        <v>46916</v>
      </c>
      <c r="C1260" t="s">
        <v>640</v>
      </c>
      <c r="D1260" t="s">
        <v>641</v>
      </c>
      <c r="E1260" t="s">
        <v>26</v>
      </c>
      <c r="F1260" t="s">
        <v>128</v>
      </c>
      <c r="G1260" t="s">
        <v>51</v>
      </c>
      <c r="H1260" t="s">
        <v>52</v>
      </c>
      <c r="I1260" t="s">
        <v>53</v>
      </c>
      <c r="J1260">
        <v>3</v>
      </c>
      <c r="K1260">
        <v>2200</v>
      </c>
      <c r="L1260">
        <v>0.15</v>
      </c>
      <c r="M1260">
        <v>5610</v>
      </c>
      <c r="N1260">
        <v>4350</v>
      </c>
      <c r="O1260">
        <v>1260</v>
      </c>
    </row>
    <row r="1261" spans="1:15" x14ac:dyDescent="0.25">
      <c r="A1261" t="s">
        <v>2258</v>
      </c>
      <c r="B1261" s="2">
        <v>46917</v>
      </c>
      <c r="C1261" t="s">
        <v>430</v>
      </c>
      <c r="D1261" t="s">
        <v>431</v>
      </c>
      <c r="E1261" t="s">
        <v>26</v>
      </c>
      <c r="F1261" t="s">
        <v>128</v>
      </c>
      <c r="G1261" t="s">
        <v>28</v>
      </c>
      <c r="H1261" t="s">
        <v>29</v>
      </c>
      <c r="I1261" t="s">
        <v>47</v>
      </c>
      <c r="J1261">
        <v>1</v>
      </c>
      <c r="K1261">
        <v>6800</v>
      </c>
      <c r="L1261">
        <v>0.15</v>
      </c>
      <c r="M1261">
        <v>5780</v>
      </c>
      <c r="N1261">
        <v>4700</v>
      </c>
      <c r="O1261">
        <v>1080</v>
      </c>
    </row>
    <row r="1262" spans="1:15" x14ac:dyDescent="0.25">
      <c r="A1262" t="s">
        <v>2259</v>
      </c>
      <c r="B1262" s="2">
        <v>46918</v>
      </c>
      <c r="C1262" t="s">
        <v>87</v>
      </c>
      <c r="D1262" t="s">
        <v>88</v>
      </c>
      <c r="E1262" t="s">
        <v>96</v>
      </c>
      <c r="F1262" t="s">
        <v>97</v>
      </c>
      <c r="G1262" t="s">
        <v>51</v>
      </c>
      <c r="H1262" t="s">
        <v>89</v>
      </c>
      <c r="I1262" t="s">
        <v>90</v>
      </c>
      <c r="J1262">
        <v>4</v>
      </c>
      <c r="K1262">
        <v>10500</v>
      </c>
      <c r="L1262">
        <v>0.15</v>
      </c>
      <c r="M1262">
        <v>35700</v>
      </c>
      <c r="N1262">
        <v>30400</v>
      </c>
      <c r="O1262">
        <v>5300</v>
      </c>
    </row>
    <row r="1263" spans="1:15" x14ac:dyDescent="0.25">
      <c r="A1263" t="s">
        <v>2260</v>
      </c>
      <c r="B1263" s="2">
        <v>46919</v>
      </c>
      <c r="C1263" t="s">
        <v>459</v>
      </c>
      <c r="D1263" t="s">
        <v>460</v>
      </c>
      <c r="E1263" t="s">
        <v>96</v>
      </c>
      <c r="F1263" t="s">
        <v>196</v>
      </c>
      <c r="G1263" t="s">
        <v>20</v>
      </c>
      <c r="H1263" t="s">
        <v>84</v>
      </c>
      <c r="I1263" t="s">
        <v>169</v>
      </c>
      <c r="J1263">
        <v>5</v>
      </c>
      <c r="K1263">
        <v>450</v>
      </c>
      <c r="L1263">
        <v>0</v>
      </c>
      <c r="M1263">
        <v>2250</v>
      </c>
      <c r="N1263">
        <v>1300</v>
      </c>
      <c r="O1263">
        <v>950</v>
      </c>
    </row>
    <row r="1264" spans="1:15" x14ac:dyDescent="0.25">
      <c r="A1264" t="s">
        <v>2261</v>
      </c>
      <c r="B1264" s="2">
        <v>46920</v>
      </c>
      <c r="C1264" t="s">
        <v>1095</v>
      </c>
      <c r="D1264" t="s">
        <v>1096</v>
      </c>
      <c r="E1264" t="s">
        <v>26</v>
      </c>
      <c r="F1264" t="s">
        <v>34</v>
      </c>
      <c r="G1264" t="s">
        <v>51</v>
      </c>
      <c r="H1264" t="s">
        <v>52</v>
      </c>
      <c r="I1264" t="s">
        <v>53</v>
      </c>
      <c r="J1264">
        <v>2</v>
      </c>
      <c r="K1264">
        <v>2200</v>
      </c>
      <c r="L1264">
        <v>0.1</v>
      </c>
      <c r="M1264">
        <v>3960</v>
      </c>
      <c r="N1264">
        <v>2900</v>
      </c>
      <c r="O1264">
        <v>1060</v>
      </c>
    </row>
    <row r="1265" spans="1:15" x14ac:dyDescent="0.25">
      <c r="A1265" t="s">
        <v>2262</v>
      </c>
      <c r="B1265" s="2">
        <v>46921</v>
      </c>
      <c r="C1265" t="s">
        <v>2263</v>
      </c>
      <c r="D1265" t="s">
        <v>2264</v>
      </c>
      <c r="E1265" t="s">
        <v>96</v>
      </c>
      <c r="F1265" t="s">
        <v>200</v>
      </c>
      <c r="G1265" t="s">
        <v>20</v>
      </c>
      <c r="H1265" t="s">
        <v>84</v>
      </c>
      <c r="I1265" t="s">
        <v>85</v>
      </c>
      <c r="J1265">
        <v>4</v>
      </c>
      <c r="K1265">
        <v>280</v>
      </c>
      <c r="L1265">
        <v>0.1</v>
      </c>
      <c r="M1265">
        <v>1008</v>
      </c>
      <c r="N1265">
        <v>640</v>
      </c>
      <c r="O1265">
        <v>368</v>
      </c>
    </row>
    <row r="1266" spans="1:15" x14ac:dyDescent="0.25">
      <c r="A1266" t="s">
        <v>2265</v>
      </c>
      <c r="B1266" s="2">
        <v>46922</v>
      </c>
      <c r="C1266" t="s">
        <v>447</v>
      </c>
      <c r="D1266" t="s">
        <v>448</v>
      </c>
      <c r="E1266" t="s">
        <v>18</v>
      </c>
      <c r="F1266" t="s">
        <v>115</v>
      </c>
      <c r="G1266" t="s">
        <v>20</v>
      </c>
      <c r="H1266" t="s">
        <v>84</v>
      </c>
      <c r="I1266" t="s">
        <v>85</v>
      </c>
      <c r="J1266">
        <v>5</v>
      </c>
      <c r="K1266">
        <v>280</v>
      </c>
      <c r="L1266">
        <v>0.05</v>
      </c>
      <c r="M1266">
        <v>1330</v>
      </c>
      <c r="N1266">
        <v>800</v>
      </c>
      <c r="O1266">
        <v>530</v>
      </c>
    </row>
    <row r="1267" spans="1:15" x14ac:dyDescent="0.25">
      <c r="A1267" t="s">
        <v>2266</v>
      </c>
      <c r="B1267" s="2">
        <v>46923</v>
      </c>
      <c r="C1267" t="s">
        <v>824</v>
      </c>
      <c r="D1267" t="s">
        <v>825</v>
      </c>
      <c r="E1267" t="s">
        <v>26</v>
      </c>
      <c r="F1267" t="s">
        <v>128</v>
      </c>
      <c r="G1267" t="s">
        <v>20</v>
      </c>
      <c r="H1267" t="s">
        <v>84</v>
      </c>
      <c r="I1267" t="s">
        <v>210</v>
      </c>
      <c r="J1267">
        <v>4</v>
      </c>
      <c r="K1267">
        <v>300</v>
      </c>
      <c r="L1267">
        <v>0.15</v>
      </c>
      <c r="M1267">
        <v>1020</v>
      </c>
      <c r="N1267">
        <v>680</v>
      </c>
      <c r="O1267">
        <v>340</v>
      </c>
    </row>
    <row r="1268" spans="1:15" x14ac:dyDescent="0.25">
      <c r="A1268" t="s">
        <v>2267</v>
      </c>
      <c r="B1268" s="2">
        <v>46924</v>
      </c>
      <c r="C1268" t="s">
        <v>2268</v>
      </c>
      <c r="D1268" t="s">
        <v>2269</v>
      </c>
      <c r="E1268" t="s">
        <v>96</v>
      </c>
      <c r="F1268" t="s">
        <v>120</v>
      </c>
      <c r="G1268" t="s">
        <v>20</v>
      </c>
      <c r="H1268" t="s">
        <v>41</v>
      </c>
      <c r="I1268" t="s">
        <v>42</v>
      </c>
      <c r="J1268">
        <v>5</v>
      </c>
      <c r="K1268">
        <v>520</v>
      </c>
      <c r="L1268">
        <v>0.2</v>
      </c>
      <c r="M1268">
        <v>2080</v>
      </c>
      <c r="N1268">
        <v>1650</v>
      </c>
      <c r="O1268">
        <v>430</v>
      </c>
    </row>
    <row r="1269" spans="1:15" x14ac:dyDescent="0.25">
      <c r="A1269" t="s">
        <v>2270</v>
      </c>
      <c r="B1269" s="2">
        <v>46925</v>
      </c>
      <c r="C1269" t="s">
        <v>390</v>
      </c>
      <c r="D1269" t="s">
        <v>391</v>
      </c>
      <c r="E1269" t="s">
        <v>26</v>
      </c>
      <c r="F1269" t="s">
        <v>34</v>
      </c>
      <c r="G1269" t="s">
        <v>57</v>
      </c>
      <c r="H1269" t="s">
        <v>188</v>
      </c>
      <c r="I1269" t="s">
        <v>189</v>
      </c>
      <c r="J1269">
        <v>3</v>
      </c>
      <c r="K1269">
        <v>6200</v>
      </c>
      <c r="L1269">
        <v>0</v>
      </c>
      <c r="M1269">
        <v>18600</v>
      </c>
      <c r="N1269">
        <v>12900</v>
      </c>
      <c r="O1269">
        <v>5700</v>
      </c>
    </row>
    <row r="1270" spans="1:15" x14ac:dyDescent="0.25">
      <c r="A1270" t="s">
        <v>2271</v>
      </c>
      <c r="B1270" s="2">
        <v>46926</v>
      </c>
      <c r="C1270" t="s">
        <v>532</v>
      </c>
      <c r="D1270" t="s">
        <v>533</v>
      </c>
      <c r="E1270" t="s">
        <v>26</v>
      </c>
      <c r="F1270" t="s">
        <v>204</v>
      </c>
      <c r="G1270" t="s">
        <v>57</v>
      </c>
      <c r="H1270" t="s">
        <v>188</v>
      </c>
      <c r="I1270" t="s">
        <v>189</v>
      </c>
      <c r="J1270">
        <v>1</v>
      </c>
      <c r="K1270">
        <v>6200</v>
      </c>
      <c r="L1270">
        <v>0.2</v>
      </c>
      <c r="M1270">
        <v>4960</v>
      </c>
      <c r="N1270">
        <v>4300</v>
      </c>
      <c r="O1270">
        <v>660</v>
      </c>
    </row>
    <row r="1271" spans="1:15" x14ac:dyDescent="0.25">
      <c r="A1271" t="s">
        <v>2272</v>
      </c>
      <c r="B1271" s="2">
        <v>46927</v>
      </c>
      <c r="C1271" t="s">
        <v>1865</v>
      </c>
      <c r="D1271" t="s">
        <v>1866</v>
      </c>
      <c r="E1271" t="s">
        <v>26</v>
      </c>
      <c r="F1271" t="s">
        <v>27</v>
      </c>
      <c r="G1271" t="s">
        <v>20</v>
      </c>
      <c r="H1271" t="s">
        <v>21</v>
      </c>
      <c r="I1271" t="s">
        <v>22</v>
      </c>
      <c r="J1271">
        <v>5</v>
      </c>
      <c r="K1271">
        <v>650</v>
      </c>
      <c r="L1271">
        <v>0.15</v>
      </c>
      <c r="M1271">
        <v>2762.5</v>
      </c>
      <c r="N1271">
        <v>1950</v>
      </c>
      <c r="O1271">
        <v>812.5</v>
      </c>
    </row>
    <row r="1272" spans="1:15" x14ac:dyDescent="0.25">
      <c r="A1272" t="s">
        <v>2273</v>
      </c>
      <c r="B1272" s="2">
        <v>46928</v>
      </c>
      <c r="C1272" t="s">
        <v>102</v>
      </c>
      <c r="D1272" t="s">
        <v>103</v>
      </c>
      <c r="E1272" t="s">
        <v>39</v>
      </c>
      <c r="F1272" t="s">
        <v>71</v>
      </c>
      <c r="G1272" t="s">
        <v>51</v>
      </c>
      <c r="H1272" t="s">
        <v>52</v>
      </c>
      <c r="I1272" t="s">
        <v>208</v>
      </c>
      <c r="J1272">
        <v>5</v>
      </c>
      <c r="K1272">
        <v>2800</v>
      </c>
      <c r="L1272">
        <v>0.2</v>
      </c>
      <c r="M1272">
        <v>11200</v>
      </c>
      <c r="N1272">
        <v>9000</v>
      </c>
      <c r="O1272">
        <v>2200</v>
      </c>
    </row>
    <row r="1273" spans="1:15" x14ac:dyDescent="0.25">
      <c r="A1273" t="s">
        <v>2274</v>
      </c>
      <c r="B1273" s="2">
        <v>46929</v>
      </c>
      <c r="C1273" t="s">
        <v>252</v>
      </c>
      <c r="D1273" t="s">
        <v>253</v>
      </c>
      <c r="E1273" t="s">
        <v>39</v>
      </c>
      <c r="F1273" t="s">
        <v>124</v>
      </c>
      <c r="G1273" t="s">
        <v>51</v>
      </c>
      <c r="H1273" t="s">
        <v>89</v>
      </c>
      <c r="I1273" t="s">
        <v>90</v>
      </c>
      <c r="J1273">
        <v>3</v>
      </c>
      <c r="K1273">
        <v>10500</v>
      </c>
      <c r="L1273">
        <v>0.1</v>
      </c>
      <c r="M1273">
        <v>28350</v>
      </c>
      <c r="N1273">
        <v>22800</v>
      </c>
      <c r="O1273">
        <v>5550</v>
      </c>
    </row>
    <row r="1274" spans="1:15" x14ac:dyDescent="0.25">
      <c r="A1274" t="s">
        <v>2275</v>
      </c>
      <c r="B1274" s="2">
        <v>46930</v>
      </c>
      <c r="C1274" t="s">
        <v>1665</v>
      </c>
      <c r="D1274" t="s">
        <v>1666</v>
      </c>
      <c r="E1274" t="s">
        <v>18</v>
      </c>
      <c r="F1274" t="s">
        <v>19</v>
      </c>
      <c r="G1274" t="s">
        <v>20</v>
      </c>
      <c r="H1274" t="s">
        <v>84</v>
      </c>
      <c r="I1274" t="s">
        <v>210</v>
      </c>
      <c r="J1274">
        <v>1</v>
      </c>
      <c r="K1274">
        <v>300</v>
      </c>
      <c r="L1274">
        <v>0.1</v>
      </c>
      <c r="M1274">
        <v>270</v>
      </c>
      <c r="N1274">
        <v>170</v>
      </c>
      <c r="O1274">
        <v>100</v>
      </c>
    </row>
    <row r="1275" spans="1:15" x14ac:dyDescent="0.25">
      <c r="A1275" t="s">
        <v>2276</v>
      </c>
      <c r="B1275" s="2">
        <v>46931</v>
      </c>
      <c r="C1275" t="s">
        <v>600</v>
      </c>
      <c r="D1275" t="s">
        <v>601</v>
      </c>
      <c r="E1275" t="s">
        <v>26</v>
      </c>
      <c r="F1275" t="s">
        <v>27</v>
      </c>
      <c r="G1275" t="s">
        <v>57</v>
      </c>
      <c r="H1275" t="s">
        <v>58</v>
      </c>
      <c r="I1275" t="s">
        <v>129</v>
      </c>
      <c r="J1275">
        <v>4</v>
      </c>
      <c r="K1275">
        <v>4800</v>
      </c>
      <c r="L1275">
        <v>0.05</v>
      </c>
      <c r="M1275">
        <v>18240</v>
      </c>
      <c r="N1275">
        <v>13200</v>
      </c>
      <c r="O1275">
        <v>5040</v>
      </c>
    </row>
    <row r="1276" spans="1:15" x14ac:dyDescent="0.25">
      <c r="A1276" t="s">
        <v>2277</v>
      </c>
      <c r="B1276" s="2">
        <v>46932</v>
      </c>
      <c r="C1276" t="s">
        <v>527</v>
      </c>
      <c r="D1276" t="s">
        <v>528</v>
      </c>
      <c r="E1276" t="s">
        <v>26</v>
      </c>
      <c r="F1276" t="s">
        <v>27</v>
      </c>
      <c r="G1276" t="s">
        <v>28</v>
      </c>
      <c r="H1276" t="s">
        <v>29</v>
      </c>
      <c r="I1276" t="s">
        <v>35</v>
      </c>
      <c r="J1276">
        <v>3</v>
      </c>
      <c r="K1276">
        <v>4200</v>
      </c>
      <c r="L1276">
        <v>0.15</v>
      </c>
      <c r="M1276">
        <v>10710</v>
      </c>
      <c r="N1276">
        <v>8700</v>
      </c>
      <c r="O1276">
        <v>2010</v>
      </c>
    </row>
    <row r="1277" spans="1:15" x14ac:dyDescent="0.25">
      <c r="A1277" t="s">
        <v>2278</v>
      </c>
      <c r="B1277" s="2">
        <v>46933</v>
      </c>
      <c r="C1277" t="s">
        <v>538</v>
      </c>
      <c r="D1277" t="s">
        <v>539</v>
      </c>
      <c r="E1277" t="s">
        <v>26</v>
      </c>
      <c r="F1277" t="s">
        <v>204</v>
      </c>
      <c r="G1277" t="s">
        <v>20</v>
      </c>
      <c r="H1277" t="s">
        <v>41</v>
      </c>
      <c r="I1277" t="s">
        <v>42</v>
      </c>
      <c r="J1277">
        <v>2</v>
      </c>
      <c r="K1277">
        <v>520</v>
      </c>
      <c r="L1277">
        <v>0.05</v>
      </c>
      <c r="M1277">
        <v>988</v>
      </c>
      <c r="N1277">
        <v>660</v>
      </c>
      <c r="O1277">
        <v>328</v>
      </c>
    </row>
    <row r="1278" spans="1:15" x14ac:dyDescent="0.25">
      <c r="A1278" t="s">
        <v>2279</v>
      </c>
      <c r="B1278" s="2">
        <v>46934</v>
      </c>
      <c r="C1278" t="s">
        <v>1071</v>
      </c>
      <c r="D1278" t="s">
        <v>1072</v>
      </c>
      <c r="E1278" t="s">
        <v>26</v>
      </c>
      <c r="F1278" t="s">
        <v>204</v>
      </c>
      <c r="G1278" t="s">
        <v>51</v>
      </c>
      <c r="H1278" t="s">
        <v>52</v>
      </c>
      <c r="I1278" t="s">
        <v>53</v>
      </c>
      <c r="J1278">
        <v>4</v>
      </c>
      <c r="K1278">
        <v>2200</v>
      </c>
      <c r="L1278">
        <v>0.05</v>
      </c>
      <c r="M1278">
        <v>8360</v>
      </c>
      <c r="N1278">
        <v>5800</v>
      </c>
      <c r="O1278">
        <v>2560</v>
      </c>
    </row>
    <row r="1279" spans="1:15" x14ac:dyDescent="0.25">
      <c r="A1279" t="s">
        <v>2280</v>
      </c>
      <c r="B1279" s="2">
        <v>46935</v>
      </c>
      <c r="C1279" t="s">
        <v>983</v>
      </c>
      <c r="D1279" t="s">
        <v>984</v>
      </c>
      <c r="E1279" t="s">
        <v>26</v>
      </c>
      <c r="F1279" t="s">
        <v>27</v>
      </c>
      <c r="G1279" t="s">
        <v>57</v>
      </c>
      <c r="H1279" t="s">
        <v>104</v>
      </c>
      <c r="I1279" t="s">
        <v>105</v>
      </c>
      <c r="J1279">
        <v>3</v>
      </c>
      <c r="K1279">
        <v>7500</v>
      </c>
      <c r="L1279">
        <v>0.1</v>
      </c>
      <c r="M1279">
        <v>20250</v>
      </c>
      <c r="N1279">
        <v>15600</v>
      </c>
      <c r="O1279">
        <v>4650</v>
      </c>
    </row>
    <row r="1280" spans="1:15" x14ac:dyDescent="0.25">
      <c r="A1280" t="s">
        <v>2281</v>
      </c>
      <c r="B1280" s="2">
        <v>46936</v>
      </c>
      <c r="C1280" t="s">
        <v>194</v>
      </c>
      <c r="D1280" t="s">
        <v>195</v>
      </c>
      <c r="E1280" t="s">
        <v>39</v>
      </c>
      <c r="F1280" t="s">
        <v>124</v>
      </c>
      <c r="G1280" t="s">
        <v>57</v>
      </c>
      <c r="H1280" t="s">
        <v>58</v>
      </c>
      <c r="I1280" t="s">
        <v>59</v>
      </c>
      <c r="J1280">
        <v>3</v>
      </c>
      <c r="K1280">
        <v>5600</v>
      </c>
      <c r="L1280">
        <v>0.2</v>
      </c>
      <c r="M1280">
        <v>13440</v>
      </c>
      <c r="N1280">
        <v>11700</v>
      </c>
      <c r="O1280">
        <v>1740</v>
      </c>
    </row>
    <row r="1281" spans="1:15" x14ac:dyDescent="0.25">
      <c r="A1281" t="s">
        <v>2282</v>
      </c>
      <c r="B1281" s="2">
        <v>46937</v>
      </c>
      <c r="C1281" t="s">
        <v>1865</v>
      </c>
      <c r="D1281" t="s">
        <v>1866</v>
      </c>
      <c r="E1281" t="s">
        <v>39</v>
      </c>
      <c r="F1281" t="s">
        <v>40</v>
      </c>
      <c r="G1281" t="s">
        <v>28</v>
      </c>
      <c r="H1281" t="s">
        <v>29</v>
      </c>
      <c r="I1281" t="s">
        <v>47</v>
      </c>
      <c r="J1281">
        <v>3</v>
      </c>
      <c r="K1281">
        <v>6800</v>
      </c>
      <c r="L1281">
        <v>0.05</v>
      </c>
      <c r="M1281">
        <v>19380</v>
      </c>
      <c r="N1281">
        <v>14100</v>
      </c>
      <c r="O1281">
        <v>5280</v>
      </c>
    </row>
    <row r="1282" spans="1:15" x14ac:dyDescent="0.25">
      <c r="A1282" t="s">
        <v>2283</v>
      </c>
      <c r="B1282" s="2">
        <v>46938</v>
      </c>
      <c r="C1282" t="s">
        <v>66</v>
      </c>
      <c r="D1282" t="s">
        <v>67</v>
      </c>
      <c r="E1282" t="s">
        <v>26</v>
      </c>
      <c r="F1282" t="s">
        <v>128</v>
      </c>
      <c r="G1282" t="s">
        <v>51</v>
      </c>
      <c r="H1282" t="s">
        <v>21</v>
      </c>
      <c r="I1282" t="s">
        <v>116</v>
      </c>
      <c r="J1282">
        <v>2</v>
      </c>
      <c r="K1282">
        <v>1400</v>
      </c>
      <c r="L1282">
        <v>0.05</v>
      </c>
      <c r="M1282">
        <v>2660</v>
      </c>
      <c r="N1282">
        <v>1800</v>
      </c>
      <c r="O1282">
        <v>860</v>
      </c>
    </row>
    <row r="1283" spans="1:15" x14ac:dyDescent="0.25">
      <c r="A1283" t="s">
        <v>2284</v>
      </c>
      <c r="B1283" s="2">
        <v>46939</v>
      </c>
      <c r="C1283" t="s">
        <v>2285</v>
      </c>
      <c r="D1283" t="s">
        <v>2286</v>
      </c>
      <c r="E1283" t="s">
        <v>26</v>
      </c>
      <c r="F1283" t="s">
        <v>128</v>
      </c>
      <c r="G1283" t="s">
        <v>51</v>
      </c>
      <c r="H1283" t="s">
        <v>89</v>
      </c>
      <c r="I1283" t="s">
        <v>90</v>
      </c>
      <c r="J1283">
        <v>2</v>
      </c>
      <c r="K1283">
        <v>10500</v>
      </c>
      <c r="L1283">
        <v>0</v>
      </c>
      <c r="M1283">
        <v>21000</v>
      </c>
      <c r="N1283">
        <v>15200</v>
      </c>
      <c r="O1283">
        <v>5800</v>
      </c>
    </row>
    <row r="1284" spans="1:15" x14ac:dyDescent="0.25">
      <c r="A1284" t="s">
        <v>2287</v>
      </c>
      <c r="B1284" s="2">
        <v>46940</v>
      </c>
      <c r="C1284" t="s">
        <v>256</v>
      </c>
      <c r="D1284" t="s">
        <v>257</v>
      </c>
      <c r="E1284" t="s">
        <v>18</v>
      </c>
      <c r="F1284" t="s">
        <v>115</v>
      </c>
      <c r="G1284" t="s">
        <v>51</v>
      </c>
      <c r="H1284" t="s">
        <v>21</v>
      </c>
      <c r="I1284" t="s">
        <v>116</v>
      </c>
      <c r="J1284">
        <v>2</v>
      </c>
      <c r="K1284">
        <v>1400</v>
      </c>
      <c r="L1284">
        <v>0.2</v>
      </c>
      <c r="M1284">
        <v>2240</v>
      </c>
      <c r="N1284">
        <v>1800</v>
      </c>
      <c r="O1284">
        <v>440</v>
      </c>
    </row>
    <row r="1285" spans="1:15" x14ac:dyDescent="0.25">
      <c r="A1285" t="s">
        <v>2288</v>
      </c>
      <c r="B1285" s="2">
        <v>46941</v>
      </c>
      <c r="C1285" t="s">
        <v>1762</v>
      </c>
      <c r="D1285" t="s">
        <v>1763</v>
      </c>
      <c r="E1285" t="s">
        <v>96</v>
      </c>
      <c r="F1285" t="s">
        <v>196</v>
      </c>
      <c r="G1285" t="s">
        <v>51</v>
      </c>
      <c r="H1285" t="s">
        <v>52</v>
      </c>
      <c r="I1285" t="s">
        <v>53</v>
      </c>
      <c r="J1285">
        <v>2</v>
      </c>
      <c r="K1285">
        <v>2200</v>
      </c>
      <c r="L1285">
        <v>0.05</v>
      </c>
      <c r="M1285">
        <v>4180</v>
      </c>
      <c r="N1285">
        <v>2900</v>
      </c>
      <c r="O1285">
        <v>1280</v>
      </c>
    </row>
    <row r="1286" spans="1:15" x14ac:dyDescent="0.25">
      <c r="A1286" t="s">
        <v>2289</v>
      </c>
      <c r="B1286" s="2">
        <v>46942</v>
      </c>
      <c r="C1286" t="s">
        <v>997</v>
      </c>
      <c r="D1286" t="s">
        <v>998</v>
      </c>
      <c r="E1286" t="s">
        <v>96</v>
      </c>
      <c r="F1286" t="s">
        <v>120</v>
      </c>
      <c r="G1286" t="s">
        <v>20</v>
      </c>
      <c r="H1286" t="s">
        <v>84</v>
      </c>
      <c r="I1286" t="s">
        <v>169</v>
      </c>
      <c r="J1286">
        <v>2</v>
      </c>
      <c r="K1286">
        <v>450</v>
      </c>
      <c r="L1286">
        <v>0.15</v>
      </c>
      <c r="M1286">
        <v>765</v>
      </c>
      <c r="N1286">
        <v>520</v>
      </c>
      <c r="O1286">
        <v>245</v>
      </c>
    </row>
    <row r="1287" spans="1:15" x14ac:dyDescent="0.25">
      <c r="A1287" t="s">
        <v>2290</v>
      </c>
      <c r="B1287" s="2">
        <v>46943</v>
      </c>
      <c r="C1287" t="s">
        <v>2102</v>
      </c>
      <c r="D1287" t="s">
        <v>2103</v>
      </c>
      <c r="E1287" t="s">
        <v>18</v>
      </c>
      <c r="F1287" t="s">
        <v>227</v>
      </c>
      <c r="G1287" t="s">
        <v>51</v>
      </c>
      <c r="H1287" t="s">
        <v>89</v>
      </c>
      <c r="I1287" t="s">
        <v>90</v>
      </c>
      <c r="J1287">
        <v>5</v>
      </c>
      <c r="K1287">
        <v>10500</v>
      </c>
      <c r="L1287">
        <v>0</v>
      </c>
      <c r="M1287">
        <v>52500</v>
      </c>
      <c r="N1287">
        <v>38000</v>
      </c>
      <c r="O1287">
        <v>14500</v>
      </c>
    </row>
    <row r="1288" spans="1:15" x14ac:dyDescent="0.25">
      <c r="A1288" t="s">
        <v>2291</v>
      </c>
      <c r="B1288" s="2">
        <v>46944</v>
      </c>
      <c r="C1288" t="s">
        <v>2292</v>
      </c>
      <c r="D1288" t="s">
        <v>2293</v>
      </c>
      <c r="E1288" t="s">
        <v>39</v>
      </c>
      <c r="F1288" t="s">
        <v>124</v>
      </c>
      <c r="G1288" t="s">
        <v>20</v>
      </c>
      <c r="H1288" t="s">
        <v>84</v>
      </c>
      <c r="I1288" t="s">
        <v>210</v>
      </c>
      <c r="J1288">
        <v>1</v>
      </c>
      <c r="K1288">
        <v>300</v>
      </c>
      <c r="L1288">
        <v>0.05</v>
      </c>
      <c r="M1288">
        <v>285</v>
      </c>
      <c r="N1288">
        <v>170</v>
      </c>
      <c r="O1288">
        <v>115</v>
      </c>
    </row>
    <row r="1289" spans="1:15" x14ac:dyDescent="0.25">
      <c r="A1289" t="s">
        <v>2294</v>
      </c>
      <c r="B1289" s="2">
        <v>46945</v>
      </c>
      <c r="C1289" t="s">
        <v>1758</v>
      </c>
      <c r="D1289" t="s">
        <v>1759</v>
      </c>
      <c r="E1289" t="s">
        <v>39</v>
      </c>
      <c r="F1289" t="s">
        <v>124</v>
      </c>
      <c r="G1289" t="s">
        <v>51</v>
      </c>
      <c r="H1289" t="s">
        <v>21</v>
      </c>
      <c r="I1289" t="s">
        <v>80</v>
      </c>
      <c r="J1289">
        <v>4</v>
      </c>
      <c r="K1289">
        <v>850</v>
      </c>
      <c r="L1289">
        <v>0.1</v>
      </c>
      <c r="M1289">
        <v>3060</v>
      </c>
      <c r="N1289">
        <v>2240</v>
      </c>
      <c r="O1289">
        <v>820</v>
      </c>
    </row>
    <row r="1290" spans="1:15" x14ac:dyDescent="0.25">
      <c r="A1290" t="s">
        <v>2295</v>
      </c>
      <c r="B1290" s="2">
        <v>46946</v>
      </c>
      <c r="C1290" t="s">
        <v>158</v>
      </c>
      <c r="D1290" t="s">
        <v>159</v>
      </c>
      <c r="E1290" t="s">
        <v>39</v>
      </c>
      <c r="F1290" t="s">
        <v>71</v>
      </c>
      <c r="G1290" t="s">
        <v>20</v>
      </c>
      <c r="H1290" t="s">
        <v>84</v>
      </c>
      <c r="I1290" t="s">
        <v>210</v>
      </c>
      <c r="J1290">
        <v>3</v>
      </c>
      <c r="K1290">
        <v>300</v>
      </c>
      <c r="L1290">
        <v>0.2</v>
      </c>
      <c r="M1290">
        <v>720</v>
      </c>
      <c r="N1290">
        <v>510</v>
      </c>
      <c r="O1290">
        <v>210</v>
      </c>
    </row>
    <row r="1291" spans="1:15" x14ac:dyDescent="0.25">
      <c r="A1291" t="s">
        <v>2296</v>
      </c>
      <c r="B1291" s="2">
        <v>46947</v>
      </c>
      <c r="C1291" t="s">
        <v>350</v>
      </c>
      <c r="D1291" t="s">
        <v>351</v>
      </c>
      <c r="E1291" t="s">
        <v>18</v>
      </c>
      <c r="F1291" t="s">
        <v>115</v>
      </c>
      <c r="G1291" t="s">
        <v>51</v>
      </c>
      <c r="H1291" t="s">
        <v>21</v>
      </c>
      <c r="I1291" t="s">
        <v>116</v>
      </c>
      <c r="J1291">
        <v>3</v>
      </c>
      <c r="K1291">
        <v>1400</v>
      </c>
      <c r="L1291">
        <v>0.05</v>
      </c>
      <c r="M1291">
        <v>3990</v>
      </c>
      <c r="N1291">
        <v>2700</v>
      </c>
      <c r="O1291">
        <v>1290</v>
      </c>
    </row>
    <row r="1292" spans="1:15" x14ac:dyDescent="0.25">
      <c r="A1292" t="s">
        <v>2297</v>
      </c>
      <c r="B1292" s="2">
        <v>46948</v>
      </c>
      <c r="C1292" t="s">
        <v>1157</v>
      </c>
      <c r="D1292" t="s">
        <v>1158</v>
      </c>
      <c r="E1292" t="s">
        <v>26</v>
      </c>
      <c r="F1292" t="s">
        <v>46</v>
      </c>
      <c r="G1292" t="s">
        <v>20</v>
      </c>
      <c r="H1292" t="s">
        <v>84</v>
      </c>
      <c r="I1292" t="s">
        <v>169</v>
      </c>
      <c r="J1292">
        <v>2</v>
      </c>
      <c r="K1292">
        <v>450</v>
      </c>
      <c r="L1292">
        <v>0.1</v>
      </c>
      <c r="M1292">
        <v>810</v>
      </c>
      <c r="N1292">
        <v>520</v>
      </c>
      <c r="O1292">
        <v>290</v>
      </c>
    </row>
    <row r="1293" spans="1:15" x14ac:dyDescent="0.25">
      <c r="A1293" t="s">
        <v>2298</v>
      </c>
      <c r="B1293" s="2">
        <v>46949</v>
      </c>
      <c r="C1293" t="s">
        <v>1253</v>
      </c>
      <c r="D1293" t="s">
        <v>1254</v>
      </c>
      <c r="E1293" t="s">
        <v>39</v>
      </c>
      <c r="F1293" t="s">
        <v>76</v>
      </c>
      <c r="G1293" t="s">
        <v>20</v>
      </c>
      <c r="H1293" t="s">
        <v>84</v>
      </c>
      <c r="I1293" t="s">
        <v>210</v>
      </c>
      <c r="J1293">
        <v>2</v>
      </c>
      <c r="K1293">
        <v>300</v>
      </c>
      <c r="L1293">
        <v>0.05</v>
      </c>
      <c r="M1293">
        <v>570</v>
      </c>
      <c r="N1293">
        <v>340</v>
      </c>
      <c r="O1293">
        <v>230</v>
      </c>
    </row>
    <row r="1294" spans="1:15" x14ac:dyDescent="0.25">
      <c r="A1294" t="s">
        <v>2299</v>
      </c>
      <c r="B1294" s="2">
        <v>46950</v>
      </c>
      <c r="C1294" t="s">
        <v>308</v>
      </c>
      <c r="D1294" t="s">
        <v>309</v>
      </c>
      <c r="E1294" t="s">
        <v>96</v>
      </c>
      <c r="F1294" t="s">
        <v>196</v>
      </c>
      <c r="G1294" t="s">
        <v>57</v>
      </c>
      <c r="H1294" t="s">
        <v>104</v>
      </c>
      <c r="I1294" t="s">
        <v>105</v>
      </c>
      <c r="J1294">
        <v>4</v>
      </c>
      <c r="K1294">
        <v>7500</v>
      </c>
      <c r="L1294">
        <v>0.15</v>
      </c>
      <c r="M1294">
        <v>25500</v>
      </c>
      <c r="N1294">
        <v>20800</v>
      </c>
      <c r="O1294">
        <v>4700</v>
      </c>
    </row>
    <row r="1295" spans="1:15" x14ac:dyDescent="0.25">
      <c r="A1295" t="s">
        <v>2300</v>
      </c>
      <c r="B1295" s="2">
        <v>46951</v>
      </c>
      <c r="C1295" t="s">
        <v>834</v>
      </c>
      <c r="D1295" t="s">
        <v>835</v>
      </c>
      <c r="E1295" t="s">
        <v>39</v>
      </c>
      <c r="F1295" t="s">
        <v>124</v>
      </c>
      <c r="G1295" t="s">
        <v>51</v>
      </c>
      <c r="H1295" t="s">
        <v>52</v>
      </c>
      <c r="I1295" t="s">
        <v>53</v>
      </c>
      <c r="J1295">
        <v>5</v>
      </c>
      <c r="K1295">
        <v>2200</v>
      </c>
      <c r="L1295">
        <v>0.15</v>
      </c>
      <c r="M1295">
        <v>9350</v>
      </c>
      <c r="N1295">
        <v>7250</v>
      </c>
      <c r="O1295">
        <v>2100</v>
      </c>
    </row>
    <row r="1296" spans="1:15" x14ac:dyDescent="0.25">
      <c r="A1296" t="s">
        <v>2301</v>
      </c>
      <c r="B1296" s="2">
        <v>46952</v>
      </c>
      <c r="C1296" t="s">
        <v>2247</v>
      </c>
      <c r="D1296" t="s">
        <v>2248</v>
      </c>
      <c r="E1296" t="s">
        <v>26</v>
      </c>
      <c r="F1296" t="s">
        <v>46</v>
      </c>
      <c r="G1296" t="s">
        <v>57</v>
      </c>
      <c r="H1296" t="s">
        <v>104</v>
      </c>
      <c r="I1296" t="s">
        <v>105</v>
      </c>
      <c r="J1296">
        <v>1</v>
      </c>
      <c r="K1296">
        <v>7500</v>
      </c>
      <c r="L1296">
        <v>0.1</v>
      </c>
      <c r="M1296">
        <v>6750</v>
      </c>
      <c r="N1296">
        <v>5200</v>
      </c>
      <c r="O1296">
        <v>1550</v>
      </c>
    </row>
    <row r="1297" spans="1:15" x14ac:dyDescent="0.25">
      <c r="A1297" t="s">
        <v>2302</v>
      </c>
      <c r="B1297" s="2">
        <v>46953</v>
      </c>
      <c r="C1297" t="s">
        <v>573</v>
      </c>
      <c r="D1297" t="s">
        <v>574</v>
      </c>
      <c r="E1297" t="s">
        <v>26</v>
      </c>
      <c r="F1297" t="s">
        <v>46</v>
      </c>
      <c r="G1297" t="s">
        <v>57</v>
      </c>
      <c r="H1297" t="s">
        <v>188</v>
      </c>
      <c r="I1297" t="s">
        <v>189</v>
      </c>
      <c r="J1297">
        <v>2</v>
      </c>
      <c r="K1297">
        <v>6200</v>
      </c>
      <c r="L1297">
        <v>0.05</v>
      </c>
      <c r="M1297">
        <v>11780</v>
      </c>
      <c r="N1297">
        <v>8600</v>
      </c>
      <c r="O1297">
        <v>3180</v>
      </c>
    </row>
    <row r="1298" spans="1:15" x14ac:dyDescent="0.25">
      <c r="A1298" t="s">
        <v>2303</v>
      </c>
      <c r="B1298" s="2">
        <v>46954</v>
      </c>
      <c r="C1298" t="s">
        <v>1783</v>
      </c>
      <c r="D1298" t="s">
        <v>1784</v>
      </c>
      <c r="E1298" t="s">
        <v>18</v>
      </c>
      <c r="F1298" t="s">
        <v>227</v>
      </c>
      <c r="G1298" t="s">
        <v>51</v>
      </c>
      <c r="H1298" t="s">
        <v>21</v>
      </c>
      <c r="I1298" t="s">
        <v>116</v>
      </c>
      <c r="J1298">
        <v>4</v>
      </c>
      <c r="K1298">
        <v>1400</v>
      </c>
      <c r="L1298">
        <v>0.2</v>
      </c>
      <c r="M1298">
        <v>4480</v>
      </c>
      <c r="N1298">
        <v>3600</v>
      </c>
      <c r="O1298">
        <v>880</v>
      </c>
    </row>
    <row r="1299" spans="1:15" x14ac:dyDescent="0.25">
      <c r="A1299" t="s">
        <v>2304</v>
      </c>
      <c r="B1299" s="2">
        <v>46955</v>
      </c>
      <c r="C1299" t="s">
        <v>186</v>
      </c>
      <c r="D1299" t="s">
        <v>187</v>
      </c>
      <c r="E1299" t="s">
        <v>26</v>
      </c>
      <c r="F1299" t="s">
        <v>128</v>
      </c>
      <c r="G1299" t="s">
        <v>51</v>
      </c>
      <c r="H1299" t="s">
        <v>52</v>
      </c>
      <c r="I1299" t="s">
        <v>53</v>
      </c>
      <c r="J1299">
        <v>3</v>
      </c>
      <c r="K1299">
        <v>2200</v>
      </c>
      <c r="L1299">
        <v>0.1</v>
      </c>
      <c r="M1299">
        <v>5940</v>
      </c>
      <c r="N1299">
        <v>4350</v>
      </c>
      <c r="O1299">
        <v>1590</v>
      </c>
    </row>
    <row r="1300" spans="1:15" x14ac:dyDescent="0.25">
      <c r="A1300" t="s">
        <v>2305</v>
      </c>
      <c r="B1300" s="2">
        <v>46956</v>
      </c>
      <c r="C1300" t="s">
        <v>131</v>
      </c>
      <c r="D1300" t="s">
        <v>132</v>
      </c>
      <c r="E1300" t="s">
        <v>39</v>
      </c>
      <c r="F1300" t="s">
        <v>76</v>
      </c>
      <c r="G1300" t="s">
        <v>51</v>
      </c>
      <c r="H1300" t="s">
        <v>21</v>
      </c>
      <c r="I1300" t="s">
        <v>72</v>
      </c>
      <c r="J1300">
        <v>4</v>
      </c>
      <c r="K1300">
        <v>1800</v>
      </c>
      <c r="L1300">
        <v>0.25</v>
      </c>
      <c r="M1300">
        <v>5400</v>
      </c>
      <c r="N1300">
        <v>4400</v>
      </c>
      <c r="O1300">
        <v>1000</v>
      </c>
    </row>
    <row r="1301" spans="1:15" x14ac:dyDescent="0.25">
      <c r="A1301" t="s">
        <v>2306</v>
      </c>
      <c r="B1301" s="2">
        <v>46957</v>
      </c>
      <c r="C1301" t="s">
        <v>167</v>
      </c>
      <c r="D1301" t="s">
        <v>168</v>
      </c>
      <c r="E1301" t="s">
        <v>26</v>
      </c>
      <c r="F1301" t="s">
        <v>128</v>
      </c>
      <c r="G1301" t="s">
        <v>20</v>
      </c>
      <c r="H1301" t="s">
        <v>41</v>
      </c>
      <c r="I1301" t="s">
        <v>42</v>
      </c>
      <c r="J1301">
        <v>1</v>
      </c>
      <c r="K1301">
        <v>520</v>
      </c>
      <c r="L1301">
        <v>0</v>
      </c>
      <c r="M1301">
        <v>520</v>
      </c>
      <c r="N1301">
        <v>330</v>
      </c>
      <c r="O1301">
        <v>190</v>
      </c>
    </row>
    <row r="1302" spans="1:15" x14ac:dyDescent="0.25">
      <c r="A1302" t="s">
        <v>2307</v>
      </c>
      <c r="B1302" s="2">
        <v>46958</v>
      </c>
      <c r="C1302" t="s">
        <v>1358</v>
      </c>
      <c r="D1302" t="s">
        <v>1359</v>
      </c>
      <c r="E1302" t="s">
        <v>39</v>
      </c>
      <c r="F1302" t="s">
        <v>71</v>
      </c>
      <c r="G1302" t="s">
        <v>51</v>
      </c>
      <c r="H1302" t="s">
        <v>89</v>
      </c>
      <c r="I1302" t="s">
        <v>90</v>
      </c>
      <c r="J1302">
        <v>3</v>
      </c>
      <c r="K1302">
        <v>10500</v>
      </c>
      <c r="L1302">
        <v>0.1</v>
      </c>
      <c r="M1302">
        <v>28350</v>
      </c>
      <c r="N1302">
        <v>22800</v>
      </c>
      <c r="O1302">
        <v>5550</v>
      </c>
    </row>
    <row r="1303" spans="1:15" x14ac:dyDescent="0.25">
      <c r="A1303" t="s">
        <v>2308</v>
      </c>
      <c r="B1303" s="2">
        <v>46959</v>
      </c>
      <c r="C1303" t="s">
        <v>44</v>
      </c>
      <c r="D1303" t="s">
        <v>45</v>
      </c>
      <c r="E1303" t="s">
        <v>26</v>
      </c>
      <c r="F1303" t="s">
        <v>34</v>
      </c>
      <c r="G1303" t="s">
        <v>57</v>
      </c>
      <c r="H1303" t="s">
        <v>58</v>
      </c>
      <c r="I1303" t="s">
        <v>129</v>
      </c>
      <c r="J1303">
        <v>4</v>
      </c>
      <c r="K1303">
        <v>4800</v>
      </c>
      <c r="L1303">
        <v>0.15</v>
      </c>
      <c r="M1303">
        <v>16320</v>
      </c>
      <c r="N1303">
        <v>13200</v>
      </c>
      <c r="O1303">
        <v>3120</v>
      </c>
    </row>
    <row r="1304" spans="1:15" x14ac:dyDescent="0.25">
      <c r="A1304" t="s">
        <v>2309</v>
      </c>
      <c r="B1304" s="2">
        <v>46960</v>
      </c>
      <c r="C1304" t="s">
        <v>294</v>
      </c>
      <c r="D1304" t="s">
        <v>295</v>
      </c>
      <c r="E1304" t="s">
        <v>26</v>
      </c>
      <c r="F1304" t="s">
        <v>128</v>
      </c>
      <c r="G1304" t="s">
        <v>51</v>
      </c>
      <c r="H1304" t="s">
        <v>52</v>
      </c>
      <c r="I1304" t="s">
        <v>208</v>
      </c>
      <c r="J1304">
        <v>3</v>
      </c>
      <c r="K1304">
        <v>2800</v>
      </c>
      <c r="L1304">
        <v>0.15</v>
      </c>
      <c r="M1304">
        <v>7140</v>
      </c>
      <c r="N1304">
        <v>5400</v>
      </c>
      <c r="O1304">
        <v>1740</v>
      </c>
    </row>
    <row r="1305" spans="1:15" x14ac:dyDescent="0.25">
      <c r="A1305" t="s">
        <v>2310</v>
      </c>
      <c r="B1305" s="2">
        <v>46961</v>
      </c>
      <c r="C1305" t="s">
        <v>2311</v>
      </c>
      <c r="D1305" t="s">
        <v>2312</v>
      </c>
      <c r="E1305" t="s">
        <v>26</v>
      </c>
      <c r="F1305" t="s">
        <v>128</v>
      </c>
      <c r="G1305" t="s">
        <v>20</v>
      </c>
      <c r="H1305" t="s">
        <v>41</v>
      </c>
      <c r="I1305" t="s">
        <v>42</v>
      </c>
      <c r="J1305">
        <v>1</v>
      </c>
      <c r="K1305">
        <v>520</v>
      </c>
      <c r="L1305">
        <v>0.1</v>
      </c>
      <c r="M1305">
        <v>468</v>
      </c>
      <c r="N1305">
        <v>330</v>
      </c>
      <c r="O1305">
        <v>138</v>
      </c>
    </row>
    <row r="1306" spans="1:15" x14ac:dyDescent="0.25">
      <c r="A1306" t="s">
        <v>2313</v>
      </c>
      <c r="B1306" s="2">
        <v>46962</v>
      </c>
      <c r="C1306" t="s">
        <v>809</v>
      </c>
      <c r="D1306" t="s">
        <v>810</v>
      </c>
      <c r="E1306" t="s">
        <v>39</v>
      </c>
      <c r="F1306" t="s">
        <v>71</v>
      </c>
      <c r="G1306" t="s">
        <v>28</v>
      </c>
      <c r="H1306" t="s">
        <v>29</v>
      </c>
      <c r="I1306" t="s">
        <v>30</v>
      </c>
      <c r="J1306">
        <v>5</v>
      </c>
      <c r="K1306">
        <v>1900</v>
      </c>
      <c r="L1306">
        <v>0.05</v>
      </c>
      <c r="M1306">
        <v>9025</v>
      </c>
      <c r="N1306">
        <v>6250</v>
      </c>
      <c r="O1306">
        <v>2775</v>
      </c>
    </row>
    <row r="1307" spans="1:15" x14ac:dyDescent="0.25">
      <c r="A1307" t="s">
        <v>2314</v>
      </c>
      <c r="B1307" s="2">
        <v>46963</v>
      </c>
      <c r="C1307" t="s">
        <v>1375</v>
      </c>
      <c r="D1307" t="s">
        <v>1376</v>
      </c>
      <c r="E1307" t="s">
        <v>39</v>
      </c>
      <c r="F1307" t="s">
        <v>76</v>
      </c>
      <c r="G1307" t="s">
        <v>28</v>
      </c>
      <c r="H1307" t="s">
        <v>29</v>
      </c>
      <c r="I1307" t="s">
        <v>35</v>
      </c>
      <c r="J1307">
        <v>5</v>
      </c>
      <c r="K1307">
        <v>4200</v>
      </c>
      <c r="L1307">
        <v>0.05</v>
      </c>
      <c r="M1307">
        <v>19950</v>
      </c>
      <c r="N1307">
        <v>14500</v>
      </c>
      <c r="O1307">
        <v>5450</v>
      </c>
    </row>
    <row r="1308" spans="1:15" x14ac:dyDescent="0.25">
      <c r="A1308" t="s">
        <v>2315</v>
      </c>
      <c r="B1308" s="2">
        <v>46964</v>
      </c>
      <c r="C1308" t="s">
        <v>763</v>
      </c>
      <c r="D1308" t="s">
        <v>764</v>
      </c>
      <c r="E1308" t="s">
        <v>26</v>
      </c>
      <c r="F1308" t="s">
        <v>128</v>
      </c>
      <c r="G1308" t="s">
        <v>51</v>
      </c>
      <c r="H1308" t="s">
        <v>52</v>
      </c>
      <c r="I1308" t="s">
        <v>53</v>
      </c>
      <c r="J1308">
        <v>5</v>
      </c>
      <c r="K1308">
        <v>2200</v>
      </c>
      <c r="L1308">
        <v>0.15</v>
      </c>
      <c r="M1308">
        <v>9350</v>
      </c>
      <c r="N1308">
        <v>7250</v>
      </c>
      <c r="O1308">
        <v>2100</v>
      </c>
    </row>
    <row r="1309" spans="1:15" x14ac:dyDescent="0.25">
      <c r="A1309" t="s">
        <v>2316</v>
      </c>
      <c r="B1309" s="2">
        <v>46965</v>
      </c>
      <c r="C1309" t="s">
        <v>1108</v>
      </c>
      <c r="D1309" t="s">
        <v>1109</v>
      </c>
      <c r="E1309" t="s">
        <v>26</v>
      </c>
      <c r="F1309" t="s">
        <v>204</v>
      </c>
      <c r="G1309" t="s">
        <v>28</v>
      </c>
      <c r="H1309" t="s">
        <v>29</v>
      </c>
      <c r="I1309" t="s">
        <v>47</v>
      </c>
      <c r="J1309">
        <v>2</v>
      </c>
      <c r="K1309">
        <v>6800</v>
      </c>
      <c r="L1309">
        <v>0.05</v>
      </c>
      <c r="M1309">
        <v>12920</v>
      </c>
      <c r="N1309">
        <v>9400</v>
      </c>
      <c r="O1309">
        <v>3520</v>
      </c>
    </row>
    <row r="1310" spans="1:15" x14ac:dyDescent="0.25">
      <c r="A1310" t="s">
        <v>2317</v>
      </c>
      <c r="B1310" s="2">
        <v>46966</v>
      </c>
      <c r="C1310" t="s">
        <v>271</v>
      </c>
      <c r="D1310" t="s">
        <v>272</v>
      </c>
      <c r="E1310" t="s">
        <v>26</v>
      </c>
      <c r="F1310" t="s">
        <v>46</v>
      </c>
      <c r="G1310" t="s">
        <v>57</v>
      </c>
      <c r="H1310" t="s">
        <v>58</v>
      </c>
      <c r="I1310" t="s">
        <v>59</v>
      </c>
      <c r="J1310">
        <v>4</v>
      </c>
      <c r="K1310">
        <v>5600</v>
      </c>
      <c r="L1310">
        <v>0.05</v>
      </c>
      <c r="M1310">
        <v>21280</v>
      </c>
      <c r="N1310">
        <v>15600</v>
      </c>
      <c r="O1310">
        <v>5680</v>
      </c>
    </row>
    <row r="1311" spans="1:15" x14ac:dyDescent="0.25">
      <c r="A1311" t="s">
        <v>2318</v>
      </c>
      <c r="B1311" s="2">
        <v>46967</v>
      </c>
      <c r="C1311" t="s">
        <v>177</v>
      </c>
      <c r="D1311" t="s">
        <v>178</v>
      </c>
      <c r="E1311" t="s">
        <v>39</v>
      </c>
      <c r="F1311" t="s">
        <v>71</v>
      </c>
      <c r="G1311" t="s">
        <v>20</v>
      </c>
      <c r="H1311" t="s">
        <v>84</v>
      </c>
      <c r="I1311" t="s">
        <v>169</v>
      </c>
      <c r="J1311">
        <v>2</v>
      </c>
      <c r="K1311">
        <v>450</v>
      </c>
      <c r="L1311">
        <v>0.1</v>
      </c>
      <c r="M1311">
        <v>810</v>
      </c>
      <c r="N1311">
        <v>520</v>
      </c>
      <c r="O1311">
        <v>290</v>
      </c>
    </row>
    <row r="1312" spans="1:15" x14ac:dyDescent="0.25">
      <c r="A1312" t="s">
        <v>2319</v>
      </c>
      <c r="B1312" s="2">
        <v>46968</v>
      </c>
      <c r="C1312" t="s">
        <v>37</v>
      </c>
      <c r="D1312" t="s">
        <v>38</v>
      </c>
      <c r="E1312" t="s">
        <v>26</v>
      </c>
      <c r="F1312" t="s">
        <v>204</v>
      </c>
      <c r="G1312" t="s">
        <v>51</v>
      </c>
      <c r="H1312" t="s">
        <v>21</v>
      </c>
      <c r="I1312" t="s">
        <v>116</v>
      </c>
      <c r="J1312">
        <v>1</v>
      </c>
      <c r="K1312">
        <v>1400</v>
      </c>
      <c r="L1312">
        <v>0.05</v>
      </c>
      <c r="M1312">
        <v>1330</v>
      </c>
      <c r="N1312">
        <v>900</v>
      </c>
      <c r="O1312">
        <v>430</v>
      </c>
    </row>
    <row r="1313" spans="1:15" x14ac:dyDescent="0.25">
      <c r="A1313" t="s">
        <v>2320</v>
      </c>
      <c r="B1313" s="2">
        <v>46969</v>
      </c>
      <c r="C1313" t="s">
        <v>2005</v>
      </c>
      <c r="D1313" t="s">
        <v>2006</v>
      </c>
      <c r="E1313" t="s">
        <v>26</v>
      </c>
      <c r="F1313" t="s">
        <v>34</v>
      </c>
      <c r="G1313" t="s">
        <v>28</v>
      </c>
      <c r="H1313" t="s">
        <v>29</v>
      </c>
      <c r="I1313" t="s">
        <v>30</v>
      </c>
      <c r="J1313">
        <v>2</v>
      </c>
      <c r="K1313">
        <v>1900</v>
      </c>
      <c r="L1313">
        <v>0.1</v>
      </c>
      <c r="M1313">
        <v>3420</v>
      </c>
      <c r="N1313">
        <v>2500</v>
      </c>
      <c r="O1313">
        <v>920</v>
      </c>
    </row>
    <row r="1314" spans="1:15" x14ac:dyDescent="0.25">
      <c r="A1314" t="s">
        <v>2321</v>
      </c>
      <c r="B1314" s="2">
        <v>46970</v>
      </c>
      <c r="C1314" t="s">
        <v>945</v>
      </c>
      <c r="D1314" t="s">
        <v>946</v>
      </c>
      <c r="E1314" t="s">
        <v>26</v>
      </c>
      <c r="F1314" t="s">
        <v>204</v>
      </c>
      <c r="G1314" t="s">
        <v>20</v>
      </c>
      <c r="H1314" t="s">
        <v>21</v>
      </c>
      <c r="I1314" t="s">
        <v>22</v>
      </c>
      <c r="J1314">
        <v>3</v>
      </c>
      <c r="K1314">
        <v>650</v>
      </c>
      <c r="L1314">
        <v>0.15</v>
      </c>
      <c r="M1314">
        <v>1657.5</v>
      </c>
      <c r="N1314">
        <v>1170</v>
      </c>
      <c r="O1314">
        <v>487.5</v>
      </c>
    </row>
    <row r="1315" spans="1:15" x14ac:dyDescent="0.25">
      <c r="A1315" t="s">
        <v>2322</v>
      </c>
      <c r="B1315" s="2">
        <v>46971</v>
      </c>
      <c r="C1315" t="s">
        <v>1602</v>
      </c>
      <c r="D1315" t="s">
        <v>1603</v>
      </c>
      <c r="E1315" t="s">
        <v>96</v>
      </c>
      <c r="F1315" t="s">
        <v>120</v>
      </c>
      <c r="G1315" t="s">
        <v>20</v>
      </c>
      <c r="H1315" t="s">
        <v>41</v>
      </c>
      <c r="I1315" t="s">
        <v>42</v>
      </c>
      <c r="J1315">
        <v>3</v>
      </c>
      <c r="K1315">
        <v>520</v>
      </c>
      <c r="L1315">
        <v>0.15</v>
      </c>
      <c r="M1315">
        <v>1326</v>
      </c>
      <c r="N1315">
        <v>990</v>
      </c>
      <c r="O1315">
        <v>336</v>
      </c>
    </row>
    <row r="1316" spans="1:15" x14ac:dyDescent="0.25">
      <c r="A1316" t="s">
        <v>2323</v>
      </c>
      <c r="B1316" s="2">
        <v>46972</v>
      </c>
      <c r="C1316" t="s">
        <v>703</v>
      </c>
      <c r="D1316" t="s">
        <v>704</v>
      </c>
      <c r="E1316" t="s">
        <v>26</v>
      </c>
      <c r="F1316" t="s">
        <v>46</v>
      </c>
      <c r="G1316" t="s">
        <v>51</v>
      </c>
      <c r="H1316" t="s">
        <v>52</v>
      </c>
      <c r="I1316" t="s">
        <v>53</v>
      </c>
      <c r="J1316">
        <v>2</v>
      </c>
      <c r="K1316">
        <v>2200</v>
      </c>
      <c r="L1316">
        <v>0.1</v>
      </c>
      <c r="M1316">
        <v>3960</v>
      </c>
      <c r="N1316">
        <v>2900</v>
      </c>
      <c r="O1316">
        <v>1060</v>
      </c>
    </row>
    <row r="1317" spans="1:15" x14ac:dyDescent="0.25">
      <c r="A1317" t="s">
        <v>2324</v>
      </c>
      <c r="B1317" s="2">
        <v>46973</v>
      </c>
      <c r="C1317" t="s">
        <v>1786</v>
      </c>
      <c r="D1317" t="s">
        <v>1787</v>
      </c>
      <c r="E1317" t="s">
        <v>26</v>
      </c>
      <c r="F1317" t="s">
        <v>128</v>
      </c>
      <c r="G1317" t="s">
        <v>51</v>
      </c>
      <c r="H1317" t="s">
        <v>89</v>
      </c>
      <c r="I1317" t="s">
        <v>90</v>
      </c>
      <c r="J1317">
        <v>4</v>
      </c>
      <c r="K1317">
        <v>10500</v>
      </c>
      <c r="L1317">
        <v>0.05</v>
      </c>
      <c r="M1317">
        <v>39900</v>
      </c>
      <c r="N1317">
        <v>30400</v>
      </c>
      <c r="O1317">
        <v>9500</v>
      </c>
    </row>
    <row r="1318" spans="1:15" x14ac:dyDescent="0.25">
      <c r="A1318" t="s">
        <v>2325</v>
      </c>
      <c r="B1318" s="2">
        <v>46974</v>
      </c>
      <c r="C1318" t="s">
        <v>2326</v>
      </c>
      <c r="D1318" t="s">
        <v>2327</v>
      </c>
      <c r="E1318" t="s">
        <v>39</v>
      </c>
      <c r="F1318" t="s">
        <v>76</v>
      </c>
      <c r="G1318" t="s">
        <v>57</v>
      </c>
      <c r="H1318" t="s">
        <v>58</v>
      </c>
      <c r="I1318" t="s">
        <v>129</v>
      </c>
      <c r="J1318">
        <v>3</v>
      </c>
      <c r="K1318">
        <v>4800</v>
      </c>
      <c r="L1318">
        <v>0.2</v>
      </c>
      <c r="M1318">
        <v>11520</v>
      </c>
      <c r="N1318">
        <v>9900</v>
      </c>
      <c r="O1318">
        <v>1620</v>
      </c>
    </row>
    <row r="1319" spans="1:15" x14ac:dyDescent="0.25">
      <c r="A1319" t="s">
        <v>2328</v>
      </c>
      <c r="B1319" s="2">
        <v>46975</v>
      </c>
      <c r="C1319" t="s">
        <v>1745</v>
      </c>
      <c r="D1319" t="s">
        <v>1746</v>
      </c>
      <c r="E1319" t="s">
        <v>96</v>
      </c>
      <c r="F1319" t="s">
        <v>120</v>
      </c>
      <c r="G1319" t="s">
        <v>20</v>
      </c>
      <c r="H1319" t="s">
        <v>84</v>
      </c>
      <c r="I1319" t="s">
        <v>85</v>
      </c>
      <c r="J1319">
        <v>3</v>
      </c>
      <c r="K1319">
        <v>280</v>
      </c>
      <c r="L1319">
        <v>0.05</v>
      </c>
      <c r="M1319">
        <v>798</v>
      </c>
      <c r="N1319">
        <v>480</v>
      </c>
      <c r="O1319">
        <v>318</v>
      </c>
    </row>
    <row r="1320" spans="1:15" x14ac:dyDescent="0.25">
      <c r="A1320" t="s">
        <v>2329</v>
      </c>
      <c r="B1320" s="2">
        <v>46976</v>
      </c>
      <c r="C1320" t="s">
        <v>912</v>
      </c>
      <c r="D1320" t="s">
        <v>913</v>
      </c>
      <c r="E1320" t="s">
        <v>39</v>
      </c>
      <c r="F1320" t="s">
        <v>71</v>
      </c>
      <c r="G1320" t="s">
        <v>20</v>
      </c>
      <c r="H1320" t="s">
        <v>21</v>
      </c>
      <c r="I1320" t="s">
        <v>22</v>
      </c>
      <c r="J1320">
        <v>2</v>
      </c>
      <c r="K1320">
        <v>650</v>
      </c>
      <c r="L1320">
        <v>0.05</v>
      </c>
      <c r="M1320">
        <v>1235</v>
      </c>
      <c r="N1320">
        <v>780</v>
      </c>
      <c r="O1320">
        <v>455</v>
      </c>
    </row>
    <row r="1321" spans="1:15" x14ac:dyDescent="0.25">
      <c r="A1321" t="s">
        <v>2330</v>
      </c>
      <c r="B1321" s="2">
        <v>46977</v>
      </c>
      <c r="C1321" t="s">
        <v>113</v>
      </c>
      <c r="D1321" t="s">
        <v>114</v>
      </c>
      <c r="E1321" t="s">
        <v>26</v>
      </c>
      <c r="F1321" t="s">
        <v>27</v>
      </c>
      <c r="G1321" t="s">
        <v>51</v>
      </c>
      <c r="H1321" t="s">
        <v>21</v>
      </c>
      <c r="I1321" t="s">
        <v>72</v>
      </c>
      <c r="J1321">
        <v>2</v>
      </c>
      <c r="K1321">
        <v>1800</v>
      </c>
      <c r="L1321">
        <v>0</v>
      </c>
      <c r="M1321">
        <v>3600</v>
      </c>
      <c r="N1321">
        <v>2200</v>
      </c>
      <c r="O1321">
        <v>1400</v>
      </c>
    </row>
    <row r="1322" spans="1:15" x14ac:dyDescent="0.25">
      <c r="A1322" t="s">
        <v>2331</v>
      </c>
      <c r="B1322" s="2">
        <v>46978</v>
      </c>
      <c r="C1322" t="s">
        <v>113</v>
      </c>
      <c r="D1322" t="s">
        <v>114</v>
      </c>
      <c r="E1322" t="s">
        <v>39</v>
      </c>
      <c r="F1322" t="s">
        <v>71</v>
      </c>
      <c r="G1322" t="s">
        <v>20</v>
      </c>
      <c r="H1322" t="s">
        <v>21</v>
      </c>
      <c r="I1322" t="s">
        <v>22</v>
      </c>
      <c r="J1322">
        <v>2</v>
      </c>
      <c r="K1322">
        <v>650</v>
      </c>
      <c r="L1322">
        <v>0.1</v>
      </c>
      <c r="M1322">
        <v>1170</v>
      </c>
      <c r="N1322">
        <v>780</v>
      </c>
      <c r="O1322">
        <v>390</v>
      </c>
    </row>
    <row r="1323" spans="1:15" x14ac:dyDescent="0.25">
      <c r="A1323" t="s">
        <v>2332</v>
      </c>
      <c r="B1323" s="2">
        <v>46979</v>
      </c>
      <c r="C1323" t="s">
        <v>1294</v>
      </c>
      <c r="D1323" t="s">
        <v>1295</v>
      </c>
      <c r="E1323" t="s">
        <v>39</v>
      </c>
      <c r="F1323" t="s">
        <v>40</v>
      </c>
      <c r="G1323" t="s">
        <v>20</v>
      </c>
      <c r="H1323" t="s">
        <v>21</v>
      </c>
      <c r="I1323" t="s">
        <v>22</v>
      </c>
      <c r="J1323">
        <v>4</v>
      </c>
      <c r="K1323">
        <v>650</v>
      </c>
      <c r="L1323">
        <v>0.05</v>
      </c>
      <c r="M1323">
        <v>2470</v>
      </c>
      <c r="N1323">
        <v>1560</v>
      </c>
      <c r="O1323">
        <v>910</v>
      </c>
    </row>
    <row r="1324" spans="1:15" x14ac:dyDescent="0.25">
      <c r="A1324" t="s">
        <v>2333</v>
      </c>
      <c r="B1324" s="2">
        <v>46980</v>
      </c>
      <c r="C1324" t="s">
        <v>1671</v>
      </c>
      <c r="D1324" t="s">
        <v>1672</v>
      </c>
      <c r="E1324" t="s">
        <v>26</v>
      </c>
      <c r="F1324" t="s">
        <v>27</v>
      </c>
      <c r="G1324" t="s">
        <v>20</v>
      </c>
      <c r="H1324" t="s">
        <v>84</v>
      </c>
      <c r="I1324" t="s">
        <v>210</v>
      </c>
      <c r="J1324">
        <v>4</v>
      </c>
      <c r="K1324">
        <v>300</v>
      </c>
      <c r="L1324">
        <v>0.15</v>
      </c>
      <c r="M1324">
        <v>1020</v>
      </c>
      <c r="N1324">
        <v>680</v>
      </c>
      <c r="O1324">
        <v>340</v>
      </c>
    </row>
    <row r="1325" spans="1:15" x14ac:dyDescent="0.25">
      <c r="A1325" t="s">
        <v>2334</v>
      </c>
      <c r="B1325" s="2">
        <v>46981</v>
      </c>
      <c r="C1325" t="s">
        <v>2335</v>
      </c>
      <c r="D1325" t="s">
        <v>2336</v>
      </c>
      <c r="E1325" t="s">
        <v>39</v>
      </c>
      <c r="F1325" t="s">
        <v>71</v>
      </c>
      <c r="G1325" t="s">
        <v>51</v>
      </c>
      <c r="H1325" t="s">
        <v>21</v>
      </c>
      <c r="I1325" t="s">
        <v>116</v>
      </c>
      <c r="J1325">
        <v>2</v>
      </c>
      <c r="K1325">
        <v>1400</v>
      </c>
      <c r="L1325">
        <v>0.05</v>
      </c>
      <c r="M1325">
        <v>2660</v>
      </c>
      <c r="N1325">
        <v>1800</v>
      </c>
      <c r="O1325">
        <v>860</v>
      </c>
    </row>
    <row r="1326" spans="1:15" x14ac:dyDescent="0.25">
      <c r="A1326" t="s">
        <v>2337</v>
      </c>
      <c r="B1326" s="2">
        <v>46982</v>
      </c>
      <c r="C1326" t="s">
        <v>1690</v>
      </c>
      <c r="D1326" t="s">
        <v>1691</v>
      </c>
      <c r="E1326" t="s">
        <v>39</v>
      </c>
      <c r="F1326" t="s">
        <v>40</v>
      </c>
      <c r="G1326" t="s">
        <v>20</v>
      </c>
      <c r="H1326" t="s">
        <v>84</v>
      </c>
      <c r="I1326" t="s">
        <v>169</v>
      </c>
      <c r="J1326">
        <v>1</v>
      </c>
      <c r="K1326">
        <v>450</v>
      </c>
      <c r="L1326">
        <v>0.15</v>
      </c>
      <c r="M1326">
        <v>382.5</v>
      </c>
      <c r="N1326">
        <v>260</v>
      </c>
      <c r="O1326">
        <v>122.5</v>
      </c>
    </row>
    <row r="1327" spans="1:15" x14ac:dyDescent="0.25">
      <c r="A1327" t="s">
        <v>2338</v>
      </c>
      <c r="B1327" s="2">
        <v>46983</v>
      </c>
      <c r="C1327" t="s">
        <v>1755</v>
      </c>
      <c r="D1327" t="s">
        <v>1756</v>
      </c>
      <c r="E1327" t="s">
        <v>26</v>
      </c>
      <c r="F1327" t="s">
        <v>204</v>
      </c>
      <c r="G1327" t="s">
        <v>20</v>
      </c>
      <c r="H1327" t="s">
        <v>84</v>
      </c>
      <c r="I1327" t="s">
        <v>210</v>
      </c>
      <c r="J1327">
        <v>5</v>
      </c>
      <c r="K1327">
        <v>300</v>
      </c>
      <c r="L1327">
        <v>0.1</v>
      </c>
      <c r="M1327">
        <v>1350</v>
      </c>
      <c r="N1327">
        <v>850</v>
      </c>
      <c r="O1327">
        <v>500</v>
      </c>
    </row>
    <row r="1328" spans="1:15" x14ac:dyDescent="0.25">
      <c r="A1328" t="s">
        <v>2339</v>
      </c>
      <c r="B1328" s="2">
        <v>46984</v>
      </c>
      <c r="C1328" t="s">
        <v>1009</v>
      </c>
      <c r="D1328" t="s">
        <v>1010</v>
      </c>
      <c r="E1328" t="s">
        <v>96</v>
      </c>
      <c r="F1328" t="s">
        <v>200</v>
      </c>
      <c r="G1328" t="s">
        <v>51</v>
      </c>
      <c r="H1328" t="s">
        <v>52</v>
      </c>
      <c r="I1328" t="s">
        <v>53</v>
      </c>
      <c r="J1328">
        <v>4</v>
      </c>
      <c r="K1328">
        <v>2200</v>
      </c>
      <c r="L1328">
        <v>0.2</v>
      </c>
      <c r="M1328">
        <v>7040</v>
      </c>
      <c r="N1328">
        <v>5800</v>
      </c>
      <c r="O1328">
        <v>1240</v>
      </c>
    </row>
    <row r="1329" spans="1:15" x14ac:dyDescent="0.25">
      <c r="A1329" t="s">
        <v>2340</v>
      </c>
      <c r="B1329" s="2">
        <v>46985</v>
      </c>
      <c r="C1329" t="s">
        <v>1720</v>
      </c>
      <c r="D1329" t="s">
        <v>1721</v>
      </c>
      <c r="E1329" t="s">
        <v>96</v>
      </c>
      <c r="F1329" t="s">
        <v>120</v>
      </c>
      <c r="G1329" t="s">
        <v>51</v>
      </c>
      <c r="H1329" t="s">
        <v>21</v>
      </c>
      <c r="I1329" t="s">
        <v>116</v>
      </c>
      <c r="J1329">
        <v>5</v>
      </c>
      <c r="K1329">
        <v>1400</v>
      </c>
      <c r="L1329">
        <v>0.05</v>
      </c>
      <c r="M1329">
        <v>6650</v>
      </c>
      <c r="N1329">
        <v>4500</v>
      </c>
      <c r="O1329">
        <v>2150</v>
      </c>
    </row>
    <row r="1330" spans="1:15" x14ac:dyDescent="0.25">
      <c r="A1330" t="s">
        <v>2341</v>
      </c>
      <c r="B1330" s="2">
        <v>46986</v>
      </c>
      <c r="C1330" t="s">
        <v>1671</v>
      </c>
      <c r="D1330" t="s">
        <v>1672</v>
      </c>
      <c r="E1330" t="s">
        <v>39</v>
      </c>
      <c r="F1330" t="s">
        <v>71</v>
      </c>
      <c r="G1330" t="s">
        <v>51</v>
      </c>
      <c r="H1330" t="s">
        <v>89</v>
      </c>
      <c r="I1330" t="s">
        <v>90</v>
      </c>
      <c r="J1330">
        <v>4</v>
      </c>
      <c r="K1330">
        <v>10500</v>
      </c>
      <c r="L1330">
        <v>0.2</v>
      </c>
      <c r="M1330">
        <v>33600</v>
      </c>
      <c r="N1330">
        <v>30400</v>
      </c>
      <c r="O1330">
        <v>3200</v>
      </c>
    </row>
    <row r="1331" spans="1:15" x14ac:dyDescent="0.25">
      <c r="A1331" t="s">
        <v>2342</v>
      </c>
      <c r="B1331" s="2">
        <v>46987</v>
      </c>
      <c r="C1331" t="s">
        <v>817</v>
      </c>
      <c r="D1331" t="s">
        <v>818</v>
      </c>
      <c r="E1331" t="s">
        <v>18</v>
      </c>
      <c r="F1331" t="s">
        <v>94</v>
      </c>
      <c r="G1331" t="s">
        <v>20</v>
      </c>
      <c r="H1331" t="s">
        <v>84</v>
      </c>
      <c r="I1331" t="s">
        <v>169</v>
      </c>
      <c r="J1331">
        <v>4</v>
      </c>
      <c r="K1331">
        <v>450</v>
      </c>
      <c r="L1331">
        <v>0.15</v>
      </c>
      <c r="M1331">
        <v>1530</v>
      </c>
      <c r="N1331">
        <v>1040</v>
      </c>
      <c r="O1331">
        <v>490</v>
      </c>
    </row>
    <row r="1332" spans="1:15" x14ac:dyDescent="0.25">
      <c r="A1332" t="s">
        <v>2343</v>
      </c>
      <c r="B1332" s="2">
        <v>46988</v>
      </c>
      <c r="C1332" t="s">
        <v>1259</v>
      </c>
      <c r="D1332" t="s">
        <v>1260</v>
      </c>
      <c r="E1332" t="s">
        <v>26</v>
      </c>
      <c r="F1332" t="s">
        <v>204</v>
      </c>
      <c r="G1332" t="s">
        <v>20</v>
      </c>
      <c r="H1332" t="s">
        <v>84</v>
      </c>
      <c r="I1332" t="s">
        <v>85</v>
      </c>
      <c r="J1332">
        <v>4</v>
      </c>
      <c r="K1332">
        <v>280</v>
      </c>
      <c r="L1332">
        <v>0.15</v>
      </c>
      <c r="M1332">
        <v>952</v>
      </c>
      <c r="N1332">
        <v>640</v>
      </c>
      <c r="O1332">
        <v>312</v>
      </c>
    </row>
    <row r="1333" spans="1:15" x14ac:dyDescent="0.25">
      <c r="A1333" t="s">
        <v>2344</v>
      </c>
      <c r="B1333" s="2">
        <v>46989</v>
      </c>
      <c r="C1333" t="s">
        <v>44</v>
      </c>
      <c r="D1333" t="s">
        <v>45</v>
      </c>
      <c r="E1333" t="s">
        <v>18</v>
      </c>
      <c r="F1333" t="s">
        <v>19</v>
      </c>
      <c r="G1333" t="s">
        <v>20</v>
      </c>
      <c r="H1333" t="s">
        <v>84</v>
      </c>
      <c r="I1333" t="s">
        <v>210</v>
      </c>
      <c r="J1333">
        <v>4</v>
      </c>
      <c r="K1333">
        <v>300</v>
      </c>
      <c r="L1333">
        <v>0.1</v>
      </c>
      <c r="M1333">
        <v>1080</v>
      </c>
      <c r="N1333">
        <v>680</v>
      </c>
      <c r="O1333">
        <v>400</v>
      </c>
    </row>
    <row r="1334" spans="1:15" x14ac:dyDescent="0.25">
      <c r="A1334" t="s">
        <v>2345</v>
      </c>
      <c r="B1334" s="2">
        <v>46990</v>
      </c>
      <c r="C1334" t="s">
        <v>378</v>
      </c>
      <c r="D1334" t="s">
        <v>379</v>
      </c>
      <c r="E1334" t="s">
        <v>18</v>
      </c>
      <c r="F1334" t="s">
        <v>94</v>
      </c>
      <c r="G1334" t="s">
        <v>51</v>
      </c>
      <c r="H1334" t="s">
        <v>21</v>
      </c>
      <c r="I1334" t="s">
        <v>80</v>
      </c>
      <c r="J1334">
        <v>5</v>
      </c>
      <c r="K1334">
        <v>850</v>
      </c>
      <c r="L1334">
        <v>0.2</v>
      </c>
      <c r="M1334">
        <v>3400</v>
      </c>
      <c r="N1334">
        <v>2800</v>
      </c>
      <c r="O1334">
        <v>600</v>
      </c>
    </row>
    <row r="1335" spans="1:15" x14ac:dyDescent="0.25">
      <c r="A1335" t="s">
        <v>2346</v>
      </c>
      <c r="B1335" s="2">
        <v>46991</v>
      </c>
      <c r="C1335" t="s">
        <v>427</v>
      </c>
      <c r="D1335" t="s">
        <v>428</v>
      </c>
      <c r="E1335" t="s">
        <v>26</v>
      </c>
      <c r="F1335" t="s">
        <v>46</v>
      </c>
      <c r="G1335" t="s">
        <v>20</v>
      </c>
      <c r="H1335" t="s">
        <v>21</v>
      </c>
      <c r="I1335" t="s">
        <v>22</v>
      </c>
      <c r="J1335">
        <v>5</v>
      </c>
      <c r="K1335">
        <v>650</v>
      </c>
      <c r="L1335">
        <v>0</v>
      </c>
      <c r="M1335">
        <v>3250</v>
      </c>
      <c r="N1335">
        <v>1950</v>
      </c>
      <c r="O1335">
        <v>1300</v>
      </c>
    </row>
    <row r="1336" spans="1:15" x14ac:dyDescent="0.25">
      <c r="A1336" t="s">
        <v>2347</v>
      </c>
      <c r="B1336" s="2">
        <v>46992</v>
      </c>
      <c r="C1336" t="s">
        <v>1315</v>
      </c>
      <c r="D1336" t="s">
        <v>1316</v>
      </c>
      <c r="E1336" t="s">
        <v>39</v>
      </c>
      <c r="F1336" t="s">
        <v>71</v>
      </c>
      <c r="G1336" t="s">
        <v>51</v>
      </c>
      <c r="H1336" t="s">
        <v>89</v>
      </c>
      <c r="I1336" t="s">
        <v>90</v>
      </c>
      <c r="J1336">
        <v>3</v>
      </c>
      <c r="K1336">
        <v>10500</v>
      </c>
      <c r="L1336">
        <v>0.15</v>
      </c>
      <c r="M1336">
        <v>26775</v>
      </c>
      <c r="N1336">
        <v>22800</v>
      </c>
      <c r="O1336">
        <v>3975</v>
      </c>
    </row>
    <row r="1337" spans="1:15" x14ac:dyDescent="0.25">
      <c r="A1337" t="s">
        <v>2348</v>
      </c>
      <c r="B1337" s="2">
        <v>46993</v>
      </c>
      <c r="C1337" t="s">
        <v>248</v>
      </c>
      <c r="D1337" t="s">
        <v>249</v>
      </c>
      <c r="E1337" t="s">
        <v>26</v>
      </c>
      <c r="F1337" t="s">
        <v>27</v>
      </c>
      <c r="G1337" t="s">
        <v>51</v>
      </c>
      <c r="H1337" t="s">
        <v>21</v>
      </c>
      <c r="I1337" t="s">
        <v>72</v>
      </c>
      <c r="J1337">
        <v>5</v>
      </c>
      <c r="K1337">
        <v>1800</v>
      </c>
      <c r="L1337">
        <v>0.2</v>
      </c>
      <c r="M1337">
        <v>7200</v>
      </c>
      <c r="N1337">
        <v>5500</v>
      </c>
      <c r="O1337">
        <v>1700</v>
      </c>
    </row>
    <row r="1338" spans="1:15" x14ac:dyDescent="0.25">
      <c r="A1338" t="s">
        <v>2349</v>
      </c>
      <c r="B1338" s="2">
        <v>46994</v>
      </c>
      <c r="C1338" t="s">
        <v>619</v>
      </c>
      <c r="D1338" t="s">
        <v>620</v>
      </c>
      <c r="E1338" t="s">
        <v>26</v>
      </c>
      <c r="F1338" t="s">
        <v>27</v>
      </c>
      <c r="G1338" t="s">
        <v>57</v>
      </c>
      <c r="H1338" t="s">
        <v>104</v>
      </c>
      <c r="I1338" t="s">
        <v>105</v>
      </c>
      <c r="J1338">
        <v>1</v>
      </c>
      <c r="K1338">
        <v>7500</v>
      </c>
      <c r="L1338">
        <v>0.15</v>
      </c>
      <c r="M1338">
        <v>6375</v>
      </c>
      <c r="N1338">
        <v>5200</v>
      </c>
      <c r="O1338">
        <v>1175</v>
      </c>
    </row>
    <row r="1339" spans="1:15" x14ac:dyDescent="0.25">
      <c r="A1339" t="s">
        <v>2350</v>
      </c>
      <c r="B1339" s="2">
        <v>46995</v>
      </c>
      <c r="C1339" t="s">
        <v>573</v>
      </c>
      <c r="D1339" t="s">
        <v>574</v>
      </c>
      <c r="E1339" t="s">
        <v>96</v>
      </c>
      <c r="F1339" t="s">
        <v>120</v>
      </c>
      <c r="G1339" t="s">
        <v>51</v>
      </c>
      <c r="H1339" t="s">
        <v>21</v>
      </c>
      <c r="I1339" t="s">
        <v>72</v>
      </c>
      <c r="J1339">
        <v>1</v>
      </c>
      <c r="K1339">
        <v>1800</v>
      </c>
      <c r="L1339">
        <v>0.05</v>
      </c>
      <c r="M1339">
        <v>1710</v>
      </c>
      <c r="N1339">
        <v>1100</v>
      </c>
      <c r="O1339">
        <v>610</v>
      </c>
    </row>
    <row r="1340" spans="1:15" x14ac:dyDescent="0.25">
      <c r="A1340" t="s">
        <v>2351</v>
      </c>
      <c r="B1340" s="2">
        <v>46996</v>
      </c>
      <c r="C1340" t="s">
        <v>1240</v>
      </c>
      <c r="D1340" t="s">
        <v>1241</v>
      </c>
      <c r="E1340" t="s">
        <v>39</v>
      </c>
      <c r="F1340" t="s">
        <v>40</v>
      </c>
      <c r="G1340" t="s">
        <v>51</v>
      </c>
      <c r="H1340" t="s">
        <v>52</v>
      </c>
      <c r="I1340" t="s">
        <v>53</v>
      </c>
      <c r="J1340">
        <v>4</v>
      </c>
      <c r="K1340">
        <v>2200</v>
      </c>
      <c r="L1340">
        <v>0.15</v>
      </c>
      <c r="M1340">
        <v>7480</v>
      </c>
      <c r="N1340">
        <v>5800</v>
      </c>
      <c r="O1340">
        <v>1680</v>
      </c>
    </row>
    <row r="1341" spans="1:15" x14ac:dyDescent="0.25">
      <c r="A1341" t="s">
        <v>2352</v>
      </c>
      <c r="B1341" s="2">
        <v>46997</v>
      </c>
      <c r="C1341" t="s">
        <v>320</v>
      </c>
      <c r="D1341" t="s">
        <v>321</v>
      </c>
      <c r="E1341" t="s">
        <v>26</v>
      </c>
      <c r="F1341" t="s">
        <v>128</v>
      </c>
      <c r="G1341" t="s">
        <v>20</v>
      </c>
      <c r="H1341" t="s">
        <v>41</v>
      </c>
      <c r="I1341" t="s">
        <v>42</v>
      </c>
      <c r="J1341">
        <v>4</v>
      </c>
      <c r="K1341">
        <v>520</v>
      </c>
      <c r="L1341">
        <v>0</v>
      </c>
      <c r="M1341">
        <v>2080</v>
      </c>
      <c r="N1341">
        <v>1320</v>
      </c>
      <c r="O1341">
        <v>760</v>
      </c>
    </row>
    <row r="1342" spans="1:15" x14ac:dyDescent="0.25">
      <c r="A1342" t="s">
        <v>2353</v>
      </c>
      <c r="B1342" s="2">
        <v>46998</v>
      </c>
      <c r="C1342" t="s">
        <v>472</v>
      </c>
      <c r="D1342" t="s">
        <v>473</v>
      </c>
      <c r="E1342" t="s">
        <v>39</v>
      </c>
      <c r="F1342" t="s">
        <v>71</v>
      </c>
      <c r="G1342" t="s">
        <v>57</v>
      </c>
      <c r="H1342" t="s">
        <v>188</v>
      </c>
      <c r="I1342" t="s">
        <v>189</v>
      </c>
      <c r="J1342">
        <v>4</v>
      </c>
      <c r="K1342">
        <v>6200</v>
      </c>
      <c r="L1342">
        <v>0</v>
      </c>
      <c r="M1342">
        <v>24800</v>
      </c>
      <c r="N1342">
        <v>17200</v>
      </c>
      <c r="O1342">
        <v>7600</v>
      </c>
    </row>
    <row r="1343" spans="1:15" x14ac:dyDescent="0.25">
      <c r="A1343" t="s">
        <v>2354</v>
      </c>
      <c r="B1343" s="2">
        <v>46999</v>
      </c>
      <c r="C1343" t="s">
        <v>1510</v>
      </c>
      <c r="D1343" t="s">
        <v>1511</v>
      </c>
      <c r="E1343" t="s">
        <v>96</v>
      </c>
      <c r="F1343" t="s">
        <v>200</v>
      </c>
      <c r="G1343" t="s">
        <v>57</v>
      </c>
      <c r="H1343" t="s">
        <v>104</v>
      </c>
      <c r="I1343" t="s">
        <v>105</v>
      </c>
      <c r="J1343">
        <v>3</v>
      </c>
      <c r="K1343">
        <v>7500</v>
      </c>
      <c r="L1343">
        <v>0.15</v>
      </c>
      <c r="M1343">
        <v>19125</v>
      </c>
      <c r="N1343">
        <v>15600</v>
      </c>
      <c r="O1343">
        <v>3525</v>
      </c>
    </row>
    <row r="1344" spans="1:15" x14ac:dyDescent="0.25">
      <c r="A1344" t="s">
        <v>2355</v>
      </c>
      <c r="B1344" s="2">
        <v>47000</v>
      </c>
      <c r="C1344" t="s">
        <v>2356</v>
      </c>
      <c r="D1344" t="s">
        <v>2357</v>
      </c>
      <c r="E1344" t="s">
        <v>26</v>
      </c>
      <c r="F1344" t="s">
        <v>204</v>
      </c>
      <c r="G1344" t="s">
        <v>51</v>
      </c>
      <c r="H1344" t="s">
        <v>52</v>
      </c>
      <c r="I1344" t="s">
        <v>208</v>
      </c>
      <c r="J1344">
        <v>5</v>
      </c>
      <c r="K1344">
        <v>2800</v>
      </c>
      <c r="L1344">
        <v>0.15</v>
      </c>
      <c r="M1344">
        <v>11900</v>
      </c>
      <c r="N1344">
        <v>9000</v>
      </c>
      <c r="O1344">
        <v>2900</v>
      </c>
    </row>
    <row r="1345" spans="1:15" x14ac:dyDescent="0.25">
      <c r="A1345" t="s">
        <v>2358</v>
      </c>
      <c r="B1345" s="2">
        <v>47001</v>
      </c>
      <c r="C1345" t="s">
        <v>1750</v>
      </c>
      <c r="D1345" t="s">
        <v>1751</v>
      </c>
      <c r="E1345" t="s">
        <v>96</v>
      </c>
      <c r="F1345" t="s">
        <v>120</v>
      </c>
      <c r="G1345" t="s">
        <v>51</v>
      </c>
      <c r="H1345" t="s">
        <v>21</v>
      </c>
      <c r="I1345" t="s">
        <v>72</v>
      </c>
      <c r="J1345">
        <v>1</v>
      </c>
      <c r="K1345">
        <v>1800</v>
      </c>
      <c r="L1345">
        <v>0</v>
      </c>
      <c r="M1345">
        <v>1800</v>
      </c>
      <c r="N1345">
        <v>1100</v>
      </c>
      <c r="O1345">
        <v>700</v>
      </c>
    </row>
    <row r="1346" spans="1:15" x14ac:dyDescent="0.25">
      <c r="A1346" t="s">
        <v>2359</v>
      </c>
      <c r="B1346" s="2">
        <v>47002</v>
      </c>
      <c r="C1346" t="s">
        <v>284</v>
      </c>
      <c r="D1346" t="s">
        <v>285</v>
      </c>
      <c r="E1346" t="s">
        <v>26</v>
      </c>
      <c r="F1346" t="s">
        <v>204</v>
      </c>
      <c r="G1346" t="s">
        <v>51</v>
      </c>
      <c r="H1346" t="s">
        <v>21</v>
      </c>
      <c r="I1346" t="s">
        <v>72</v>
      </c>
      <c r="J1346">
        <v>3</v>
      </c>
      <c r="K1346">
        <v>1800</v>
      </c>
      <c r="L1346">
        <v>0.1</v>
      </c>
      <c r="M1346">
        <v>4860</v>
      </c>
      <c r="N1346">
        <v>3300</v>
      </c>
      <c r="O1346">
        <v>1560</v>
      </c>
    </row>
    <row r="1347" spans="1:15" x14ac:dyDescent="0.25">
      <c r="A1347" t="s">
        <v>2360</v>
      </c>
      <c r="B1347" s="2">
        <v>47003</v>
      </c>
      <c r="C1347" t="s">
        <v>2031</v>
      </c>
      <c r="D1347" t="s">
        <v>2032</v>
      </c>
      <c r="E1347" t="s">
        <v>96</v>
      </c>
      <c r="F1347" t="s">
        <v>200</v>
      </c>
      <c r="G1347" t="s">
        <v>20</v>
      </c>
      <c r="H1347" t="s">
        <v>84</v>
      </c>
      <c r="I1347" t="s">
        <v>169</v>
      </c>
      <c r="J1347">
        <v>4</v>
      </c>
      <c r="K1347">
        <v>450</v>
      </c>
      <c r="L1347">
        <v>0.25</v>
      </c>
      <c r="M1347">
        <v>1350</v>
      </c>
      <c r="N1347">
        <v>1040</v>
      </c>
      <c r="O1347">
        <v>310</v>
      </c>
    </row>
    <row r="1348" spans="1:15" x14ac:dyDescent="0.25">
      <c r="A1348" t="s">
        <v>2361</v>
      </c>
      <c r="B1348" s="2">
        <v>47004</v>
      </c>
      <c r="C1348" t="s">
        <v>902</v>
      </c>
      <c r="D1348" t="s">
        <v>903</v>
      </c>
      <c r="E1348" t="s">
        <v>26</v>
      </c>
      <c r="F1348" t="s">
        <v>128</v>
      </c>
      <c r="G1348" t="s">
        <v>20</v>
      </c>
      <c r="H1348" t="s">
        <v>84</v>
      </c>
      <c r="I1348" t="s">
        <v>85</v>
      </c>
      <c r="J1348">
        <v>3</v>
      </c>
      <c r="K1348">
        <v>280</v>
      </c>
      <c r="L1348">
        <v>0.1</v>
      </c>
      <c r="M1348">
        <v>756</v>
      </c>
      <c r="N1348">
        <v>480</v>
      </c>
      <c r="O1348">
        <v>276</v>
      </c>
    </row>
    <row r="1349" spans="1:15" x14ac:dyDescent="0.25">
      <c r="A1349" t="s">
        <v>2362</v>
      </c>
      <c r="B1349" s="2">
        <v>47005</v>
      </c>
      <c r="C1349" t="s">
        <v>647</v>
      </c>
      <c r="D1349" t="s">
        <v>648</v>
      </c>
      <c r="E1349" t="s">
        <v>96</v>
      </c>
      <c r="F1349" t="s">
        <v>196</v>
      </c>
      <c r="G1349" t="s">
        <v>28</v>
      </c>
      <c r="H1349" t="s">
        <v>29</v>
      </c>
      <c r="I1349" t="s">
        <v>30</v>
      </c>
      <c r="J1349">
        <v>1</v>
      </c>
      <c r="K1349">
        <v>1900</v>
      </c>
      <c r="L1349">
        <v>0.1</v>
      </c>
      <c r="M1349">
        <v>1710</v>
      </c>
      <c r="N1349">
        <v>1250</v>
      </c>
      <c r="O1349">
        <v>460</v>
      </c>
    </row>
    <row r="1350" spans="1:15" x14ac:dyDescent="0.25">
      <c r="A1350" t="s">
        <v>2363</v>
      </c>
      <c r="B1350" s="2">
        <v>47006</v>
      </c>
      <c r="C1350" t="s">
        <v>194</v>
      </c>
      <c r="D1350" t="s">
        <v>195</v>
      </c>
      <c r="E1350" t="s">
        <v>96</v>
      </c>
      <c r="F1350" t="s">
        <v>200</v>
      </c>
      <c r="G1350" t="s">
        <v>51</v>
      </c>
      <c r="H1350" t="s">
        <v>21</v>
      </c>
      <c r="I1350" t="s">
        <v>72</v>
      </c>
      <c r="J1350">
        <v>5</v>
      </c>
      <c r="K1350">
        <v>1800</v>
      </c>
      <c r="L1350">
        <v>0.2</v>
      </c>
      <c r="M1350">
        <v>7200</v>
      </c>
      <c r="N1350">
        <v>5500</v>
      </c>
      <c r="O1350">
        <v>1700</v>
      </c>
    </row>
    <row r="1351" spans="1:15" x14ac:dyDescent="0.25">
      <c r="A1351" t="s">
        <v>2364</v>
      </c>
      <c r="B1351" s="2">
        <v>47007</v>
      </c>
      <c r="C1351" t="s">
        <v>2365</v>
      </c>
      <c r="D1351" t="s">
        <v>2366</v>
      </c>
      <c r="E1351" t="s">
        <v>39</v>
      </c>
      <c r="F1351" t="s">
        <v>71</v>
      </c>
      <c r="G1351" t="s">
        <v>51</v>
      </c>
      <c r="H1351" t="s">
        <v>89</v>
      </c>
      <c r="I1351" t="s">
        <v>90</v>
      </c>
      <c r="J1351">
        <v>5</v>
      </c>
      <c r="K1351">
        <v>10500</v>
      </c>
      <c r="L1351">
        <v>0.05</v>
      </c>
      <c r="M1351">
        <v>49875</v>
      </c>
      <c r="N1351">
        <v>38000</v>
      </c>
      <c r="O1351">
        <v>11875</v>
      </c>
    </row>
    <row r="1352" spans="1:15" x14ac:dyDescent="0.25">
      <c r="A1352" t="s">
        <v>2367</v>
      </c>
      <c r="B1352" s="2">
        <v>47008</v>
      </c>
      <c r="C1352" t="s">
        <v>1920</v>
      </c>
      <c r="D1352" t="s">
        <v>1921</v>
      </c>
      <c r="E1352" t="s">
        <v>39</v>
      </c>
      <c r="F1352" t="s">
        <v>71</v>
      </c>
      <c r="G1352" t="s">
        <v>28</v>
      </c>
      <c r="H1352" t="s">
        <v>63</v>
      </c>
      <c r="I1352" t="s">
        <v>64</v>
      </c>
      <c r="J1352">
        <v>4</v>
      </c>
      <c r="K1352">
        <v>2400</v>
      </c>
      <c r="L1352">
        <v>0</v>
      </c>
      <c r="M1352">
        <v>9600</v>
      </c>
      <c r="N1352">
        <v>6600</v>
      </c>
      <c r="O1352">
        <v>3000</v>
      </c>
    </row>
    <row r="1353" spans="1:15" x14ac:dyDescent="0.25">
      <c r="A1353" t="s">
        <v>2368</v>
      </c>
      <c r="B1353" s="2">
        <v>47009</v>
      </c>
      <c r="C1353" t="s">
        <v>1847</v>
      </c>
      <c r="D1353" t="s">
        <v>1848</v>
      </c>
      <c r="E1353" t="s">
        <v>96</v>
      </c>
      <c r="F1353" t="s">
        <v>200</v>
      </c>
      <c r="G1353" t="s">
        <v>20</v>
      </c>
      <c r="H1353" t="s">
        <v>21</v>
      </c>
      <c r="I1353" t="s">
        <v>22</v>
      </c>
      <c r="J1353">
        <v>3</v>
      </c>
      <c r="K1353">
        <v>650</v>
      </c>
      <c r="L1353">
        <v>0.05</v>
      </c>
      <c r="M1353">
        <v>1852.5</v>
      </c>
      <c r="N1353">
        <v>1170</v>
      </c>
      <c r="O1353">
        <v>682.5</v>
      </c>
    </row>
    <row r="1354" spans="1:15" x14ac:dyDescent="0.25">
      <c r="A1354" t="s">
        <v>2369</v>
      </c>
      <c r="B1354" s="2">
        <v>47010</v>
      </c>
      <c r="C1354" t="s">
        <v>697</v>
      </c>
      <c r="D1354" t="s">
        <v>698</v>
      </c>
      <c r="E1354" t="s">
        <v>39</v>
      </c>
      <c r="F1354" t="s">
        <v>71</v>
      </c>
      <c r="G1354" t="s">
        <v>51</v>
      </c>
      <c r="H1354" t="s">
        <v>21</v>
      </c>
      <c r="I1354" t="s">
        <v>80</v>
      </c>
      <c r="J1354">
        <v>4</v>
      </c>
      <c r="K1354">
        <v>850</v>
      </c>
      <c r="L1354">
        <v>0</v>
      </c>
      <c r="M1354">
        <v>3400</v>
      </c>
      <c r="N1354">
        <v>2240</v>
      </c>
      <c r="O1354">
        <v>1160</v>
      </c>
    </row>
    <row r="1355" spans="1:15" x14ac:dyDescent="0.25">
      <c r="A1355" t="s">
        <v>2370</v>
      </c>
      <c r="B1355" s="2">
        <v>47011</v>
      </c>
      <c r="C1355" t="s">
        <v>494</v>
      </c>
      <c r="D1355" t="s">
        <v>495</v>
      </c>
      <c r="E1355" t="s">
        <v>26</v>
      </c>
      <c r="F1355" t="s">
        <v>27</v>
      </c>
      <c r="G1355" t="s">
        <v>51</v>
      </c>
      <c r="H1355" t="s">
        <v>21</v>
      </c>
      <c r="I1355" t="s">
        <v>116</v>
      </c>
      <c r="J1355">
        <v>3</v>
      </c>
      <c r="K1355">
        <v>1400</v>
      </c>
      <c r="L1355">
        <v>0.05</v>
      </c>
      <c r="M1355">
        <v>3990</v>
      </c>
      <c r="N1355">
        <v>2700</v>
      </c>
      <c r="O1355">
        <v>1290</v>
      </c>
    </row>
    <row r="1356" spans="1:15" x14ac:dyDescent="0.25">
      <c r="A1356" t="s">
        <v>2371</v>
      </c>
      <c r="B1356" s="2">
        <v>47012</v>
      </c>
      <c r="C1356" t="s">
        <v>1281</v>
      </c>
      <c r="D1356" t="s">
        <v>1282</v>
      </c>
      <c r="E1356" t="s">
        <v>26</v>
      </c>
      <c r="F1356" t="s">
        <v>204</v>
      </c>
      <c r="G1356" t="s">
        <v>51</v>
      </c>
      <c r="H1356" t="s">
        <v>21</v>
      </c>
      <c r="I1356" t="s">
        <v>116</v>
      </c>
      <c r="J1356">
        <v>3</v>
      </c>
      <c r="K1356">
        <v>1400</v>
      </c>
      <c r="L1356">
        <v>0.1</v>
      </c>
      <c r="M1356">
        <v>3780</v>
      </c>
      <c r="N1356">
        <v>2700</v>
      </c>
      <c r="O1356">
        <v>1080</v>
      </c>
    </row>
    <row r="1357" spans="1:15" x14ac:dyDescent="0.25">
      <c r="A1357" t="s">
        <v>2372</v>
      </c>
      <c r="B1357" s="2">
        <v>47013</v>
      </c>
      <c r="C1357" t="s">
        <v>513</v>
      </c>
      <c r="D1357" t="s">
        <v>514</v>
      </c>
      <c r="E1357" t="s">
        <v>26</v>
      </c>
      <c r="F1357" t="s">
        <v>34</v>
      </c>
      <c r="G1357" t="s">
        <v>51</v>
      </c>
      <c r="H1357" t="s">
        <v>21</v>
      </c>
      <c r="I1357" t="s">
        <v>80</v>
      </c>
      <c r="J1357">
        <v>3</v>
      </c>
      <c r="K1357">
        <v>850</v>
      </c>
      <c r="L1357">
        <v>0.1</v>
      </c>
      <c r="M1357">
        <v>2295</v>
      </c>
      <c r="N1357">
        <v>1680</v>
      </c>
      <c r="O1357">
        <v>615</v>
      </c>
    </row>
    <row r="1358" spans="1:15" x14ac:dyDescent="0.25">
      <c r="A1358" t="s">
        <v>2373</v>
      </c>
      <c r="B1358" s="2">
        <v>47014</v>
      </c>
      <c r="C1358" t="s">
        <v>2374</v>
      </c>
      <c r="D1358" t="s">
        <v>2375</v>
      </c>
      <c r="E1358" t="s">
        <v>18</v>
      </c>
      <c r="F1358" t="s">
        <v>115</v>
      </c>
      <c r="G1358" t="s">
        <v>20</v>
      </c>
      <c r="H1358" t="s">
        <v>41</v>
      </c>
      <c r="I1358" t="s">
        <v>42</v>
      </c>
      <c r="J1358">
        <v>4</v>
      </c>
      <c r="K1358">
        <v>520</v>
      </c>
      <c r="L1358">
        <v>0.15</v>
      </c>
      <c r="M1358">
        <v>1768</v>
      </c>
      <c r="N1358">
        <v>1320</v>
      </c>
      <c r="O1358">
        <v>448</v>
      </c>
    </row>
    <row r="1359" spans="1:15" x14ac:dyDescent="0.25">
      <c r="A1359" t="s">
        <v>2376</v>
      </c>
      <c r="B1359" s="2">
        <v>47015</v>
      </c>
      <c r="C1359" t="s">
        <v>1108</v>
      </c>
      <c r="D1359" t="s">
        <v>1109</v>
      </c>
      <c r="E1359" t="s">
        <v>39</v>
      </c>
      <c r="F1359" t="s">
        <v>124</v>
      </c>
      <c r="G1359" t="s">
        <v>28</v>
      </c>
      <c r="H1359" t="s">
        <v>63</v>
      </c>
      <c r="I1359" t="s">
        <v>64</v>
      </c>
      <c r="J1359">
        <v>2</v>
      </c>
      <c r="K1359">
        <v>2400</v>
      </c>
      <c r="L1359">
        <v>0.1</v>
      </c>
      <c r="M1359">
        <v>4320</v>
      </c>
      <c r="N1359">
        <v>3300</v>
      </c>
      <c r="O1359">
        <v>1020</v>
      </c>
    </row>
    <row r="1360" spans="1:15" x14ac:dyDescent="0.25">
      <c r="A1360" t="s">
        <v>2377</v>
      </c>
      <c r="B1360" s="2">
        <v>47016</v>
      </c>
      <c r="C1360" t="s">
        <v>2233</v>
      </c>
      <c r="D1360" t="s">
        <v>2234</v>
      </c>
      <c r="E1360" t="s">
        <v>18</v>
      </c>
      <c r="F1360" t="s">
        <v>115</v>
      </c>
      <c r="G1360" t="s">
        <v>57</v>
      </c>
      <c r="H1360" t="s">
        <v>104</v>
      </c>
      <c r="I1360" t="s">
        <v>105</v>
      </c>
      <c r="J1360">
        <v>3</v>
      </c>
      <c r="K1360">
        <v>7500</v>
      </c>
      <c r="L1360">
        <v>0.15</v>
      </c>
      <c r="M1360">
        <v>19125</v>
      </c>
      <c r="N1360">
        <v>15600</v>
      </c>
      <c r="O1360">
        <v>3525</v>
      </c>
    </row>
    <row r="1361" spans="1:15" x14ac:dyDescent="0.25">
      <c r="A1361" t="s">
        <v>2378</v>
      </c>
      <c r="B1361" s="2">
        <v>47017</v>
      </c>
      <c r="C1361" t="s">
        <v>340</v>
      </c>
      <c r="D1361" t="s">
        <v>341</v>
      </c>
      <c r="E1361" t="s">
        <v>26</v>
      </c>
      <c r="F1361" t="s">
        <v>128</v>
      </c>
      <c r="G1361" t="s">
        <v>57</v>
      </c>
      <c r="H1361" t="s">
        <v>188</v>
      </c>
      <c r="I1361" t="s">
        <v>189</v>
      </c>
      <c r="J1361">
        <v>5</v>
      </c>
      <c r="K1361">
        <v>6200</v>
      </c>
      <c r="L1361">
        <v>0.1</v>
      </c>
      <c r="M1361">
        <v>27900</v>
      </c>
      <c r="N1361">
        <v>21500</v>
      </c>
      <c r="O1361">
        <v>6400</v>
      </c>
    </row>
    <row r="1362" spans="1:15" x14ac:dyDescent="0.25">
      <c r="A1362" t="s">
        <v>2379</v>
      </c>
      <c r="B1362" s="2">
        <v>47018</v>
      </c>
      <c r="C1362" t="s">
        <v>1612</v>
      </c>
      <c r="D1362" t="s">
        <v>1613</v>
      </c>
      <c r="E1362" t="s">
        <v>26</v>
      </c>
      <c r="F1362" t="s">
        <v>204</v>
      </c>
      <c r="G1362" t="s">
        <v>20</v>
      </c>
      <c r="H1362" t="s">
        <v>84</v>
      </c>
      <c r="I1362" t="s">
        <v>169</v>
      </c>
      <c r="J1362">
        <v>1</v>
      </c>
      <c r="K1362">
        <v>450</v>
      </c>
      <c r="L1362">
        <v>0</v>
      </c>
      <c r="M1362">
        <v>450</v>
      </c>
      <c r="N1362">
        <v>260</v>
      </c>
      <c r="O1362">
        <v>190</v>
      </c>
    </row>
    <row r="1363" spans="1:15" x14ac:dyDescent="0.25">
      <c r="A1363" t="s">
        <v>2380</v>
      </c>
      <c r="B1363" s="2">
        <v>47019</v>
      </c>
      <c r="C1363" t="s">
        <v>2268</v>
      </c>
      <c r="D1363" t="s">
        <v>2269</v>
      </c>
      <c r="E1363" t="s">
        <v>26</v>
      </c>
      <c r="F1363" t="s">
        <v>34</v>
      </c>
      <c r="G1363" t="s">
        <v>51</v>
      </c>
      <c r="H1363" t="s">
        <v>89</v>
      </c>
      <c r="I1363" t="s">
        <v>90</v>
      </c>
      <c r="J1363">
        <v>5</v>
      </c>
      <c r="K1363">
        <v>10500</v>
      </c>
      <c r="L1363">
        <v>0.15</v>
      </c>
      <c r="M1363">
        <v>44625</v>
      </c>
      <c r="N1363">
        <v>38000</v>
      </c>
      <c r="O1363">
        <v>6625</v>
      </c>
    </row>
    <row r="1364" spans="1:15" x14ac:dyDescent="0.25">
      <c r="A1364" t="s">
        <v>2381</v>
      </c>
      <c r="B1364" s="2">
        <v>47020</v>
      </c>
      <c r="C1364" t="s">
        <v>1220</v>
      </c>
      <c r="D1364" t="s">
        <v>1221</v>
      </c>
      <c r="E1364" t="s">
        <v>26</v>
      </c>
      <c r="F1364" t="s">
        <v>46</v>
      </c>
      <c r="G1364" t="s">
        <v>28</v>
      </c>
      <c r="H1364" t="s">
        <v>29</v>
      </c>
      <c r="I1364" t="s">
        <v>47</v>
      </c>
      <c r="J1364">
        <v>5</v>
      </c>
      <c r="K1364">
        <v>6800</v>
      </c>
      <c r="L1364">
        <v>0</v>
      </c>
      <c r="M1364">
        <v>34000</v>
      </c>
      <c r="N1364">
        <v>23500</v>
      </c>
      <c r="O1364">
        <v>10500</v>
      </c>
    </row>
    <row r="1365" spans="1:15" x14ac:dyDescent="0.25">
      <c r="A1365" t="s">
        <v>2382</v>
      </c>
      <c r="B1365" s="2">
        <v>47021</v>
      </c>
      <c r="C1365" t="s">
        <v>2131</v>
      </c>
      <c r="D1365" t="s">
        <v>2132</v>
      </c>
      <c r="E1365" t="s">
        <v>26</v>
      </c>
      <c r="F1365" t="s">
        <v>46</v>
      </c>
      <c r="G1365" t="s">
        <v>51</v>
      </c>
      <c r="H1365" t="s">
        <v>52</v>
      </c>
      <c r="I1365" t="s">
        <v>53</v>
      </c>
      <c r="J1365">
        <v>3</v>
      </c>
      <c r="K1365">
        <v>2200</v>
      </c>
      <c r="L1365">
        <v>0</v>
      </c>
      <c r="M1365">
        <v>6600</v>
      </c>
      <c r="N1365">
        <v>4350</v>
      </c>
      <c r="O1365">
        <v>2250</v>
      </c>
    </row>
    <row r="1366" spans="1:15" x14ac:dyDescent="0.25">
      <c r="A1366" t="s">
        <v>2383</v>
      </c>
      <c r="B1366" s="2">
        <v>47022</v>
      </c>
      <c r="C1366" t="s">
        <v>1059</v>
      </c>
      <c r="D1366" t="s">
        <v>1060</v>
      </c>
      <c r="E1366" t="s">
        <v>96</v>
      </c>
      <c r="F1366" t="s">
        <v>120</v>
      </c>
      <c r="G1366" t="s">
        <v>20</v>
      </c>
      <c r="H1366" t="s">
        <v>84</v>
      </c>
      <c r="I1366" t="s">
        <v>85</v>
      </c>
      <c r="J1366">
        <v>2</v>
      </c>
      <c r="K1366">
        <v>280</v>
      </c>
      <c r="L1366">
        <v>0.15</v>
      </c>
      <c r="M1366">
        <v>476</v>
      </c>
      <c r="N1366">
        <v>320</v>
      </c>
      <c r="O1366">
        <v>156</v>
      </c>
    </row>
    <row r="1367" spans="1:15" x14ac:dyDescent="0.25">
      <c r="A1367" t="s">
        <v>2384</v>
      </c>
      <c r="B1367" s="2">
        <v>47023</v>
      </c>
      <c r="C1367" t="s">
        <v>1789</v>
      </c>
      <c r="D1367" t="s">
        <v>1790</v>
      </c>
      <c r="E1367" t="s">
        <v>26</v>
      </c>
      <c r="F1367" t="s">
        <v>27</v>
      </c>
      <c r="G1367" t="s">
        <v>51</v>
      </c>
      <c r="H1367" t="s">
        <v>52</v>
      </c>
      <c r="I1367" t="s">
        <v>208</v>
      </c>
      <c r="J1367">
        <v>1</v>
      </c>
      <c r="K1367">
        <v>2800</v>
      </c>
      <c r="L1367">
        <v>0.05</v>
      </c>
      <c r="M1367">
        <v>2660</v>
      </c>
      <c r="N1367">
        <v>1800</v>
      </c>
      <c r="O1367">
        <v>860</v>
      </c>
    </row>
    <row r="1368" spans="1:15" x14ac:dyDescent="0.25">
      <c r="A1368" t="s">
        <v>2385</v>
      </c>
      <c r="B1368" s="2">
        <v>47024</v>
      </c>
      <c r="C1368" t="s">
        <v>2247</v>
      </c>
      <c r="D1368" t="s">
        <v>2248</v>
      </c>
      <c r="E1368" t="s">
        <v>96</v>
      </c>
      <c r="F1368" t="s">
        <v>97</v>
      </c>
      <c r="G1368" t="s">
        <v>28</v>
      </c>
      <c r="H1368" t="s">
        <v>63</v>
      </c>
      <c r="I1368" t="s">
        <v>64</v>
      </c>
      <c r="J1368">
        <v>3</v>
      </c>
      <c r="K1368">
        <v>2400</v>
      </c>
      <c r="L1368">
        <v>0.1</v>
      </c>
      <c r="M1368">
        <v>6480</v>
      </c>
      <c r="N1368">
        <v>4950</v>
      </c>
      <c r="O1368">
        <v>1530</v>
      </c>
    </row>
    <row r="1369" spans="1:15" x14ac:dyDescent="0.25">
      <c r="A1369" t="s">
        <v>2386</v>
      </c>
      <c r="B1369" s="2">
        <v>47025</v>
      </c>
      <c r="C1369" t="s">
        <v>1920</v>
      </c>
      <c r="D1369" t="s">
        <v>1921</v>
      </c>
      <c r="E1369" t="s">
        <v>26</v>
      </c>
      <c r="F1369" t="s">
        <v>128</v>
      </c>
      <c r="G1369" t="s">
        <v>20</v>
      </c>
      <c r="H1369" t="s">
        <v>84</v>
      </c>
      <c r="I1369" t="s">
        <v>169</v>
      </c>
      <c r="J1369">
        <v>3</v>
      </c>
      <c r="K1369">
        <v>450</v>
      </c>
      <c r="L1369">
        <v>0.15</v>
      </c>
      <c r="M1369">
        <v>1147.5</v>
      </c>
      <c r="N1369">
        <v>780</v>
      </c>
      <c r="O1369">
        <v>367.5</v>
      </c>
    </row>
    <row r="1370" spans="1:15" x14ac:dyDescent="0.25">
      <c r="A1370" t="s">
        <v>2387</v>
      </c>
      <c r="B1370" s="2">
        <v>47026</v>
      </c>
      <c r="C1370" t="s">
        <v>1665</v>
      </c>
      <c r="D1370" t="s">
        <v>1666</v>
      </c>
      <c r="E1370" t="s">
        <v>39</v>
      </c>
      <c r="F1370" t="s">
        <v>124</v>
      </c>
      <c r="G1370" t="s">
        <v>20</v>
      </c>
      <c r="H1370" t="s">
        <v>84</v>
      </c>
      <c r="I1370" t="s">
        <v>169</v>
      </c>
      <c r="J1370">
        <v>4</v>
      </c>
      <c r="K1370">
        <v>450</v>
      </c>
      <c r="L1370">
        <v>0.15</v>
      </c>
      <c r="M1370">
        <v>1530</v>
      </c>
      <c r="N1370">
        <v>1040</v>
      </c>
      <c r="O1370">
        <v>490</v>
      </c>
    </row>
    <row r="1371" spans="1:15" x14ac:dyDescent="0.25">
      <c r="A1371" t="s">
        <v>2388</v>
      </c>
      <c r="B1371" s="2">
        <v>47027</v>
      </c>
      <c r="C1371" t="s">
        <v>553</v>
      </c>
      <c r="D1371" t="s">
        <v>554</v>
      </c>
      <c r="E1371" t="s">
        <v>26</v>
      </c>
      <c r="F1371" t="s">
        <v>204</v>
      </c>
      <c r="G1371" t="s">
        <v>20</v>
      </c>
      <c r="H1371" t="s">
        <v>84</v>
      </c>
      <c r="I1371" t="s">
        <v>210</v>
      </c>
      <c r="J1371">
        <v>2</v>
      </c>
      <c r="K1371">
        <v>300</v>
      </c>
      <c r="L1371">
        <v>0.05</v>
      </c>
      <c r="M1371">
        <v>570</v>
      </c>
      <c r="N1371">
        <v>340</v>
      </c>
      <c r="O1371">
        <v>230</v>
      </c>
    </row>
    <row r="1372" spans="1:15" x14ac:dyDescent="0.25">
      <c r="A1372" t="s">
        <v>2389</v>
      </c>
      <c r="B1372" s="2">
        <v>47028</v>
      </c>
      <c r="C1372" t="s">
        <v>1657</v>
      </c>
      <c r="D1372" t="s">
        <v>1658</v>
      </c>
      <c r="E1372" t="s">
        <v>26</v>
      </c>
      <c r="F1372" t="s">
        <v>27</v>
      </c>
      <c r="G1372" t="s">
        <v>20</v>
      </c>
      <c r="H1372" t="s">
        <v>41</v>
      </c>
      <c r="I1372" t="s">
        <v>42</v>
      </c>
      <c r="J1372">
        <v>3</v>
      </c>
      <c r="K1372">
        <v>520</v>
      </c>
      <c r="L1372">
        <v>0.25</v>
      </c>
      <c r="M1372">
        <v>1170</v>
      </c>
      <c r="N1372">
        <v>990</v>
      </c>
      <c r="O1372">
        <v>180</v>
      </c>
    </row>
    <row r="1373" spans="1:15" x14ac:dyDescent="0.25">
      <c r="A1373" t="s">
        <v>2390</v>
      </c>
      <c r="B1373" s="2">
        <v>47029</v>
      </c>
      <c r="C1373" t="s">
        <v>174</v>
      </c>
      <c r="D1373" t="s">
        <v>175</v>
      </c>
      <c r="E1373" t="s">
        <v>26</v>
      </c>
      <c r="F1373" t="s">
        <v>204</v>
      </c>
      <c r="G1373" t="s">
        <v>57</v>
      </c>
      <c r="H1373" t="s">
        <v>188</v>
      </c>
      <c r="I1373" t="s">
        <v>189</v>
      </c>
      <c r="J1373">
        <v>5</v>
      </c>
      <c r="K1373">
        <v>6200</v>
      </c>
      <c r="L1373">
        <v>0.05</v>
      </c>
      <c r="M1373">
        <v>29450</v>
      </c>
      <c r="N1373">
        <v>21500</v>
      </c>
      <c r="O1373">
        <v>7950</v>
      </c>
    </row>
    <row r="1374" spans="1:15" x14ac:dyDescent="0.25">
      <c r="A1374" t="s">
        <v>2391</v>
      </c>
      <c r="B1374" s="2">
        <v>47030</v>
      </c>
      <c r="C1374" t="s">
        <v>1563</v>
      </c>
      <c r="D1374" t="s">
        <v>1564</v>
      </c>
      <c r="E1374" t="s">
        <v>26</v>
      </c>
      <c r="F1374" t="s">
        <v>204</v>
      </c>
      <c r="G1374" t="s">
        <v>20</v>
      </c>
      <c r="H1374" t="s">
        <v>41</v>
      </c>
      <c r="I1374" t="s">
        <v>42</v>
      </c>
      <c r="J1374">
        <v>1</v>
      </c>
      <c r="K1374">
        <v>520</v>
      </c>
      <c r="L1374">
        <v>0.15</v>
      </c>
      <c r="M1374">
        <v>442</v>
      </c>
      <c r="N1374">
        <v>330</v>
      </c>
      <c r="O1374">
        <v>112</v>
      </c>
    </row>
    <row r="1375" spans="1:15" x14ac:dyDescent="0.25">
      <c r="A1375" t="s">
        <v>2392</v>
      </c>
      <c r="B1375" s="2">
        <v>47031</v>
      </c>
      <c r="C1375" t="s">
        <v>744</v>
      </c>
      <c r="D1375" t="s">
        <v>745</v>
      </c>
      <c r="E1375" t="s">
        <v>96</v>
      </c>
      <c r="F1375" t="s">
        <v>196</v>
      </c>
      <c r="G1375" t="s">
        <v>57</v>
      </c>
      <c r="H1375" t="s">
        <v>104</v>
      </c>
      <c r="I1375" t="s">
        <v>105</v>
      </c>
      <c r="J1375">
        <v>2</v>
      </c>
      <c r="K1375">
        <v>7500</v>
      </c>
      <c r="L1375">
        <v>0.05</v>
      </c>
      <c r="M1375">
        <v>14250</v>
      </c>
      <c r="N1375">
        <v>10400</v>
      </c>
      <c r="O1375">
        <v>3850</v>
      </c>
    </row>
    <row r="1376" spans="1:15" x14ac:dyDescent="0.25">
      <c r="A1376" t="s">
        <v>2393</v>
      </c>
      <c r="B1376" s="2">
        <v>47032</v>
      </c>
      <c r="C1376" t="s">
        <v>1514</v>
      </c>
      <c r="D1376" t="s">
        <v>1515</v>
      </c>
      <c r="E1376" t="s">
        <v>39</v>
      </c>
      <c r="F1376" t="s">
        <v>124</v>
      </c>
      <c r="G1376" t="s">
        <v>57</v>
      </c>
      <c r="H1376" t="s">
        <v>188</v>
      </c>
      <c r="I1376" t="s">
        <v>189</v>
      </c>
      <c r="J1376">
        <v>5</v>
      </c>
      <c r="K1376">
        <v>6200</v>
      </c>
      <c r="L1376">
        <v>0</v>
      </c>
      <c r="M1376">
        <v>31000</v>
      </c>
      <c r="N1376">
        <v>21500</v>
      </c>
      <c r="O1376">
        <v>9500</v>
      </c>
    </row>
    <row r="1377" spans="1:15" x14ac:dyDescent="0.25">
      <c r="A1377" t="s">
        <v>2394</v>
      </c>
      <c r="B1377" s="2">
        <v>47033</v>
      </c>
      <c r="C1377" t="s">
        <v>1240</v>
      </c>
      <c r="D1377" t="s">
        <v>1241</v>
      </c>
      <c r="E1377" t="s">
        <v>26</v>
      </c>
      <c r="F1377" t="s">
        <v>128</v>
      </c>
      <c r="G1377" t="s">
        <v>51</v>
      </c>
      <c r="H1377" t="s">
        <v>21</v>
      </c>
      <c r="I1377" t="s">
        <v>80</v>
      </c>
      <c r="J1377">
        <v>5</v>
      </c>
      <c r="K1377">
        <v>850</v>
      </c>
      <c r="L1377">
        <v>0.15</v>
      </c>
      <c r="M1377">
        <v>3612.5</v>
      </c>
      <c r="N1377">
        <v>2800</v>
      </c>
      <c r="O1377">
        <v>812.5</v>
      </c>
    </row>
    <row r="1378" spans="1:15" x14ac:dyDescent="0.25">
      <c r="A1378" t="s">
        <v>2395</v>
      </c>
      <c r="B1378" s="2">
        <v>47034</v>
      </c>
      <c r="C1378" t="s">
        <v>1204</v>
      </c>
      <c r="D1378" t="s">
        <v>1205</v>
      </c>
      <c r="E1378" t="s">
        <v>18</v>
      </c>
      <c r="F1378" t="s">
        <v>115</v>
      </c>
      <c r="G1378" t="s">
        <v>57</v>
      </c>
      <c r="H1378" t="s">
        <v>58</v>
      </c>
      <c r="I1378" t="s">
        <v>59</v>
      </c>
      <c r="J1378">
        <v>1</v>
      </c>
      <c r="K1378">
        <v>5600</v>
      </c>
      <c r="L1378">
        <v>0.1</v>
      </c>
      <c r="M1378">
        <v>5040</v>
      </c>
      <c r="N1378">
        <v>3900</v>
      </c>
      <c r="O1378">
        <v>1140</v>
      </c>
    </row>
    <row r="1379" spans="1:15" x14ac:dyDescent="0.25">
      <c r="A1379" t="s">
        <v>2396</v>
      </c>
      <c r="B1379" s="2">
        <v>47035</v>
      </c>
      <c r="C1379" t="s">
        <v>1567</v>
      </c>
      <c r="D1379" t="s">
        <v>1568</v>
      </c>
      <c r="E1379" t="s">
        <v>18</v>
      </c>
      <c r="F1379" t="s">
        <v>115</v>
      </c>
      <c r="G1379" t="s">
        <v>20</v>
      </c>
      <c r="H1379" t="s">
        <v>84</v>
      </c>
      <c r="I1379" t="s">
        <v>210</v>
      </c>
      <c r="J1379">
        <v>5</v>
      </c>
      <c r="K1379">
        <v>300</v>
      </c>
      <c r="L1379">
        <v>0.1</v>
      </c>
      <c r="M1379">
        <v>1350</v>
      </c>
      <c r="N1379">
        <v>850</v>
      </c>
      <c r="O1379">
        <v>500</v>
      </c>
    </row>
    <row r="1380" spans="1:15" x14ac:dyDescent="0.25">
      <c r="A1380" t="s">
        <v>2397</v>
      </c>
      <c r="B1380" s="2">
        <v>47036</v>
      </c>
      <c r="C1380" t="s">
        <v>2102</v>
      </c>
      <c r="D1380" t="s">
        <v>2103</v>
      </c>
      <c r="E1380" t="s">
        <v>26</v>
      </c>
      <c r="F1380" t="s">
        <v>204</v>
      </c>
      <c r="G1380" t="s">
        <v>51</v>
      </c>
      <c r="H1380" t="s">
        <v>21</v>
      </c>
      <c r="I1380" t="s">
        <v>80</v>
      </c>
      <c r="J1380">
        <v>2</v>
      </c>
      <c r="K1380">
        <v>850</v>
      </c>
      <c r="L1380">
        <v>0.25</v>
      </c>
      <c r="M1380">
        <v>1275</v>
      </c>
      <c r="N1380">
        <v>1120</v>
      </c>
      <c r="O1380">
        <v>155</v>
      </c>
    </row>
    <row r="1381" spans="1:15" x14ac:dyDescent="0.25">
      <c r="A1381" t="s">
        <v>2398</v>
      </c>
      <c r="B1381" s="2">
        <v>47037</v>
      </c>
      <c r="C1381" t="s">
        <v>2008</v>
      </c>
      <c r="D1381" t="s">
        <v>2009</v>
      </c>
      <c r="E1381" t="s">
        <v>26</v>
      </c>
      <c r="F1381" t="s">
        <v>27</v>
      </c>
      <c r="G1381" t="s">
        <v>51</v>
      </c>
      <c r="H1381" t="s">
        <v>21</v>
      </c>
      <c r="I1381" t="s">
        <v>72</v>
      </c>
      <c r="J1381">
        <v>2</v>
      </c>
      <c r="K1381">
        <v>1800</v>
      </c>
      <c r="L1381">
        <v>0.15</v>
      </c>
      <c r="M1381">
        <v>3060</v>
      </c>
      <c r="N1381">
        <v>2200</v>
      </c>
      <c r="O1381">
        <v>860</v>
      </c>
    </row>
    <row r="1382" spans="1:15" x14ac:dyDescent="0.25">
      <c r="A1382" t="s">
        <v>2399</v>
      </c>
      <c r="B1382" s="2">
        <v>47038</v>
      </c>
      <c r="C1382" t="s">
        <v>603</v>
      </c>
      <c r="D1382" t="s">
        <v>604</v>
      </c>
      <c r="E1382" t="s">
        <v>26</v>
      </c>
      <c r="F1382" t="s">
        <v>34</v>
      </c>
      <c r="G1382" t="s">
        <v>28</v>
      </c>
      <c r="H1382" t="s">
        <v>63</v>
      </c>
      <c r="I1382" t="s">
        <v>64</v>
      </c>
      <c r="J1382">
        <v>3</v>
      </c>
      <c r="K1382">
        <v>2400</v>
      </c>
      <c r="L1382">
        <v>0.15</v>
      </c>
      <c r="M1382">
        <v>6120</v>
      </c>
      <c r="N1382">
        <v>4950</v>
      </c>
      <c r="O1382">
        <v>1170</v>
      </c>
    </row>
    <row r="1383" spans="1:15" x14ac:dyDescent="0.25">
      <c r="A1383" t="s">
        <v>2400</v>
      </c>
      <c r="B1383" s="2">
        <v>47039</v>
      </c>
      <c r="C1383" t="s">
        <v>1809</v>
      </c>
      <c r="D1383" t="s">
        <v>1810</v>
      </c>
      <c r="E1383" t="s">
        <v>96</v>
      </c>
      <c r="F1383" t="s">
        <v>200</v>
      </c>
      <c r="G1383" t="s">
        <v>57</v>
      </c>
      <c r="H1383" t="s">
        <v>58</v>
      </c>
      <c r="I1383" t="s">
        <v>129</v>
      </c>
      <c r="J1383">
        <v>1</v>
      </c>
      <c r="K1383">
        <v>4800</v>
      </c>
      <c r="L1383">
        <v>0.15</v>
      </c>
      <c r="M1383">
        <v>4080</v>
      </c>
      <c r="N1383">
        <v>3300</v>
      </c>
      <c r="O1383">
        <v>780</v>
      </c>
    </row>
    <row r="1384" spans="1:15" x14ac:dyDescent="0.25">
      <c r="A1384" t="s">
        <v>2401</v>
      </c>
      <c r="B1384" s="2">
        <v>47040</v>
      </c>
      <c r="C1384" t="s">
        <v>1152</v>
      </c>
      <c r="D1384" t="s">
        <v>1153</v>
      </c>
      <c r="E1384" t="s">
        <v>26</v>
      </c>
      <c r="F1384" t="s">
        <v>27</v>
      </c>
      <c r="G1384" t="s">
        <v>51</v>
      </c>
      <c r="H1384" t="s">
        <v>21</v>
      </c>
      <c r="I1384" t="s">
        <v>72</v>
      </c>
      <c r="J1384">
        <v>4</v>
      </c>
      <c r="K1384">
        <v>1800</v>
      </c>
      <c r="L1384">
        <v>0.05</v>
      </c>
      <c r="M1384">
        <v>6840</v>
      </c>
      <c r="N1384">
        <v>4400</v>
      </c>
      <c r="O1384">
        <v>2440</v>
      </c>
    </row>
    <row r="1385" spans="1:15" x14ac:dyDescent="0.25">
      <c r="A1385" t="s">
        <v>2402</v>
      </c>
      <c r="B1385" s="2">
        <v>47041</v>
      </c>
      <c r="C1385" t="s">
        <v>439</v>
      </c>
      <c r="D1385" t="s">
        <v>440</v>
      </c>
      <c r="E1385" t="s">
        <v>18</v>
      </c>
      <c r="F1385" t="s">
        <v>19</v>
      </c>
      <c r="G1385" t="s">
        <v>20</v>
      </c>
      <c r="H1385" t="s">
        <v>41</v>
      </c>
      <c r="I1385" t="s">
        <v>42</v>
      </c>
      <c r="J1385">
        <v>5</v>
      </c>
      <c r="K1385">
        <v>520</v>
      </c>
      <c r="L1385">
        <v>0.1</v>
      </c>
      <c r="M1385">
        <v>2340</v>
      </c>
      <c r="N1385">
        <v>1650</v>
      </c>
      <c r="O1385">
        <v>690</v>
      </c>
    </row>
    <row r="1386" spans="1:15" x14ac:dyDescent="0.25">
      <c r="A1386" t="s">
        <v>2403</v>
      </c>
      <c r="B1386" s="2">
        <v>47042</v>
      </c>
      <c r="C1386" t="s">
        <v>497</v>
      </c>
      <c r="D1386" t="s">
        <v>498</v>
      </c>
      <c r="E1386" t="s">
        <v>96</v>
      </c>
      <c r="F1386" t="s">
        <v>120</v>
      </c>
      <c r="G1386" t="s">
        <v>20</v>
      </c>
      <c r="H1386" t="s">
        <v>84</v>
      </c>
      <c r="I1386" t="s">
        <v>169</v>
      </c>
      <c r="J1386">
        <v>2</v>
      </c>
      <c r="K1386">
        <v>450</v>
      </c>
      <c r="L1386">
        <v>0.1</v>
      </c>
      <c r="M1386">
        <v>810</v>
      </c>
      <c r="N1386">
        <v>520</v>
      </c>
      <c r="O1386">
        <v>290</v>
      </c>
    </row>
    <row r="1387" spans="1:15" x14ac:dyDescent="0.25">
      <c r="A1387" t="s">
        <v>2404</v>
      </c>
      <c r="B1387" s="2">
        <v>47043</v>
      </c>
      <c r="C1387" t="s">
        <v>899</v>
      </c>
      <c r="D1387" t="s">
        <v>900</v>
      </c>
      <c r="E1387" t="s">
        <v>39</v>
      </c>
      <c r="F1387" t="s">
        <v>40</v>
      </c>
      <c r="G1387" t="s">
        <v>51</v>
      </c>
      <c r="H1387" t="s">
        <v>52</v>
      </c>
      <c r="I1387" t="s">
        <v>53</v>
      </c>
      <c r="J1387">
        <v>1</v>
      </c>
      <c r="K1387">
        <v>2200</v>
      </c>
      <c r="L1387">
        <v>0.15</v>
      </c>
      <c r="M1387">
        <v>1870</v>
      </c>
      <c r="N1387">
        <v>1450</v>
      </c>
      <c r="O1387">
        <v>420</v>
      </c>
    </row>
    <row r="1388" spans="1:15" x14ac:dyDescent="0.25">
      <c r="A1388" t="s">
        <v>2405</v>
      </c>
      <c r="B1388" s="2">
        <v>47044</v>
      </c>
      <c r="C1388" t="s">
        <v>980</v>
      </c>
      <c r="D1388" t="s">
        <v>981</v>
      </c>
      <c r="E1388" t="s">
        <v>26</v>
      </c>
      <c r="F1388" t="s">
        <v>128</v>
      </c>
      <c r="G1388" t="s">
        <v>20</v>
      </c>
      <c r="H1388" t="s">
        <v>84</v>
      </c>
      <c r="I1388" t="s">
        <v>85</v>
      </c>
      <c r="J1388">
        <v>3</v>
      </c>
      <c r="K1388">
        <v>280</v>
      </c>
      <c r="L1388">
        <v>0.15</v>
      </c>
      <c r="M1388">
        <v>714</v>
      </c>
      <c r="N1388">
        <v>480</v>
      </c>
      <c r="O1388">
        <v>234</v>
      </c>
    </row>
    <row r="1389" spans="1:15" x14ac:dyDescent="0.25">
      <c r="A1389" t="s">
        <v>2406</v>
      </c>
      <c r="B1389" s="2">
        <v>47045</v>
      </c>
      <c r="C1389" t="s">
        <v>682</v>
      </c>
      <c r="D1389" t="s">
        <v>683</v>
      </c>
      <c r="E1389" t="s">
        <v>96</v>
      </c>
      <c r="F1389" t="s">
        <v>200</v>
      </c>
      <c r="G1389" t="s">
        <v>57</v>
      </c>
      <c r="H1389" t="s">
        <v>104</v>
      </c>
      <c r="I1389" t="s">
        <v>105</v>
      </c>
      <c r="J1389">
        <v>4</v>
      </c>
      <c r="K1389">
        <v>7500</v>
      </c>
      <c r="L1389">
        <v>0.15</v>
      </c>
      <c r="M1389">
        <v>25500</v>
      </c>
      <c r="N1389">
        <v>20800</v>
      </c>
      <c r="O1389">
        <v>4700</v>
      </c>
    </row>
    <row r="1390" spans="1:15" x14ac:dyDescent="0.25">
      <c r="A1390" t="s">
        <v>2407</v>
      </c>
      <c r="B1390" s="2">
        <v>47046</v>
      </c>
      <c r="C1390" t="s">
        <v>507</v>
      </c>
      <c r="D1390" t="s">
        <v>508</v>
      </c>
      <c r="E1390" t="s">
        <v>39</v>
      </c>
      <c r="F1390" t="s">
        <v>76</v>
      </c>
      <c r="G1390" t="s">
        <v>57</v>
      </c>
      <c r="H1390" t="s">
        <v>188</v>
      </c>
      <c r="I1390" t="s">
        <v>189</v>
      </c>
      <c r="J1390">
        <v>2</v>
      </c>
      <c r="K1390">
        <v>6200</v>
      </c>
      <c r="L1390">
        <v>0.2</v>
      </c>
      <c r="M1390">
        <v>9920</v>
      </c>
      <c r="N1390">
        <v>8600</v>
      </c>
      <c r="O1390">
        <v>1320</v>
      </c>
    </row>
    <row r="1391" spans="1:15" x14ac:dyDescent="0.25">
      <c r="A1391" t="s">
        <v>2408</v>
      </c>
      <c r="B1391" s="2">
        <v>47047</v>
      </c>
      <c r="C1391" t="s">
        <v>1541</v>
      </c>
      <c r="D1391" t="s">
        <v>1542</v>
      </c>
      <c r="E1391" t="s">
        <v>26</v>
      </c>
      <c r="F1391" t="s">
        <v>128</v>
      </c>
      <c r="G1391" t="s">
        <v>57</v>
      </c>
      <c r="H1391" t="s">
        <v>58</v>
      </c>
      <c r="I1391" t="s">
        <v>129</v>
      </c>
      <c r="J1391">
        <v>2</v>
      </c>
      <c r="K1391">
        <v>4800</v>
      </c>
      <c r="L1391">
        <v>0.15</v>
      </c>
      <c r="M1391">
        <v>8160</v>
      </c>
      <c r="N1391">
        <v>6600</v>
      </c>
      <c r="O1391">
        <v>1560</v>
      </c>
    </row>
    <row r="1392" spans="1:15" x14ac:dyDescent="0.25">
      <c r="A1392" t="s">
        <v>2409</v>
      </c>
      <c r="B1392" s="2">
        <v>47048</v>
      </c>
      <c r="C1392" t="s">
        <v>703</v>
      </c>
      <c r="D1392" t="s">
        <v>704</v>
      </c>
      <c r="E1392" t="s">
        <v>39</v>
      </c>
      <c r="F1392" t="s">
        <v>71</v>
      </c>
      <c r="G1392" t="s">
        <v>51</v>
      </c>
      <c r="H1392" t="s">
        <v>89</v>
      </c>
      <c r="I1392" t="s">
        <v>90</v>
      </c>
      <c r="J1392">
        <v>2</v>
      </c>
      <c r="K1392">
        <v>10500</v>
      </c>
      <c r="L1392">
        <v>0.1</v>
      </c>
      <c r="M1392">
        <v>18900</v>
      </c>
      <c r="N1392">
        <v>15200</v>
      </c>
      <c r="O1392">
        <v>3700</v>
      </c>
    </row>
    <row r="1393" spans="1:15" x14ac:dyDescent="0.25">
      <c r="A1393" t="s">
        <v>2410</v>
      </c>
      <c r="B1393" s="2">
        <v>47049</v>
      </c>
      <c r="C1393" t="s">
        <v>372</v>
      </c>
      <c r="D1393" t="s">
        <v>373</v>
      </c>
      <c r="E1393" t="s">
        <v>39</v>
      </c>
      <c r="F1393" t="s">
        <v>76</v>
      </c>
      <c r="G1393" t="s">
        <v>51</v>
      </c>
      <c r="H1393" t="s">
        <v>21</v>
      </c>
      <c r="I1393" t="s">
        <v>116</v>
      </c>
      <c r="J1393">
        <v>1</v>
      </c>
      <c r="K1393">
        <v>1400</v>
      </c>
      <c r="L1393">
        <v>0.15</v>
      </c>
      <c r="M1393">
        <v>1190</v>
      </c>
      <c r="N1393">
        <v>900</v>
      </c>
      <c r="O1393">
        <v>290</v>
      </c>
    </row>
    <row r="1394" spans="1:15" x14ac:dyDescent="0.25">
      <c r="A1394" t="s">
        <v>2411</v>
      </c>
      <c r="B1394" s="2">
        <v>47050</v>
      </c>
      <c r="C1394" t="s">
        <v>2008</v>
      </c>
      <c r="D1394" t="s">
        <v>2009</v>
      </c>
      <c r="E1394" t="s">
        <v>26</v>
      </c>
      <c r="F1394" t="s">
        <v>34</v>
      </c>
      <c r="G1394" t="s">
        <v>51</v>
      </c>
      <c r="H1394" t="s">
        <v>21</v>
      </c>
      <c r="I1394" t="s">
        <v>116</v>
      </c>
      <c r="J1394">
        <v>1</v>
      </c>
      <c r="K1394">
        <v>1400</v>
      </c>
      <c r="L1394">
        <v>0.15</v>
      </c>
      <c r="M1394">
        <v>1190</v>
      </c>
      <c r="N1394">
        <v>900</v>
      </c>
      <c r="O1394">
        <v>290</v>
      </c>
    </row>
    <row r="1395" spans="1:15" x14ac:dyDescent="0.25">
      <c r="A1395" t="s">
        <v>2412</v>
      </c>
      <c r="B1395" s="2">
        <v>47051</v>
      </c>
      <c r="C1395" t="s">
        <v>346</v>
      </c>
      <c r="D1395" t="s">
        <v>347</v>
      </c>
      <c r="E1395" t="s">
        <v>39</v>
      </c>
      <c r="F1395" t="s">
        <v>76</v>
      </c>
      <c r="G1395" t="s">
        <v>51</v>
      </c>
      <c r="H1395" t="s">
        <v>21</v>
      </c>
      <c r="I1395" t="s">
        <v>116</v>
      </c>
      <c r="J1395">
        <v>3</v>
      </c>
      <c r="K1395">
        <v>1400</v>
      </c>
      <c r="L1395">
        <v>0.05</v>
      </c>
      <c r="M1395">
        <v>3990</v>
      </c>
      <c r="N1395">
        <v>2700</v>
      </c>
      <c r="O1395">
        <v>1290</v>
      </c>
    </row>
    <row r="1396" spans="1:15" x14ac:dyDescent="0.25">
      <c r="A1396" t="s">
        <v>2413</v>
      </c>
      <c r="B1396" s="2">
        <v>47052</v>
      </c>
      <c r="C1396" t="s">
        <v>860</v>
      </c>
      <c r="D1396" t="s">
        <v>861</v>
      </c>
      <c r="E1396" t="s">
        <v>26</v>
      </c>
      <c r="F1396" t="s">
        <v>34</v>
      </c>
      <c r="G1396" t="s">
        <v>51</v>
      </c>
      <c r="H1396" t="s">
        <v>52</v>
      </c>
      <c r="I1396" t="s">
        <v>208</v>
      </c>
      <c r="J1396">
        <v>3</v>
      </c>
      <c r="K1396">
        <v>2800</v>
      </c>
      <c r="L1396">
        <v>0.15</v>
      </c>
      <c r="M1396">
        <v>7140</v>
      </c>
      <c r="N1396">
        <v>5400</v>
      </c>
      <c r="O1396">
        <v>1740</v>
      </c>
    </row>
    <row r="1397" spans="1:15" x14ac:dyDescent="0.25">
      <c r="A1397" t="s">
        <v>2414</v>
      </c>
      <c r="B1397" s="2">
        <v>47053</v>
      </c>
      <c r="C1397" t="s">
        <v>206</v>
      </c>
      <c r="D1397" t="s">
        <v>207</v>
      </c>
      <c r="E1397" t="s">
        <v>26</v>
      </c>
      <c r="F1397" t="s">
        <v>34</v>
      </c>
      <c r="G1397" t="s">
        <v>51</v>
      </c>
      <c r="H1397" t="s">
        <v>21</v>
      </c>
      <c r="I1397" t="s">
        <v>116</v>
      </c>
      <c r="J1397">
        <v>2</v>
      </c>
      <c r="K1397">
        <v>1400</v>
      </c>
      <c r="L1397">
        <v>0.25</v>
      </c>
      <c r="M1397">
        <v>2100</v>
      </c>
      <c r="N1397">
        <v>1800</v>
      </c>
      <c r="O1397">
        <v>300</v>
      </c>
    </row>
    <row r="1398" spans="1:15" x14ac:dyDescent="0.25">
      <c r="A1398" t="s">
        <v>2415</v>
      </c>
      <c r="B1398" s="2">
        <v>47054</v>
      </c>
      <c r="C1398" t="s">
        <v>915</v>
      </c>
      <c r="D1398" t="s">
        <v>916</v>
      </c>
      <c r="E1398" t="s">
        <v>39</v>
      </c>
      <c r="F1398" t="s">
        <v>124</v>
      </c>
      <c r="G1398" t="s">
        <v>20</v>
      </c>
      <c r="H1398" t="s">
        <v>84</v>
      </c>
      <c r="I1398" t="s">
        <v>169</v>
      </c>
      <c r="J1398">
        <v>1</v>
      </c>
      <c r="K1398">
        <v>450</v>
      </c>
      <c r="L1398">
        <v>0.15</v>
      </c>
      <c r="M1398">
        <v>382.5</v>
      </c>
      <c r="N1398">
        <v>260</v>
      </c>
      <c r="O1398">
        <v>122.5</v>
      </c>
    </row>
    <row r="1399" spans="1:15" x14ac:dyDescent="0.25">
      <c r="A1399" t="s">
        <v>2416</v>
      </c>
      <c r="B1399" s="2">
        <v>47055</v>
      </c>
      <c r="C1399" t="s">
        <v>1445</v>
      </c>
      <c r="D1399" t="s">
        <v>1446</v>
      </c>
      <c r="E1399" t="s">
        <v>39</v>
      </c>
      <c r="F1399" t="s">
        <v>124</v>
      </c>
      <c r="G1399" t="s">
        <v>51</v>
      </c>
      <c r="H1399" t="s">
        <v>21</v>
      </c>
      <c r="I1399" t="s">
        <v>80</v>
      </c>
      <c r="J1399">
        <v>2</v>
      </c>
      <c r="K1399">
        <v>850</v>
      </c>
      <c r="L1399">
        <v>0.2</v>
      </c>
      <c r="M1399">
        <v>1360</v>
      </c>
      <c r="N1399">
        <v>1120</v>
      </c>
      <c r="O1399">
        <v>240</v>
      </c>
    </row>
    <row r="1400" spans="1:15" x14ac:dyDescent="0.25">
      <c r="A1400" t="s">
        <v>2417</v>
      </c>
      <c r="B1400" s="2">
        <v>47056</v>
      </c>
      <c r="C1400" t="s">
        <v>550</v>
      </c>
      <c r="D1400" t="s">
        <v>551</v>
      </c>
      <c r="E1400" t="s">
        <v>18</v>
      </c>
      <c r="F1400" t="s">
        <v>227</v>
      </c>
      <c r="G1400" t="s">
        <v>57</v>
      </c>
      <c r="H1400" t="s">
        <v>58</v>
      </c>
      <c r="I1400" t="s">
        <v>59</v>
      </c>
      <c r="J1400">
        <v>4</v>
      </c>
      <c r="K1400">
        <v>5600</v>
      </c>
      <c r="L1400">
        <v>0.1</v>
      </c>
      <c r="M1400">
        <v>20160</v>
      </c>
      <c r="N1400">
        <v>15600</v>
      </c>
      <c r="O1400">
        <v>4560</v>
      </c>
    </row>
    <row r="1401" spans="1:15" x14ac:dyDescent="0.25">
      <c r="A1401" t="s">
        <v>2418</v>
      </c>
      <c r="B1401" s="2">
        <v>47057</v>
      </c>
      <c r="C1401" t="s">
        <v>803</v>
      </c>
      <c r="D1401" t="s">
        <v>804</v>
      </c>
      <c r="E1401" t="s">
        <v>39</v>
      </c>
      <c r="F1401" t="s">
        <v>40</v>
      </c>
      <c r="G1401" t="s">
        <v>28</v>
      </c>
      <c r="H1401" t="s">
        <v>29</v>
      </c>
      <c r="I1401" t="s">
        <v>35</v>
      </c>
      <c r="J1401">
        <v>5</v>
      </c>
      <c r="K1401">
        <v>4200</v>
      </c>
      <c r="L1401">
        <v>0.1</v>
      </c>
      <c r="M1401">
        <v>18900</v>
      </c>
      <c r="N1401">
        <v>14500</v>
      </c>
      <c r="O1401">
        <v>4400</v>
      </c>
    </row>
    <row r="1402" spans="1:15" x14ac:dyDescent="0.25">
      <c r="A1402" t="s">
        <v>2419</v>
      </c>
      <c r="B1402" s="2">
        <v>47058</v>
      </c>
      <c r="C1402" t="s">
        <v>510</v>
      </c>
      <c r="D1402" t="s">
        <v>511</v>
      </c>
      <c r="E1402" t="s">
        <v>96</v>
      </c>
      <c r="F1402" t="s">
        <v>120</v>
      </c>
      <c r="G1402" t="s">
        <v>28</v>
      </c>
      <c r="H1402" t="s">
        <v>63</v>
      </c>
      <c r="I1402" t="s">
        <v>64</v>
      </c>
      <c r="J1402">
        <v>2</v>
      </c>
      <c r="K1402">
        <v>2400</v>
      </c>
      <c r="L1402">
        <v>0.05</v>
      </c>
      <c r="M1402">
        <v>4560</v>
      </c>
      <c r="N1402">
        <v>3300</v>
      </c>
      <c r="O1402">
        <v>1260</v>
      </c>
    </row>
    <row r="1403" spans="1:15" x14ac:dyDescent="0.25">
      <c r="A1403" t="s">
        <v>2420</v>
      </c>
      <c r="B1403" s="2">
        <v>47059</v>
      </c>
      <c r="C1403" t="s">
        <v>360</v>
      </c>
      <c r="D1403" t="s">
        <v>361</v>
      </c>
      <c r="E1403" t="s">
        <v>26</v>
      </c>
      <c r="F1403" t="s">
        <v>27</v>
      </c>
      <c r="G1403" t="s">
        <v>51</v>
      </c>
      <c r="H1403" t="s">
        <v>89</v>
      </c>
      <c r="I1403" t="s">
        <v>90</v>
      </c>
      <c r="J1403">
        <v>3</v>
      </c>
      <c r="K1403">
        <v>10500</v>
      </c>
      <c r="L1403">
        <v>0.05</v>
      </c>
      <c r="M1403">
        <v>29925</v>
      </c>
      <c r="N1403">
        <v>22800</v>
      </c>
      <c r="O1403">
        <v>7125</v>
      </c>
    </row>
    <row r="1404" spans="1:15" x14ac:dyDescent="0.25">
      <c r="A1404" t="s">
        <v>2421</v>
      </c>
      <c r="B1404" s="2">
        <v>47060</v>
      </c>
      <c r="C1404" t="s">
        <v>766</v>
      </c>
      <c r="D1404" t="s">
        <v>767</v>
      </c>
      <c r="E1404" t="s">
        <v>39</v>
      </c>
      <c r="F1404" t="s">
        <v>76</v>
      </c>
      <c r="G1404" t="s">
        <v>20</v>
      </c>
      <c r="H1404" t="s">
        <v>41</v>
      </c>
      <c r="I1404" t="s">
        <v>42</v>
      </c>
      <c r="J1404">
        <v>4</v>
      </c>
      <c r="K1404">
        <v>520</v>
      </c>
      <c r="L1404">
        <v>0</v>
      </c>
      <c r="M1404">
        <v>2080</v>
      </c>
      <c r="N1404">
        <v>1320</v>
      </c>
      <c r="O1404">
        <v>760</v>
      </c>
    </row>
    <row r="1405" spans="1:15" x14ac:dyDescent="0.25">
      <c r="A1405" t="s">
        <v>2422</v>
      </c>
      <c r="B1405" s="2">
        <v>47061</v>
      </c>
      <c r="C1405" t="s">
        <v>2131</v>
      </c>
      <c r="D1405" t="s">
        <v>2132</v>
      </c>
      <c r="E1405" t="s">
        <v>26</v>
      </c>
      <c r="F1405" t="s">
        <v>128</v>
      </c>
      <c r="G1405" t="s">
        <v>57</v>
      </c>
      <c r="H1405" t="s">
        <v>58</v>
      </c>
      <c r="I1405" t="s">
        <v>59</v>
      </c>
      <c r="J1405">
        <v>5</v>
      </c>
      <c r="K1405">
        <v>5600</v>
      </c>
      <c r="L1405">
        <v>0</v>
      </c>
      <c r="M1405">
        <v>28000</v>
      </c>
      <c r="N1405">
        <v>19500</v>
      </c>
      <c r="O1405">
        <v>8500</v>
      </c>
    </row>
    <row r="1406" spans="1:15" x14ac:dyDescent="0.25">
      <c r="A1406" t="s">
        <v>2423</v>
      </c>
      <c r="B1406" s="2">
        <v>47062</v>
      </c>
      <c r="C1406" t="s">
        <v>2084</v>
      </c>
      <c r="D1406" t="s">
        <v>2085</v>
      </c>
      <c r="E1406" t="s">
        <v>96</v>
      </c>
      <c r="F1406" t="s">
        <v>196</v>
      </c>
      <c r="G1406" t="s">
        <v>51</v>
      </c>
      <c r="H1406" t="s">
        <v>21</v>
      </c>
      <c r="I1406" t="s">
        <v>80</v>
      </c>
      <c r="J1406">
        <v>1</v>
      </c>
      <c r="K1406">
        <v>850</v>
      </c>
      <c r="L1406">
        <v>0.25</v>
      </c>
      <c r="M1406">
        <v>637.5</v>
      </c>
      <c r="N1406">
        <v>560</v>
      </c>
      <c r="O1406">
        <v>77.5</v>
      </c>
    </row>
    <row r="1407" spans="1:15" x14ac:dyDescent="0.25">
      <c r="A1407" t="s">
        <v>2424</v>
      </c>
      <c r="B1407" s="2">
        <v>47063</v>
      </c>
      <c r="C1407" t="s">
        <v>573</v>
      </c>
      <c r="D1407" t="s">
        <v>574</v>
      </c>
      <c r="E1407" t="s">
        <v>96</v>
      </c>
      <c r="F1407" t="s">
        <v>200</v>
      </c>
      <c r="G1407" t="s">
        <v>20</v>
      </c>
      <c r="H1407" t="s">
        <v>84</v>
      </c>
      <c r="I1407" t="s">
        <v>85</v>
      </c>
      <c r="J1407">
        <v>1</v>
      </c>
      <c r="K1407">
        <v>280</v>
      </c>
      <c r="L1407">
        <v>0.2</v>
      </c>
      <c r="M1407">
        <v>224</v>
      </c>
      <c r="N1407">
        <v>160</v>
      </c>
      <c r="O1407">
        <v>64</v>
      </c>
    </row>
    <row r="1408" spans="1:15" x14ac:dyDescent="0.25">
      <c r="A1408" t="s">
        <v>2425</v>
      </c>
      <c r="B1408" s="2">
        <v>47064</v>
      </c>
      <c r="C1408" t="s">
        <v>2005</v>
      </c>
      <c r="D1408" t="s">
        <v>2006</v>
      </c>
      <c r="E1408" t="s">
        <v>39</v>
      </c>
      <c r="F1408" t="s">
        <v>124</v>
      </c>
      <c r="G1408" t="s">
        <v>28</v>
      </c>
      <c r="H1408" t="s">
        <v>29</v>
      </c>
      <c r="I1408" t="s">
        <v>35</v>
      </c>
      <c r="J1408">
        <v>5</v>
      </c>
      <c r="K1408">
        <v>4200</v>
      </c>
      <c r="L1408">
        <v>0</v>
      </c>
      <c r="M1408">
        <v>21000</v>
      </c>
      <c r="N1408">
        <v>14500</v>
      </c>
      <c r="O1408">
        <v>6500</v>
      </c>
    </row>
    <row r="1409" spans="1:15" x14ac:dyDescent="0.25">
      <c r="A1409" t="s">
        <v>2426</v>
      </c>
      <c r="B1409" s="2">
        <v>47065</v>
      </c>
      <c r="C1409" t="s">
        <v>708</v>
      </c>
      <c r="D1409" t="s">
        <v>709</v>
      </c>
      <c r="E1409" t="s">
        <v>96</v>
      </c>
      <c r="F1409" t="s">
        <v>97</v>
      </c>
      <c r="G1409" t="s">
        <v>20</v>
      </c>
      <c r="H1409" t="s">
        <v>41</v>
      </c>
      <c r="I1409" t="s">
        <v>42</v>
      </c>
      <c r="J1409">
        <v>1</v>
      </c>
      <c r="K1409">
        <v>520</v>
      </c>
      <c r="L1409">
        <v>0.1</v>
      </c>
      <c r="M1409">
        <v>468</v>
      </c>
      <c r="N1409">
        <v>330</v>
      </c>
      <c r="O1409">
        <v>138</v>
      </c>
    </row>
    <row r="1410" spans="1:15" x14ac:dyDescent="0.25">
      <c r="A1410" t="s">
        <v>2427</v>
      </c>
      <c r="B1410" s="2">
        <v>47066</v>
      </c>
      <c r="C1410" t="s">
        <v>61</v>
      </c>
      <c r="D1410" t="s">
        <v>62</v>
      </c>
      <c r="E1410" t="s">
        <v>39</v>
      </c>
      <c r="F1410" t="s">
        <v>71</v>
      </c>
      <c r="G1410" t="s">
        <v>57</v>
      </c>
      <c r="H1410" t="s">
        <v>104</v>
      </c>
      <c r="I1410" t="s">
        <v>105</v>
      </c>
      <c r="J1410">
        <v>5</v>
      </c>
      <c r="K1410">
        <v>7500</v>
      </c>
      <c r="L1410">
        <v>0</v>
      </c>
      <c r="M1410">
        <v>37500</v>
      </c>
      <c r="N1410">
        <v>26000</v>
      </c>
      <c r="O1410">
        <v>11500</v>
      </c>
    </row>
    <row r="1411" spans="1:15" x14ac:dyDescent="0.25">
      <c r="A1411" t="s">
        <v>2428</v>
      </c>
      <c r="B1411" s="2">
        <v>47067</v>
      </c>
      <c r="C1411" t="s">
        <v>744</v>
      </c>
      <c r="D1411" t="s">
        <v>745</v>
      </c>
      <c r="E1411" t="s">
        <v>26</v>
      </c>
      <c r="F1411" t="s">
        <v>204</v>
      </c>
      <c r="G1411" t="s">
        <v>57</v>
      </c>
      <c r="H1411" t="s">
        <v>58</v>
      </c>
      <c r="I1411" t="s">
        <v>129</v>
      </c>
      <c r="J1411">
        <v>3</v>
      </c>
      <c r="K1411">
        <v>4800</v>
      </c>
      <c r="L1411">
        <v>0.1</v>
      </c>
      <c r="M1411">
        <v>12960</v>
      </c>
      <c r="N1411">
        <v>9900</v>
      </c>
      <c r="O1411">
        <v>3060</v>
      </c>
    </row>
    <row r="1412" spans="1:15" x14ac:dyDescent="0.25">
      <c r="A1412" t="s">
        <v>2429</v>
      </c>
      <c r="B1412" s="2">
        <v>47068</v>
      </c>
      <c r="C1412" t="s">
        <v>16</v>
      </c>
      <c r="D1412" t="s">
        <v>17</v>
      </c>
      <c r="E1412" t="s">
        <v>26</v>
      </c>
      <c r="F1412" t="s">
        <v>34</v>
      </c>
      <c r="G1412" t="s">
        <v>51</v>
      </c>
      <c r="H1412" t="s">
        <v>52</v>
      </c>
      <c r="I1412" t="s">
        <v>208</v>
      </c>
      <c r="J1412">
        <v>3</v>
      </c>
      <c r="K1412">
        <v>2800</v>
      </c>
      <c r="L1412">
        <v>0.1</v>
      </c>
      <c r="M1412">
        <v>7560</v>
      </c>
      <c r="N1412">
        <v>5400</v>
      </c>
      <c r="O1412">
        <v>2160</v>
      </c>
    </row>
    <row r="1413" spans="1:15" x14ac:dyDescent="0.25">
      <c r="A1413" t="s">
        <v>2430</v>
      </c>
      <c r="B1413" s="2">
        <v>47069</v>
      </c>
      <c r="C1413" t="s">
        <v>1742</v>
      </c>
      <c r="D1413" t="s">
        <v>1743</v>
      </c>
      <c r="E1413" t="s">
        <v>39</v>
      </c>
      <c r="F1413" t="s">
        <v>40</v>
      </c>
      <c r="G1413" t="s">
        <v>51</v>
      </c>
      <c r="H1413" t="s">
        <v>52</v>
      </c>
      <c r="I1413" t="s">
        <v>208</v>
      </c>
      <c r="J1413">
        <v>4</v>
      </c>
      <c r="K1413">
        <v>2800</v>
      </c>
      <c r="L1413">
        <v>0.15</v>
      </c>
      <c r="M1413">
        <v>9520</v>
      </c>
      <c r="N1413">
        <v>7200</v>
      </c>
      <c r="O1413">
        <v>2320</v>
      </c>
    </row>
    <row r="1414" spans="1:15" x14ac:dyDescent="0.25">
      <c r="A1414" t="s">
        <v>2431</v>
      </c>
      <c r="B1414" s="2">
        <v>47070</v>
      </c>
      <c r="C1414" t="s">
        <v>1075</v>
      </c>
      <c r="D1414" t="s">
        <v>1076</v>
      </c>
      <c r="E1414" t="s">
        <v>39</v>
      </c>
      <c r="F1414" t="s">
        <v>76</v>
      </c>
      <c r="G1414" t="s">
        <v>28</v>
      </c>
      <c r="H1414" t="s">
        <v>29</v>
      </c>
      <c r="I1414" t="s">
        <v>30</v>
      </c>
      <c r="J1414">
        <v>2</v>
      </c>
      <c r="K1414">
        <v>1900</v>
      </c>
      <c r="L1414">
        <v>0.1</v>
      </c>
      <c r="M1414">
        <v>3420</v>
      </c>
      <c r="N1414">
        <v>2500</v>
      </c>
      <c r="O1414">
        <v>920</v>
      </c>
    </row>
    <row r="1415" spans="1:15" x14ac:dyDescent="0.25">
      <c r="A1415" t="s">
        <v>2432</v>
      </c>
      <c r="B1415" s="2">
        <v>47071</v>
      </c>
      <c r="C1415" t="s">
        <v>16</v>
      </c>
      <c r="D1415" t="s">
        <v>17</v>
      </c>
      <c r="E1415" t="s">
        <v>18</v>
      </c>
      <c r="F1415" t="s">
        <v>19</v>
      </c>
      <c r="G1415" t="s">
        <v>51</v>
      </c>
      <c r="H1415" t="s">
        <v>21</v>
      </c>
      <c r="I1415" t="s">
        <v>80</v>
      </c>
      <c r="J1415">
        <v>4</v>
      </c>
      <c r="K1415">
        <v>850</v>
      </c>
      <c r="L1415">
        <v>0.1</v>
      </c>
      <c r="M1415">
        <v>3060</v>
      </c>
      <c r="N1415">
        <v>2240</v>
      </c>
      <c r="O1415">
        <v>820</v>
      </c>
    </row>
    <row r="1416" spans="1:15" x14ac:dyDescent="0.25">
      <c r="A1416" t="s">
        <v>2433</v>
      </c>
      <c r="B1416" s="2">
        <v>47072</v>
      </c>
      <c r="C1416" t="s">
        <v>2335</v>
      </c>
      <c r="D1416" t="s">
        <v>2336</v>
      </c>
      <c r="E1416" t="s">
        <v>26</v>
      </c>
      <c r="F1416" t="s">
        <v>46</v>
      </c>
      <c r="G1416" t="s">
        <v>51</v>
      </c>
      <c r="H1416" t="s">
        <v>89</v>
      </c>
      <c r="I1416" t="s">
        <v>90</v>
      </c>
      <c r="J1416">
        <v>2</v>
      </c>
      <c r="K1416">
        <v>10500</v>
      </c>
      <c r="L1416">
        <v>0.05</v>
      </c>
      <c r="M1416">
        <v>19950</v>
      </c>
      <c r="N1416">
        <v>15200</v>
      </c>
      <c r="O1416">
        <v>4750</v>
      </c>
    </row>
    <row r="1417" spans="1:15" x14ac:dyDescent="0.25">
      <c r="A1417" t="s">
        <v>2434</v>
      </c>
      <c r="B1417" s="2">
        <v>47073</v>
      </c>
      <c r="C1417" t="s">
        <v>1054</v>
      </c>
      <c r="D1417" t="s">
        <v>1055</v>
      </c>
      <c r="E1417" t="s">
        <v>39</v>
      </c>
      <c r="F1417" t="s">
        <v>124</v>
      </c>
      <c r="G1417" t="s">
        <v>20</v>
      </c>
      <c r="H1417" t="s">
        <v>84</v>
      </c>
      <c r="I1417" t="s">
        <v>210</v>
      </c>
      <c r="J1417">
        <v>1</v>
      </c>
      <c r="K1417">
        <v>300</v>
      </c>
      <c r="L1417">
        <v>0.05</v>
      </c>
      <c r="M1417">
        <v>285</v>
      </c>
      <c r="N1417">
        <v>170</v>
      </c>
      <c r="O1417">
        <v>115</v>
      </c>
    </row>
    <row r="1418" spans="1:15" x14ac:dyDescent="0.25">
      <c r="A1418" t="s">
        <v>2435</v>
      </c>
      <c r="B1418" s="2">
        <v>47074</v>
      </c>
      <c r="C1418" t="s">
        <v>1502</v>
      </c>
      <c r="D1418" t="s">
        <v>1503</v>
      </c>
      <c r="E1418" t="s">
        <v>39</v>
      </c>
      <c r="F1418" t="s">
        <v>76</v>
      </c>
      <c r="G1418" t="s">
        <v>20</v>
      </c>
      <c r="H1418" t="s">
        <v>84</v>
      </c>
      <c r="I1418" t="s">
        <v>85</v>
      </c>
      <c r="J1418">
        <v>4</v>
      </c>
      <c r="K1418">
        <v>280</v>
      </c>
      <c r="L1418">
        <v>0</v>
      </c>
      <c r="M1418">
        <v>1120</v>
      </c>
      <c r="N1418">
        <v>640</v>
      </c>
      <c r="O1418">
        <v>480</v>
      </c>
    </row>
    <row r="1419" spans="1:15" x14ac:dyDescent="0.25">
      <c r="A1419" t="s">
        <v>2436</v>
      </c>
      <c r="B1419" s="2">
        <v>47075</v>
      </c>
      <c r="C1419" t="s">
        <v>1786</v>
      </c>
      <c r="D1419" t="s">
        <v>1787</v>
      </c>
      <c r="E1419" t="s">
        <v>39</v>
      </c>
      <c r="F1419" t="s">
        <v>124</v>
      </c>
      <c r="G1419" t="s">
        <v>20</v>
      </c>
      <c r="H1419" t="s">
        <v>84</v>
      </c>
      <c r="I1419" t="s">
        <v>169</v>
      </c>
      <c r="J1419">
        <v>5</v>
      </c>
      <c r="K1419">
        <v>450</v>
      </c>
      <c r="L1419">
        <v>0.2</v>
      </c>
      <c r="M1419">
        <v>1800</v>
      </c>
      <c r="N1419">
        <v>1300</v>
      </c>
      <c r="O1419">
        <v>500</v>
      </c>
    </row>
    <row r="1420" spans="1:15" x14ac:dyDescent="0.25">
      <c r="A1420" t="s">
        <v>2437</v>
      </c>
      <c r="B1420" s="2">
        <v>47076</v>
      </c>
      <c r="C1420" t="s">
        <v>504</v>
      </c>
      <c r="D1420" t="s">
        <v>505</v>
      </c>
      <c r="E1420" t="s">
        <v>96</v>
      </c>
      <c r="F1420" t="s">
        <v>200</v>
      </c>
      <c r="G1420" t="s">
        <v>20</v>
      </c>
      <c r="H1420" t="s">
        <v>41</v>
      </c>
      <c r="I1420" t="s">
        <v>42</v>
      </c>
      <c r="J1420">
        <v>3</v>
      </c>
      <c r="K1420">
        <v>520</v>
      </c>
      <c r="L1420">
        <v>0.25</v>
      </c>
      <c r="M1420">
        <v>1170</v>
      </c>
      <c r="N1420">
        <v>990</v>
      </c>
      <c r="O1420">
        <v>180</v>
      </c>
    </row>
    <row r="1421" spans="1:15" x14ac:dyDescent="0.25">
      <c r="A1421" t="s">
        <v>2438</v>
      </c>
      <c r="B1421" s="2">
        <v>47077</v>
      </c>
      <c r="C1421" t="s">
        <v>688</v>
      </c>
      <c r="D1421" t="s">
        <v>689</v>
      </c>
      <c r="E1421" t="s">
        <v>39</v>
      </c>
      <c r="F1421" t="s">
        <v>71</v>
      </c>
      <c r="G1421" t="s">
        <v>57</v>
      </c>
      <c r="H1421" t="s">
        <v>58</v>
      </c>
      <c r="I1421" t="s">
        <v>129</v>
      </c>
      <c r="J1421">
        <v>5</v>
      </c>
      <c r="K1421">
        <v>4800</v>
      </c>
      <c r="L1421">
        <v>0.1</v>
      </c>
      <c r="M1421">
        <v>21600</v>
      </c>
      <c r="N1421">
        <v>16500</v>
      </c>
      <c r="O1421">
        <v>5100</v>
      </c>
    </row>
    <row r="1422" spans="1:15" x14ac:dyDescent="0.25">
      <c r="A1422" t="s">
        <v>2439</v>
      </c>
      <c r="B1422" s="2">
        <v>47078</v>
      </c>
      <c r="C1422" t="s">
        <v>516</v>
      </c>
      <c r="D1422" t="s">
        <v>517</v>
      </c>
      <c r="E1422" t="s">
        <v>96</v>
      </c>
      <c r="F1422" t="s">
        <v>97</v>
      </c>
      <c r="G1422" t="s">
        <v>51</v>
      </c>
      <c r="H1422" t="s">
        <v>21</v>
      </c>
      <c r="I1422" t="s">
        <v>80</v>
      </c>
      <c r="J1422">
        <v>5</v>
      </c>
      <c r="K1422">
        <v>850</v>
      </c>
      <c r="L1422">
        <v>0.05</v>
      </c>
      <c r="M1422">
        <v>4037.5</v>
      </c>
      <c r="N1422">
        <v>2800</v>
      </c>
      <c r="O1422">
        <v>1237.5</v>
      </c>
    </row>
    <row r="1423" spans="1:15" x14ac:dyDescent="0.25">
      <c r="A1423" t="s">
        <v>2440</v>
      </c>
      <c r="B1423" s="2">
        <v>47079</v>
      </c>
      <c r="C1423" t="s">
        <v>333</v>
      </c>
      <c r="D1423" t="s">
        <v>334</v>
      </c>
      <c r="E1423" t="s">
        <v>26</v>
      </c>
      <c r="F1423" t="s">
        <v>128</v>
      </c>
      <c r="G1423" t="s">
        <v>28</v>
      </c>
      <c r="H1423" t="s">
        <v>29</v>
      </c>
      <c r="I1423" t="s">
        <v>47</v>
      </c>
      <c r="J1423">
        <v>4</v>
      </c>
      <c r="K1423">
        <v>6800</v>
      </c>
      <c r="L1423">
        <v>0.2</v>
      </c>
      <c r="M1423">
        <v>21760</v>
      </c>
      <c r="N1423">
        <v>18800</v>
      </c>
      <c r="O1423">
        <v>2960</v>
      </c>
    </row>
    <row r="1424" spans="1:15" x14ac:dyDescent="0.25">
      <c r="A1424" t="s">
        <v>2441</v>
      </c>
      <c r="B1424" s="2">
        <v>47080</v>
      </c>
      <c r="C1424" t="s">
        <v>1538</v>
      </c>
      <c r="D1424" t="s">
        <v>1539</v>
      </c>
      <c r="E1424" t="s">
        <v>26</v>
      </c>
      <c r="F1424" t="s">
        <v>27</v>
      </c>
      <c r="G1424" t="s">
        <v>20</v>
      </c>
      <c r="H1424" t="s">
        <v>21</v>
      </c>
      <c r="I1424" t="s">
        <v>22</v>
      </c>
      <c r="J1424">
        <v>2</v>
      </c>
      <c r="K1424">
        <v>650</v>
      </c>
      <c r="L1424">
        <v>0.1</v>
      </c>
      <c r="M1424">
        <v>1170</v>
      </c>
      <c r="N1424">
        <v>780</v>
      </c>
      <c r="O1424">
        <v>390</v>
      </c>
    </row>
    <row r="1425" spans="1:15" x14ac:dyDescent="0.25">
      <c r="A1425" t="s">
        <v>2442</v>
      </c>
      <c r="B1425" s="2">
        <v>47081</v>
      </c>
      <c r="C1425" t="s">
        <v>694</v>
      </c>
      <c r="D1425" t="s">
        <v>695</v>
      </c>
      <c r="E1425" t="s">
        <v>18</v>
      </c>
      <c r="F1425" t="s">
        <v>227</v>
      </c>
      <c r="G1425" t="s">
        <v>20</v>
      </c>
      <c r="H1425" t="s">
        <v>41</v>
      </c>
      <c r="I1425" t="s">
        <v>42</v>
      </c>
      <c r="J1425">
        <v>4</v>
      </c>
      <c r="K1425">
        <v>520</v>
      </c>
      <c r="L1425">
        <v>0.25</v>
      </c>
      <c r="M1425">
        <v>1560</v>
      </c>
      <c r="N1425">
        <v>1320</v>
      </c>
      <c r="O1425">
        <v>240</v>
      </c>
    </row>
    <row r="1426" spans="1:15" x14ac:dyDescent="0.25">
      <c r="A1426" t="s">
        <v>2443</v>
      </c>
      <c r="B1426" s="2">
        <v>47082</v>
      </c>
      <c r="C1426" t="s">
        <v>1064</v>
      </c>
      <c r="D1426" t="s">
        <v>1065</v>
      </c>
      <c r="E1426" t="s">
        <v>18</v>
      </c>
      <c r="F1426" t="s">
        <v>19</v>
      </c>
      <c r="G1426" t="s">
        <v>28</v>
      </c>
      <c r="H1426" t="s">
        <v>29</v>
      </c>
      <c r="I1426" t="s">
        <v>35</v>
      </c>
      <c r="J1426">
        <v>5</v>
      </c>
      <c r="K1426">
        <v>4200</v>
      </c>
      <c r="L1426">
        <v>0.2</v>
      </c>
      <c r="M1426">
        <v>16800</v>
      </c>
      <c r="N1426">
        <v>14500</v>
      </c>
      <c r="O1426">
        <v>2300</v>
      </c>
    </row>
    <row r="1427" spans="1:15" x14ac:dyDescent="0.25">
      <c r="A1427" t="s">
        <v>2444</v>
      </c>
      <c r="B1427" s="2">
        <v>47083</v>
      </c>
      <c r="C1427" t="s">
        <v>614</v>
      </c>
      <c r="D1427" t="s">
        <v>615</v>
      </c>
      <c r="E1427" t="s">
        <v>96</v>
      </c>
      <c r="F1427" t="s">
        <v>196</v>
      </c>
      <c r="G1427" t="s">
        <v>51</v>
      </c>
      <c r="H1427" t="s">
        <v>52</v>
      </c>
      <c r="I1427" t="s">
        <v>208</v>
      </c>
      <c r="J1427">
        <v>4</v>
      </c>
      <c r="K1427">
        <v>2800</v>
      </c>
      <c r="L1427">
        <v>0.1</v>
      </c>
      <c r="M1427">
        <v>10080</v>
      </c>
      <c r="N1427">
        <v>7200</v>
      </c>
      <c r="O1427">
        <v>2880</v>
      </c>
    </row>
    <row r="1428" spans="1:15" x14ac:dyDescent="0.25">
      <c r="A1428" t="s">
        <v>2445</v>
      </c>
      <c r="B1428" s="2">
        <v>47084</v>
      </c>
      <c r="C1428" t="s">
        <v>1372</v>
      </c>
      <c r="D1428" t="s">
        <v>1373</v>
      </c>
      <c r="E1428" t="s">
        <v>39</v>
      </c>
      <c r="F1428" t="s">
        <v>40</v>
      </c>
      <c r="G1428" t="s">
        <v>51</v>
      </c>
      <c r="H1428" t="s">
        <v>52</v>
      </c>
      <c r="I1428" t="s">
        <v>53</v>
      </c>
      <c r="J1428">
        <v>4</v>
      </c>
      <c r="K1428">
        <v>2200</v>
      </c>
      <c r="L1428">
        <v>0.1</v>
      </c>
      <c r="M1428">
        <v>7920</v>
      </c>
      <c r="N1428">
        <v>5800</v>
      </c>
      <c r="O1428">
        <v>2120</v>
      </c>
    </row>
    <row r="1429" spans="1:15" x14ac:dyDescent="0.25">
      <c r="A1429" t="s">
        <v>2446</v>
      </c>
      <c r="B1429" s="2">
        <v>47085</v>
      </c>
      <c r="C1429" t="s">
        <v>1964</v>
      </c>
      <c r="D1429" t="s">
        <v>1965</v>
      </c>
      <c r="E1429" t="s">
        <v>96</v>
      </c>
      <c r="F1429" t="s">
        <v>97</v>
      </c>
      <c r="G1429" t="s">
        <v>57</v>
      </c>
      <c r="H1429" t="s">
        <v>58</v>
      </c>
      <c r="I1429" t="s">
        <v>129</v>
      </c>
      <c r="J1429">
        <v>1</v>
      </c>
      <c r="K1429">
        <v>4800</v>
      </c>
      <c r="L1429">
        <v>0.25</v>
      </c>
      <c r="M1429">
        <v>3600</v>
      </c>
      <c r="N1429">
        <v>3300</v>
      </c>
      <c r="O1429">
        <v>300</v>
      </c>
    </row>
    <row r="1430" spans="1:15" x14ac:dyDescent="0.25">
      <c r="A1430" t="s">
        <v>2447</v>
      </c>
      <c r="B1430" s="2">
        <v>47086</v>
      </c>
      <c r="C1430" t="s">
        <v>206</v>
      </c>
      <c r="D1430" t="s">
        <v>207</v>
      </c>
      <c r="E1430" t="s">
        <v>26</v>
      </c>
      <c r="F1430" t="s">
        <v>46</v>
      </c>
      <c r="G1430" t="s">
        <v>57</v>
      </c>
      <c r="H1430" t="s">
        <v>104</v>
      </c>
      <c r="I1430" t="s">
        <v>105</v>
      </c>
      <c r="J1430">
        <v>3</v>
      </c>
      <c r="K1430">
        <v>7500</v>
      </c>
      <c r="L1430">
        <v>0.25</v>
      </c>
      <c r="M1430">
        <v>16875</v>
      </c>
      <c r="N1430">
        <v>15600</v>
      </c>
      <c r="O1430">
        <v>1275</v>
      </c>
    </row>
    <row r="1431" spans="1:15" x14ac:dyDescent="0.25">
      <c r="A1431" t="s">
        <v>2448</v>
      </c>
      <c r="B1431" s="2">
        <v>47087</v>
      </c>
      <c r="C1431" t="s">
        <v>2449</v>
      </c>
      <c r="D1431" t="s">
        <v>2450</v>
      </c>
      <c r="E1431" t="s">
        <v>26</v>
      </c>
      <c r="F1431" t="s">
        <v>34</v>
      </c>
      <c r="G1431" t="s">
        <v>51</v>
      </c>
      <c r="H1431" t="s">
        <v>52</v>
      </c>
      <c r="I1431" t="s">
        <v>53</v>
      </c>
      <c r="J1431">
        <v>5</v>
      </c>
      <c r="K1431">
        <v>2200</v>
      </c>
      <c r="L1431">
        <v>0.05</v>
      </c>
      <c r="M1431">
        <v>10450</v>
      </c>
      <c r="N1431">
        <v>7250</v>
      </c>
      <c r="O1431">
        <v>3200</v>
      </c>
    </row>
    <row r="1432" spans="1:15" x14ac:dyDescent="0.25">
      <c r="A1432" t="s">
        <v>2451</v>
      </c>
      <c r="B1432" s="2">
        <v>47088</v>
      </c>
      <c r="C1432" t="s">
        <v>417</v>
      </c>
      <c r="D1432" t="s">
        <v>418</v>
      </c>
      <c r="E1432" t="s">
        <v>26</v>
      </c>
      <c r="F1432" t="s">
        <v>204</v>
      </c>
      <c r="G1432" t="s">
        <v>28</v>
      </c>
      <c r="H1432" t="s">
        <v>29</v>
      </c>
      <c r="I1432" t="s">
        <v>35</v>
      </c>
      <c r="J1432">
        <v>1</v>
      </c>
      <c r="K1432">
        <v>4200</v>
      </c>
      <c r="L1432">
        <v>0.2</v>
      </c>
      <c r="M1432">
        <v>3360</v>
      </c>
      <c r="N1432">
        <v>2900</v>
      </c>
      <c r="O1432">
        <v>460</v>
      </c>
    </row>
    <row r="1433" spans="1:15" x14ac:dyDescent="0.25">
      <c r="A1433" t="s">
        <v>2452</v>
      </c>
      <c r="B1433" s="2">
        <v>47089</v>
      </c>
      <c r="C1433" t="s">
        <v>1831</v>
      </c>
      <c r="D1433" t="s">
        <v>1832</v>
      </c>
      <c r="E1433" t="s">
        <v>96</v>
      </c>
      <c r="F1433" t="s">
        <v>97</v>
      </c>
      <c r="G1433" t="s">
        <v>51</v>
      </c>
      <c r="H1433" t="s">
        <v>21</v>
      </c>
      <c r="I1433" t="s">
        <v>116</v>
      </c>
      <c r="J1433">
        <v>3</v>
      </c>
      <c r="K1433">
        <v>1400</v>
      </c>
      <c r="L1433">
        <v>0.15</v>
      </c>
      <c r="M1433">
        <v>3570</v>
      </c>
      <c r="N1433">
        <v>2700</v>
      </c>
      <c r="O1433">
        <v>870</v>
      </c>
    </row>
    <row r="1434" spans="1:15" x14ac:dyDescent="0.25">
      <c r="A1434" t="s">
        <v>2453</v>
      </c>
      <c r="B1434" s="2">
        <v>47090</v>
      </c>
      <c r="C1434" t="s">
        <v>905</v>
      </c>
      <c r="D1434" t="s">
        <v>906</v>
      </c>
      <c r="E1434" t="s">
        <v>26</v>
      </c>
      <c r="F1434" t="s">
        <v>34</v>
      </c>
      <c r="G1434" t="s">
        <v>20</v>
      </c>
      <c r="H1434" t="s">
        <v>84</v>
      </c>
      <c r="I1434" t="s">
        <v>210</v>
      </c>
      <c r="J1434">
        <v>4</v>
      </c>
      <c r="K1434">
        <v>300</v>
      </c>
      <c r="L1434">
        <v>0.15</v>
      </c>
      <c r="M1434">
        <v>1020</v>
      </c>
      <c r="N1434">
        <v>680</v>
      </c>
      <c r="O1434">
        <v>340</v>
      </c>
    </row>
    <row r="1435" spans="1:15" x14ac:dyDescent="0.25">
      <c r="A1435" t="s">
        <v>2454</v>
      </c>
      <c r="B1435" s="2">
        <v>47091</v>
      </c>
      <c r="C1435" t="s">
        <v>688</v>
      </c>
      <c r="D1435" t="s">
        <v>689</v>
      </c>
      <c r="E1435" t="s">
        <v>26</v>
      </c>
      <c r="F1435" t="s">
        <v>128</v>
      </c>
      <c r="G1435" t="s">
        <v>28</v>
      </c>
      <c r="H1435" t="s">
        <v>63</v>
      </c>
      <c r="I1435" t="s">
        <v>64</v>
      </c>
      <c r="J1435">
        <v>1</v>
      </c>
      <c r="K1435">
        <v>2400</v>
      </c>
      <c r="L1435">
        <v>0.25</v>
      </c>
      <c r="M1435">
        <v>1800</v>
      </c>
      <c r="N1435">
        <v>1650</v>
      </c>
      <c r="O1435">
        <v>150</v>
      </c>
    </row>
    <row r="1436" spans="1:15" x14ac:dyDescent="0.25">
      <c r="A1436" t="s">
        <v>2455</v>
      </c>
      <c r="B1436" s="2">
        <v>47092</v>
      </c>
      <c r="C1436" t="s">
        <v>275</v>
      </c>
      <c r="D1436" t="s">
        <v>276</v>
      </c>
      <c r="E1436" t="s">
        <v>26</v>
      </c>
      <c r="F1436" t="s">
        <v>27</v>
      </c>
      <c r="G1436" t="s">
        <v>57</v>
      </c>
      <c r="H1436" t="s">
        <v>104</v>
      </c>
      <c r="I1436" t="s">
        <v>105</v>
      </c>
      <c r="J1436">
        <v>2</v>
      </c>
      <c r="K1436">
        <v>7500</v>
      </c>
      <c r="L1436">
        <v>0.15</v>
      </c>
      <c r="M1436">
        <v>12750</v>
      </c>
      <c r="N1436">
        <v>10400</v>
      </c>
      <c r="O1436">
        <v>2350</v>
      </c>
    </row>
    <row r="1437" spans="1:15" x14ac:dyDescent="0.25">
      <c r="A1437" t="s">
        <v>2456</v>
      </c>
      <c r="B1437" s="2">
        <v>47093</v>
      </c>
      <c r="C1437" t="s">
        <v>2457</v>
      </c>
      <c r="D1437" t="s">
        <v>2458</v>
      </c>
      <c r="E1437" t="s">
        <v>26</v>
      </c>
      <c r="F1437" t="s">
        <v>204</v>
      </c>
      <c r="G1437" t="s">
        <v>57</v>
      </c>
      <c r="H1437" t="s">
        <v>58</v>
      </c>
      <c r="I1437" t="s">
        <v>59</v>
      </c>
      <c r="J1437">
        <v>3</v>
      </c>
      <c r="K1437">
        <v>5600</v>
      </c>
      <c r="L1437">
        <v>0.05</v>
      </c>
      <c r="M1437">
        <v>15960</v>
      </c>
      <c r="N1437">
        <v>11700</v>
      </c>
      <c r="O1437">
        <v>4260</v>
      </c>
    </row>
    <row r="1438" spans="1:15" x14ac:dyDescent="0.25">
      <c r="A1438" t="s">
        <v>2459</v>
      </c>
      <c r="B1438" s="2">
        <v>47094</v>
      </c>
      <c r="C1438" t="s">
        <v>737</v>
      </c>
      <c r="D1438" t="s">
        <v>738</v>
      </c>
      <c r="E1438" t="s">
        <v>39</v>
      </c>
      <c r="F1438" t="s">
        <v>40</v>
      </c>
      <c r="G1438" t="s">
        <v>20</v>
      </c>
      <c r="H1438" t="s">
        <v>84</v>
      </c>
      <c r="I1438" t="s">
        <v>85</v>
      </c>
      <c r="J1438">
        <v>2</v>
      </c>
      <c r="K1438">
        <v>280</v>
      </c>
      <c r="L1438">
        <v>0.1</v>
      </c>
      <c r="M1438">
        <v>504</v>
      </c>
      <c r="N1438">
        <v>320</v>
      </c>
      <c r="O1438">
        <v>184</v>
      </c>
    </row>
    <row r="1439" spans="1:15" x14ac:dyDescent="0.25">
      <c r="A1439" t="s">
        <v>2460</v>
      </c>
      <c r="B1439" s="2">
        <v>47095</v>
      </c>
      <c r="C1439" t="s">
        <v>778</v>
      </c>
      <c r="D1439" t="s">
        <v>779</v>
      </c>
      <c r="E1439" t="s">
        <v>26</v>
      </c>
      <c r="F1439" t="s">
        <v>46</v>
      </c>
      <c r="G1439" t="s">
        <v>28</v>
      </c>
      <c r="H1439" t="s">
        <v>63</v>
      </c>
      <c r="I1439" t="s">
        <v>64</v>
      </c>
      <c r="J1439">
        <v>2</v>
      </c>
      <c r="K1439">
        <v>2400</v>
      </c>
      <c r="L1439">
        <v>0.1</v>
      </c>
      <c r="M1439">
        <v>4320</v>
      </c>
      <c r="N1439">
        <v>3300</v>
      </c>
      <c r="O1439">
        <v>1020</v>
      </c>
    </row>
    <row r="1440" spans="1:15" x14ac:dyDescent="0.25">
      <c r="A1440" t="s">
        <v>2461</v>
      </c>
      <c r="B1440" s="2">
        <v>47096</v>
      </c>
      <c r="C1440" t="s">
        <v>1445</v>
      </c>
      <c r="D1440" t="s">
        <v>1446</v>
      </c>
      <c r="E1440" t="s">
        <v>18</v>
      </c>
      <c r="F1440" t="s">
        <v>115</v>
      </c>
      <c r="G1440" t="s">
        <v>20</v>
      </c>
      <c r="H1440" t="s">
        <v>84</v>
      </c>
      <c r="I1440" t="s">
        <v>169</v>
      </c>
      <c r="J1440">
        <v>5</v>
      </c>
      <c r="K1440">
        <v>450</v>
      </c>
      <c r="L1440">
        <v>0</v>
      </c>
      <c r="M1440">
        <v>2250</v>
      </c>
      <c r="N1440">
        <v>1300</v>
      </c>
      <c r="O1440">
        <v>950</v>
      </c>
    </row>
    <row r="1441" spans="1:15" x14ac:dyDescent="0.25">
      <c r="A1441" t="s">
        <v>2462</v>
      </c>
      <c r="B1441" s="2">
        <v>47097</v>
      </c>
      <c r="C1441" t="s">
        <v>945</v>
      </c>
      <c r="D1441" t="s">
        <v>946</v>
      </c>
      <c r="E1441" t="s">
        <v>18</v>
      </c>
      <c r="F1441" t="s">
        <v>227</v>
      </c>
      <c r="G1441" t="s">
        <v>20</v>
      </c>
      <c r="H1441" t="s">
        <v>84</v>
      </c>
      <c r="I1441" t="s">
        <v>85</v>
      </c>
      <c r="J1441">
        <v>3</v>
      </c>
      <c r="K1441">
        <v>280</v>
      </c>
      <c r="L1441">
        <v>0.05</v>
      </c>
      <c r="M1441">
        <v>798</v>
      </c>
      <c r="N1441">
        <v>480</v>
      </c>
      <c r="O1441">
        <v>318</v>
      </c>
    </row>
    <row r="1442" spans="1:15" x14ac:dyDescent="0.25">
      <c r="A1442" t="s">
        <v>2463</v>
      </c>
      <c r="B1442" s="2">
        <v>47098</v>
      </c>
      <c r="C1442" t="s">
        <v>2136</v>
      </c>
      <c r="D1442" t="s">
        <v>2137</v>
      </c>
      <c r="E1442" t="s">
        <v>39</v>
      </c>
      <c r="F1442" t="s">
        <v>40</v>
      </c>
      <c r="G1442" t="s">
        <v>51</v>
      </c>
      <c r="H1442" t="s">
        <v>21</v>
      </c>
      <c r="I1442" t="s">
        <v>80</v>
      </c>
      <c r="J1442">
        <v>2</v>
      </c>
      <c r="K1442">
        <v>850</v>
      </c>
      <c r="L1442">
        <v>0.2</v>
      </c>
      <c r="M1442">
        <v>1360</v>
      </c>
      <c r="N1442">
        <v>1120</v>
      </c>
      <c r="O1442">
        <v>240</v>
      </c>
    </row>
    <row r="1443" spans="1:15" x14ac:dyDescent="0.25">
      <c r="A1443" t="s">
        <v>2464</v>
      </c>
      <c r="B1443" s="2">
        <v>47099</v>
      </c>
      <c r="C1443" t="s">
        <v>990</v>
      </c>
      <c r="D1443" t="s">
        <v>991</v>
      </c>
      <c r="E1443" t="s">
        <v>96</v>
      </c>
      <c r="F1443" t="s">
        <v>196</v>
      </c>
      <c r="G1443" t="s">
        <v>20</v>
      </c>
      <c r="H1443" t="s">
        <v>84</v>
      </c>
      <c r="I1443" t="s">
        <v>169</v>
      </c>
      <c r="J1443">
        <v>2</v>
      </c>
      <c r="K1443">
        <v>450</v>
      </c>
      <c r="L1443">
        <v>0.1</v>
      </c>
      <c r="M1443">
        <v>810</v>
      </c>
      <c r="N1443">
        <v>520</v>
      </c>
      <c r="O1443">
        <v>290</v>
      </c>
    </row>
    <row r="1444" spans="1:15" x14ac:dyDescent="0.25">
      <c r="A1444" t="s">
        <v>2465</v>
      </c>
      <c r="B1444" s="2">
        <v>47100</v>
      </c>
      <c r="C1444" t="s">
        <v>1193</v>
      </c>
      <c r="D1444" t="s">
        <v>1194</v>
      </c>
      <c r="E1444" t="s">
        <v>39</v>
      </c>
      <c r="F1444" t="s">
        <v>76</v>
      </c>
      <c r="G1444" t="s">
        <v>20</v>
      </c>
      <c r="H1444" t="s">
        <v>21</v>
      </c>
      <c r="I1444" t="s">
        <v>22</v>
      </c>
      <c r="J1444">
        <v>4</v>
      </c>
      <c r="K1444">
        <v>650</v>
      </c>
      <c r="L1444">
        <v>0.1</v>
      </c>
      <c r="M1444">
        <v>2340</v>
      </c>
      <c r="N1444">
        <v>1560</v>
      </c>
      <c r="O1444">
        <v>780</v>
      </c>
    </row>
    <row r="1445" spans="1:15" x14ac:dyDescent="0.25">
      <c r="A1445" t="s">
        <v>2466</v>
      </c>
      <c r="B1445" s="2">
        <v>47101</v>
      </c>
      <c r="C1445" t="s">
        <v>466</v>
      </c>
      <c r="D1445" t="s">
        <v>467</v>
      </c>
      <c r="E1445" t="s">
        <v>26</v>
      </c>
      <c r="F1445" t="s">
        <v>27</v>
      </c>
      <c r="G1445" t="s">
        <v>51</v>
      </c>
      <c r="H1445" t="s">
        <v>52</v>
      </c>
      <c r="I1445" t="s">
        <v>53</v>
      </c>
      <c r="J1445">
        <v>1</v>
      </c>
      <c r="K1445">
        <v>2200</v>
      </c>
      <c r="L1445">
        <v>0.05</v>
      </c>
      <c r="M1445">
        <v>2090</v>
      </c>
      <c r="N1445">
        <v>1450</v>
      </c>
      <c r="O1445">
        <v>640</v>
      </c>
    </row>
    <row r="1446" spans="1:15" x14ac:dyDescent="0.25">
      <c r="A1446" t="s">
        <v>2467</v>
      </c>
      <c r="B1446" s="2">
        <v>47102</v>
      </c>
      <c r="C1446" t="s">
        <v>1731</v>
      </c>
      <c r="D1446" t="s">
        <v>1732</v>
      </c>
      <c r="E1446" t="s">
        <v>39</v>
      </c>
      <c r="F1446" t="s">
        <v>71</v>
      </c>
      <c r="G1446" t="s">
        <v>20</v>
      </c>
      <c r="H1446" t="s">
        <v>84</v>
      </c>
      <c r="I1446" t="s">
        <v>169</v>
      </c>
      <c r="J1446">
        <v>1</v>
      </c>
      <c r="K1446">
        <v>450</v>
      </c>
      <c r="L1446">
        <v>0</v>
      </c>
      <c r="M1446">
        <v>450</v>
      </c>
      <c r="N1446">
        <v>260</v>
      </c>
      <c r="O1446">
        <v>190</v>
      </c>
    </row>
    <row r="1447" spans="1:15" x14ac:dyDescent="0.25">
      <c r="A1447" t="s">
        <v>2468</v>
      </c>
      <c r="B1447" s="2">
        <v>47103</v>
      </c>
      <c r="C1447" t="s">
        <v>538</v>
      </c>
      <c r="D1447" t="s">
        <v>539</v>
      </c>
      <c r="E1447" t="s">
        <v>26</v>
      </c>
      <c r="F1447" t="s">
        <v>34</v>
      </c>
      <c r="G1447" t="s">
        <v>20</v>
      </c>
      <c r="H1447" t="s">
        <v>84</v>
      </c>
      <c r="I1447" t="s">
        <v>210</v>
      </c>
      <c r="J1447">
        <v>1</v>
      </c>
      <c r="K1447">
        <v>300</v>
      </c>
      <c r="L1447">
        <v>0.2</v>
      </c>
      <c r="M1447">
        <v>240</v>
      </c>
      <c r="N1447">
        <v>170</v>
      </c>
      <c r="O1447">
        <v>70</v>
      </c>
    </row>
    <row r="1448" spans="1:15" x14ac:dyDescent="0.25">
      <c r="A1448" t="s">
        <v>2469</v>
      </c>
      <c r="B1448" s="2">
        <v>47104</v>
      </c>
      <c r="C1448" t="s">
        <v>2470</v>
      </c>
      <c r="D1448" t="s">
        <v>2471</v>
      </c>
      <c r="E1448" t="s">
        <v>39</v>
      </c>
      <c r="F1448" t="s">
        <v>71</v>
      </c>
      <c r="G1448" t="s">
        <v>20</v>
      </c>
      <c r="H1448" t="s">
        <v>21</v>
      </c>
      <c r="I1448" t="s">
        <v>22</v>
      </c>
      <c r="J1448">
        <v>1</v>
      </c>
      <c r="K1448">
        <v>650</v>
      </c>
      <c r="L1448">
        <v>0.05</v>
      </c>
      <c r="M1448">
        <v>617.5</v>
      </c>
      <c r="N1448">
        <v>390</v>
      </c>
      <c r="O1448">
        <v>227.5</v>
      </c>
    </row>
    <row r="1449" spans="1:15" x14ac:dyDescent="0.25">
      <c r="A1449" t="s">
        <v>2472</v>
      </c>
      <c r="B1449" s="2">
        <v>47105</v>
      </c>
      <c r="C1449" t="s">
        <v>1581</v>
      </c>
      <c r="D1449" t="s">
        <v>1582</v>
      </c>
      <c r="E1449" t="s">
        <v>26</v>
      </c>
      <c r="F1449" t="s">
        <v>27</v>
      </c>
      <c r="G1449" t="s">
        <v>20</v>
      </c>
      <c r="H1449" t="s">
        <v>84</v>
      </c>
      <c r="I1449" t="s">
        <v>169</v>
      </c>
      <c r="J1449">
        <v>1</v>
      </c>
      <c r="K1449">
        <v>450</v>
      </c>
      <c r="L1449">
        <v>0.15</v>
      </c>
      <c r="M1449">
        <v>382.5</v>
      </c>
      <c r="N1449">
        <v>260</v>
      </c>
      <c r="O1449">
        <v>122.5</v>
      </c>
    </row>
    <row r="1450" spans="1:15" x14ac:dyDescent="0.25">
      <c r="A1450" t="s">
        <v>2473</v>
      </c>
      <c r="B1450" s="2">
        <v>47106</v>
      </c>
      <c r="C1450" t="s">
        <v>1034</v>
      </c>
      <c r="D1450" t="s">
        <v>1035</v>
      </c>
      <c r="E1450" t="s">
        <v>26</v>
      </c>
      <c r="F1450" t="s">
        <v>204</v>
      </c>
      <c r="G1450" t="s">
        <v>28</v>
      </c>
      <c r="H1450" t="s">
        <v>29</v>
      </c>
      <c r="I1450" t="s">
        <v>30</v>
      </c>
      <c r="J1450">
        <v>3</v>
      </c>
      <c r="K1450">
        <v>1900</v>
      </c>
      <c r="L1450">
        <v>0.2</v>
      </c>
      <c r="M1450">
        <v>4560</v>
      </c>
      <c r="N1450">
        <v>3750</v>
      </c>
      <c r="O1450">
        <v>810</v>
      </c>
    </row>
    <row r="1451" spans="1:15" x14ac:dyDescent="0.25">
      <c r="A1451" t="s">
        <v>2474</v>
      </c>
      <c r="B1451" s="2">
        <v>47107</v>
      </c>
      <c r="C1451" t="s">
        <v>271</v>
      </c>
      <c r="D1451" t="s">
        <v>272</v>
      </c>
      <c r="E1451" t="s">
        <v>96</v>
      </c>
      <c r="F1451" t="s">
        <v>97</v>
      </c>
      <c r="G1451" t="s">
        <v>51</v>
      </c>
      <c r="H1451" t="s">
        <v>21</v>
      </c>
      <c r="I1451" t="s">
        <v>80</v>
      </c>
      <c r="J1451">
        <v>1</v>
      </c>
      <c r="K1451">
        <v>850</v>
      </c>
      <c r="L1451">
        <v>0.15</v>
      </c>
      <c r="M1451">
        <v>722.5</v>
      </c>
      <c r="N1451">
        <v>560</v>
      </c>
      <c r="O1451">
        <v>162.5</v>
      </c>
    </row>
    <row r="1452" spans="1:15" x14ac:dyDescent="0.25">
      <c r="A1452" t="s">
        <v>2475</v>
      </c>
      <c r="B1452" s="2">
        <v>47108</v>
      </c>
      <c r="C1452" t="s">
        <v>2084</v>
      </c>
      <c r="D1452" t="s">
        <v>2085</v>
      </c>
      <c r="E1452" t="s">
        <v>26</v>
      </c>
      <c r="F1452" t="s">
        <v>204</v>
      </c>
      <c r="G1452" t="s">
        <v>20</v>
      </c>
      <c r="H1452" t="s">
        <v>84</v>
      </c>
      <c r="I1452" t="s">
        <v>85</v>
      </c>
      <c r="J1452">
        <v>4</v>
      </c>
      <c r="K1452">
        <v>280</v>
      </c>
      <c r="L1452">
        <v>0</v>
      </c>
      <c r="M1452">
        <v>1120</v>
      </c>
      <c r="N1452">
        <v>640</v>
      </c>
      <c r="O1452">
        <v>480</v>
      </c>
    </row>
    <row r="1453" spans="1:15" x14ac:dyDescent="0.25">
      <c r="A1453" t="s">
        <v>2476</v>
      </c>
      <c r="B1453" s="2">
        <v>47109</v>
      </c>
      <c r="C1453" t="s">
        <v>1256</v>
      </c>
      <c r="D1453" t="s">
        <v>1257</v>
      </c>
      <c r="E1453" t="s">
        <v>39</v>
      </c>
      <c r="F1453" t="s">
        <v>124</v>
      </c>
      <c r="G1453" t="s">
        <v>51</v>
      </c>
      <c r="H1453" t="s">
        <v>21</v>
      </c>
      <c r="I1453" t="s">
        <v>72</v>
      </c>
      <c r="J1453">
        <v>2</v>
      </c>
      <c r="K1453">
        <v>1800</v>
      </c>
      <c r="L1453">
        <v>0.15</v>
      </c>
      <c r="M1453">
        <v>3060</v>
      </c>
      <c r="N1453">
        <v>2200</v>
      </c>
      <c r="O1453">
        <v>860</v>
      </c>
    </row>
    <row r="1454" spans="1:15" x14ac:dyDescent="0.25">
      <c r="A1454" t="s">
        <v>2477</v>
      </c>
      <c r="B1454" s="2">
        <v>47110</v>
      </c>
      <c r="C1454" t="s">
        <v>1734</v>
      </c>
      <c r="D1454" t="s">
        <v>1735</v>
      </c>
      <c r="E1454" t="s">
        <v>26</v>
      </c>
      <c r="F1454" t="s">
        <v>128</v>
      </c>
      <c r="G1454" t="s">
        <v>20</v>
      </c>
      <c r="H1454" t="s">
        <v>84</v>
      </c>
      <c r="I1454" t="s">
        <v>169</v>
      </c>
      <c r="J1454">
        <v>4</v>
      </c>
      <c r="K1454">
        <v>450</v>
      </c>
      <c r="L1454">
        <v>0.2</v>
      </c>
      <c r="M1454">
        <v>1440</v>
      </c>
      <c r="N1454">
        <v>1040</v>
      </c>
      <c r="O1454">
        <v>400</v>
      </c>
    </row>
    <row r="1455" spans="1:15" x14ac:dyDescent="0.25">
      <c r="A1455" t="s">
        <v>2478</v>
      </c>
      <c r="B1455" s="2">
        <v>47111</v>
      </c>
      <c r="C1455" t="s">
        <v>1755</v>
      </c>
      <c r="D1455" t="s">
        <v>1756</v>
      </c>
      <c r="E1455" t="s">
        <v>26</v>
      </c>
      <c r="F1455" t="s">
        <v>27</v>
      </c>
      <c r="G1455" t="s">
        <v>57</v>
      </c>
      <c r="H1455" t="s">
        <v>58</v>
      </c>
      <c r="I1455" t="s">
        <v>129</v>
      </c>
      <c r="J1455">
        <v>4</v>
      </c>
      <c r="K1455">
        <v>4800</v>
      </c>
      <c r="L1455">
        <v>0.15</v>
      </c>
      <c r="M1455">
        <v>16320</v>
      </c>
      <c r="N1455">
        <v>13200</v>
      </c>
      <c r="O1455">
        <v>3120</v>
      </c>
    </row>
    <row r="1456" spans="1:15" x14ac:dyDescent="0.25">
      <c r="A1456" t="s">
        <v>2479</v>
      </c>
      <c r="B1456" s="2">
        <v>47112</v>
      </c>
      <c r="C1456" t="s">
        <v>1434</v>
      </c>
      <c r="D1456" t="s">
        <v>1435</v>
      </c>
      <c r="E1456" t="s">
        <v>39</v>
      </c>
      <c r="F1456" t="s">
        <v>71</v>
      </c>
      <c r="G1456" t="s">
        <v>20</v>
      </c>
      <c r="H1456" t="s">
        <v>41</v>
      </c>
      <c r="I1456" t="s">
        <v>42</v>
      </c>
      <c r="J1456">
        <v>1</v>
      </c>
      <c r="K1456">
        <v>520</v>
      </c>
      <c r="L1456">
        <v>0.1</v>
      </c>
      <c r="M1456">
        <v>468</v>
      </c>
      <c r="N1456">
        <v>330</v>
      </c>
      <c r="O1456">
        <v>138</v>
      </c>
    </row>
    <row r="1457" spans="1:15" x14ac:dyDescent="0.25">
      <c r="A1457" t="s">
        <v>2480</v>
      </c>
      <c r="B1457" s="2">
        <v>47113</v>
      </c>
      <c r="C1457" t="s">
        <v>994</v>
      </c>
      <c r="D1457" t="s">
        <v>995</v>
      </c>
      <c r="E1457" t="s">
        <v>39</v>
      </c>
      <c r="F1457" t="s">
        <v>71</v>
      </c>
      <c r="G1457" t="s">
        <v>28</v>
      </c>
      <c r="H1457" t="s">
        <v>29</v>
      </c>
      <c r="I1457" t="s">
        <v>30</v>
      </c>
      <c r="J1457">
        <v>1</v>
      </c>
      <c r="K1457">
        <v>1900</v>
      </c>
      <c r="L1457">
        <v>0.05</v>
      </c>
      <c r="M1457">
        <v>1805</v>
      </c>
      <c r="N1457">
        <v>1250</v>
      </c>
      <c r="O1457">
        <v>555</v>
      </c>
    </row>
    <row r="1458" spans="1:15" x14ac:dyDescent="0.25">
      <c r="A1458" t="s">
        <v>2481</v>
      </c>
      <c r="B1458" s="2">
        <v>47114</v>
      </c>
      <c r="C1458" t="s">
        <v>1581</v>
      </c>
      <c r="D1458" t="s">
        <v>1582</v>
      </c>
      <c r="E1458" t="s">
        <v>26</v>
      </c>
      <c r="F1458" t="s">
        <v>34</v>
      </c>
      <c r="G1458" t="s">
        <v>51</v>
      </c>
      <c r="H1458" t="s">
        <v>21</v>
      </c>
      <c r="I1458" t="s">
        <v>116</v>
      </c>
      <c r="J1458">
        <v>3</v>
      </c>
      <c r="K1458">
        <v>1400</v>
      </c>
      <c r="L1458">
        <v>0.2</v>
      </c>
      <c r="M1458">
        <v>3360</v>
      </c>
      <c r="N1458">
        <v>2700</v>
      </c>
      <c r="O1458">
        <v>660</v>
      </c>
    </row>
    <row r="1459" spans="1:15" x14ac:dyDescent="0.25">
      <c r="A1459" t="s">
        <v>2482</v>
      </c>
      <c r="B1459" s="2">
        <v>47115</v>
      </c>
      <c r="C1459" t="s">
        <v>113</v>
      </c>
      <c r="D1459" t="s">
        <v>114</v>
      </c>
      <c r="E1459" t="s">
        <v>39</v>
      </c>
      <c r="F1459" t="s">
        <v>40</v>
      </c>
      <c r="G1459" t="s">
        <v>57</v>
      </c>
      <c r="H1459" t="s">
        <v>188</v>
      </c>
      <c r="I1459" t="s">
        <v>189</v>
      </c>
      <c r="J1459">
        <v>3</v>
      </c>
      <c r="K1459">
        <v>6200</v>
      </c>
      <c r="L1459">
        <v>0.25</v>
      </c>
      <c r="M1459">
        <v>13950</v>
      </c>
      <c r="N1459">
        <v>12900</v>
      </c>
      <c r="O1459">
        <v>1050</v>
      </c>
    </row>
    <row r="1460" spans="1:15" x14ac:dyDescent="0.25">
      <c r="A1460" t="s">
        <v>2483</v>
      </c>
      <c r="B1460" s="2">
        <v>47116</v>
      </c>
      <c r="C1460" t="s">
        <v>1256</v>
      </c>
      <c r="D1460" t="s">
        <v>1257</v>
      </c>
      <c r="E1460" t="s">
        <v>39</v>
      </c>
      <c r="F1460" t="s">
        <v>40</v>
      </c>
      <c r="G1460" t="s">
        <v>20</v>
      </c>
      <c r="H1460" t="s">
        <v>84</v>
      </c>
      <c r="I1460" t="s">
        <v>169</v>
      </c>
      <c r="J1460">
        <v>5</v>
      </c>
      <c r="K1460">
        <v>450</v>
      </c>
      <c r="L1460">
        <v>0.15</v>
      </c>
      <c r="M1460">
        <v>1912.5</v>
      </c>
      <c r="N1460">
        <v>1300</v>
      </c>
      <c r="O1460">
        <v>612.5</v>
      </c>
    </row>
    <row r="1461" spans="1:15" x14ac:dyDescent="0.25">
      <c r="A1461" t="s">
        <v>2484</v>
      </c>
      <c r="B1461" s="2">
        <v>47117</v>
      </c>
      <c r="C1461" t="s">
        <v>966</v>
      </c>
      <c r="D1461" t="s">
        <v>967</v>
      </c>
      <c r="E1461" t="s">
        <v>26</v>
      </c>
      <c r="F1461" t="s">
        <v>46</v>
      </c>
      <c r="G1461" t="s">
        <v>20</v>
      </c>
      <c r="H1461" t="s">
        <v>84</v>
      </c>
      <c r="I1461" t="s">
        <v>169</v>
      </c>
      <c r="J1461">
        <v>1</v>
      </c>
      <c r="K1461">
        <v>450</v>
      </c>
      <c r="L1461">
        <v>0.05</v>
      </c>
      <c r="M1461">
        <v>427.5</v>
      </c>
      <c r="N1461">
        <v>260</v>
      </c>
      <c r="O1461">
        <v>167.5</v>
      </c>
    </row>
    <row r="1462" spans="1:15" x14ac:dyDescent="0.25">
      <c r="A1462" t="s">
        <v>2485</v>
      </c>
      <c r="B1462" s="2">
        <v>47118</v>
      </c>
      <c r="C1462" t="s">
        <v>2019</v>
      </c>
      <c r="D1462" t="s">
        <v>2020</v>
      </c>
      <c r="E1462" t="s">
        <v>26</v>
      </c>
      <c r="F1462" t="s">
        <v>34</v>
      </c>
      <c r="G1462" t="s">
        <v>57</v>
      </c>
      <c r="H1462" t="s">
        <v>58</v>
      </c>
      <c r="I1462" t="s">
        <v>129</v>
      </c>
      <c r="J1462">
        <v>2</v>
      </c>
      <c r="K1462">
        <v>4800</v>
      </c>
      <c r="L1462">
        <v>0</v>
      </c>
      <c r="M1462">
        <v>9600</v>
      </c>
      <c r="N1462">
        <v>6600</v>
      </c>
      <c r="O1462">
        <v>3000</v>
      </c>
    </row>
    <row r="1463" spans="1:15" x14ac:dyDescent="0.25">
      <c r="A1463" t="s">
        <v>2486</v>
      </c>
      <c r="B1463" s="2">
        <v>47119</v>
      </c>
      <c r="C1463" t="s">
        <v>1948</v>
      </c>
      <c r="D1463" t="s">
        <v>1949</v>
      </c>
      <c r="E1463" t="s">
        <v>26</v>
      </c>
      <c r="F1463" t="s">
        <v>204</v>
      </c>
      <c r="G1463" t="s">
        <v>20</v>
      </c>
      <c r="H1463" t="s">
        <v>21</v>
      </c>
      <c r="I1463" t="s">
        <v>22</v>
      </c>
      <c r="J1463">
        <v>5</v>
      </c>
      <c r="K1463">
        <v>650</v>
      </c>
      <c r="L1463">
        <v>0.05</v>
      </c>
      <c r="M1463">
        <v>3087.5</v>
      </c>
      <c r="N1463">
        <v>1950</v>
      </c>
      <c r="O1463">
        <v>1137.5</v>
      </c>
    </row>
    <row r="1464" spans="1:15" x14ac:dyDescent="0.25">
      <c r="A1464" t="s">
        <v>2487</v>
      </c>
      <c r="B1464" s="2">
        <v>47120</v>
      </c>
      <c r="C1464" t="s">
        <v>2488</v>
      </c>
      <c r="D1464" t="s">
        <v>2489</v>
      </c>
      <c r="E1464" t="s">
        <v>39</v>
      </c>
      <c r="F1464" t="s">
        <v>71</v>
      </c>
      <c r="G1464" t="s">
        <v>51</v>
      </c>
      <c r="H1464" t="s">
        <v>89</v>
      </c>
      <c r="I1464" t="s">
        <v>90</v>
      </c>
      <c r="J1464">
        <v>4</v>
      </c>
      <c r="K1464">
        <v>10500</v>
      </c>
      <c r="L1464">
        <v>0.25</v>
      </c>
      <c r="M1464">
        <v>31500</v>
      </c>
      <c r="N1464">
        <v>30400</v>
      </c>
      <c r="O1464">
        <v>1100</v>
      </c>
    </row>
    <row r="1465" spans="1:15" x14ac:dyDescent="0.25">
      <c r="A1465" t="s">
        <v>2490</v>
      </c>
      <c r="B1465" s="2">
        <v>47121</v>
      </c>
      <c r="C1465" t="s">
        <v>544</v>
      </c>
      <c r="D1465" t="s">
        <v>545</v>
      </c>
      <c r="E1465" t="s">
        <v>18</v>
      </c>
      <c r="F1465" t="s">
        <v>115</v>
      </c>
      <c r="G1465" t="s">
        <v>20</v>
      </c>
      <c r="H1465" t="s">
        <v>41</v>
      </c>
      <c r="I1465" t="s">
        <v>42</v>
      </c>
      <c r="J1465">
        <v>5</v>
      </c>
      <c r="K1465">
        <v>520</v>
      </c>
      <c r="L1465">
        <v>0.15</v>
      </c>
      <c r="M1465">
        <v>2210</v>
      </c>
      <c r="N1465">
        <v>1650</v>
      </c>
      <c r="O1465">
        <v>560</v>
      </c>
    </row>
    <row r="1466" spans="1:15" x14ac:dyDescent="0.25">
      <c r="A1466" t="s">
        <v>2491</v>
      </c>
      <c r="B1466" s="2">
        <v>47122</v>
      </c>
      <c r="C1466" t="s">
        <v>2292</v>
      </c>
      <c r="D1466" t="s">
        <v>2293</v>
      </c>
      <c r="E1466" t="s">
        <v>26</v>
      </c>
      <c r="F1466" t="s">
        <v>204</v>
      </c>
      <c r="G1466" t="s">
        <v>20</v>
      </c>
      <c r="H1466" t="s">
        <v>84</v>
      </c>
      <c r="I1466" t="s">
        <v>85</v>
      </c>
      <c r="J1466">
        <v>3</v>
      </c>
      <c r="K1466">
        <v>280</v>
      </c>
      <c r="L1466">
        <v>0</v>
      </c>
      <c r="M1466">
        <v>840</v>
      </c>
      <c r="N1466">
        <v>480</v>
      </c>
      <c r="O1466">
        <v>360</v>
      </c>
    </row>
    <row r="1467" spans="1:15" x14ac:dyDescent="0.25">
      <c r="A1467" t="s">
        <v>2492</v>
      </c>
      <c r="B1467" s="2">
        <v>47123</v>
      </c>
      <c r="C1467" t="s">
        <v>1059</v>
      </c>
      <c r="D1467" t="s">
        <v>1060</v>
      </c>
      <c r="E1467" t="s">
        <v>39</v>
      </c>
      <c r="F1467" t="s">
        <v>71</v>
      </c>
      <c r="G1467" t="s">
        <v>51</v>
      </c>
      <c r="H1467" t="s">
        <v>21</v>
      </c>
      <c r="I1467" t="s">
        <v>72</v>
      </c>
      <c r="J1467">
        <v>5</v>
      </c>
      <c r="K1467">
        <v>1800</v>
      </c>
      <c r="L1467">
        <v>0.15</v>
      </c>
      <c r="M1467">
        <v>7650</v>
      </c>
      <c r="N1467">
        <v>5500</v>
      </c>
      <c r="O1467">
        <v>2150</v>
      </c>
    </row>
    <row r="1468" spans="1:15" x14ac:dyDescent="0.25">
      <c r="A1468" t="s">
        <v>2493</v>
      </c>
      <c r="B1468" s="2">
        <v>47124</v>
      </c>
      <c r="C1468" t="s">
        <v>1223</v>
      </c>
      <c r="D1468" t="s">
        <v>1224</v>
      </c>
      <c r="E1468" t="s">
        <v>26</v>
      </c>
      <c r="F1468" t="s">
        <v>128</v>
      </c>
      <c r="G1468" t="s">
        <v>51</v>
      </c>
      <c r="H1468" t="s">
        <v>21</v>
      </c>
      <c r="I1468" t="s">
        <v>80</v>
      </c>
      <c r="J1468">
        <v>2</v>
      </c>
      <c r="K1468">
        <v>850</v>
      </c>
      <c r="L1468">
        <v>0.15</v>
      </c>
      <c r="M1468">
        <v>1445</v>
      </c>
      <c r="N1468">
        <v>1120</v>
      </c>
      <c r="O1468">
        <v>325</v>
      </c>
    </row>
    <row r="1469" spans="1:15" x14ac:dyDescent="0.25">
      <c r="A1469" t="s">
        <v>2494</v>
      </c>
      <c r="B1469" s="2">
        <v>47125</v>
      </c>
      <c r="C1469" t="s">
        <v>1660</v>
      </c>
      <c r="D1469" t="s">
        <v>1661</v>
      </c>
      <c r="E1469" t="s">
        <v>18</v>
      </c>
      <c r="F1469" t="s">
        <v>19</v>
      </c>
      <c r="G1469" t="s">
        <v>51</v>
      </c>
      <c r="H1469" t="s">
        <v>52</v>
      </c>
      <c r="I1469" t="s">
        <v>53</v>
      </c>
      <c r="J1469">
        <v>3</v>
      </c>
      <c r="K1469">
        <v>2200</v>
      </c>
      <c r="L1469">
        <v>0.05</v>
      </c>
      <c r="M1469">
        <v>6270</v>
      </c>
      <c r="N1469">
        <v>4350</v>
      </c>
      <c r="O1469">
        <v>1920</v>
      </c>
    </row>
    <row r="1470" spans="1:15" x14ac:dyDescent="0.25">
      <c r="A1470" t="s">
        <v>2495</v>
      </c>
      <c r="B1470" s="2">
        <v>47126</v>
      </c>
      <c r="C1470" t="s">
        <v>733</v>
      </c>
      <c r="D1470" t="s">
        <v>734</v>
      </c>
      <c r="E1470" t="s">
        <v>18</v>
      </c>
      <c r="F1470" t="s">
        <v>227</v>
      </c>
      <c r="G1470" t="s">
        <v>51</v>
      </c>
      <c r="H1470" t="s">
        <v>52</v>
      </c>
      <c r="I1470" t="s">
        <v>53</v>
      </c>
      <c r="J1470">
        <v>2</v>
      </c>
      <c r="K1470">
        <v>2200</v>
      </c>
      <c r="L1470">
        <v>0.15</v>
      </c>
      <c r="M1470">
        <v>3740</v>
      </c>
      <c r="N1470">
        <v>2900</v>
      </c>
      <c r="O1470">
        <v>840</v>
      </c>
    </row>
    <row r="1471" spans="1:15" x14ac:dyDescent="0.25">
      <c r="A1471" t="s">
        <v>2496</v>
      </c>
      <c r="B1471" s="2">
        <v>47127</v>
      </c>
      <c r="C1471" t="s">
        <v>926</v>
      </c>
      <c r="D1471" t="s">
        <v>927</v>
      </c>
      <c r="E1471" t="s">
        <v>26</v>
      </c>
      <c r="F1471" t="s">
        <v>204</v>
      </c>
      <c r="G1471" t="s">
        <v>28</v>
      </c>
      <c r="H1471" t="s">
        <v>63</v>
      </c>
      <c r="I1471" t="s">
        <v>64</v>
      </c>
      <c r="J1471">
        <v>1</v>
      </c>
      <c r="K1471">
        <v>2400</v>
      </c>
      <c r="L1471">
        <v>0.05</v>
      </c>
      <c r="M1471">
        <v>2280</v>
      </c>
      <c r="N1471">
        <v>1650</v>
      </c>
      <c r="O1471">
        <v>630</v>
      </c>
    </row>
    <row r="1472" spans="1:15" x14ac:dyDescent="0.25">
      <c r="A1472" t="s">
        <v>2497</v>
      </c>
      <c r="B1472" s="2">
        <v>47128</v>
      </c>
      <c r="C1472" t="s">
        <v>1932</v>
      </c>
      <c r="D1472" t="s">
        <v>1933</v>
      </c>
      <c r="E1472" t="s">
        <v>26</v>
      </c>
      <c r="F1472" t="s">
        <v>27</v>
      </c>
      <c r="G1472" t="s">
        <v>57</v>
      </c>
      <c r="H1472" t="s">
        <v>188</v>
      </c>
      <c r="I1472" t="s">
        <v>189</v>
      </c>
      <c r="J1472">
        <v>5</v>
      </c>
      <c r="K1472">
        <v>6200</v>
      </c>
      <c r="L1472">
        <v>0.1</v>
      </c>
      <c r="M1472">
        <v>27900</v>
      </c>
      <c r="N1472">
        <v>21500</v>
      </c>
      <c r="O1472">
        <v>6400</v>
      </c>
    </row>
    <row r="1473" spans="1:15" x14ac:dyDescent="0.25">
      <c r="A1473" t="s">
        <v>2498</v>
      </c>
      <c r="B1473" s="2">
        <v>47129</v>
      </c>
      <c r="C1473" t="s">
        <v>1612</v>
      </c>
      <c r="D1473" t="s">
        <v>1613</v>
      </c>
      <c r="E1473" t="s">
        <v>18</v>
      </c>
      <c r="F1473" t="s">
        <v>94</v>
      </c>
      <c r="G1473" t="s">
        <v>51</v>
      </c>
      <c r="H1473" t="s">
        <v>21</v>
      </c>
      <c r="I1473" t="s">
        <v>72</v>
      </c>
      <c r="J1473">
        <v>3</v>
      </c>
      <c r="K1473">
        <v>1800</v>
      </c>
      <c r="L1473">
        <v>0.25</v>
      </c>
      <c r="M1473">
        <v>4050</v>
      </c>
      <c r="N1473">
        <v>3300</v>
      </c>
      <c r="O1473">
        <v>750</v>
      </c>
    </row>
    <row r="1474" spans="1:15" x14ac:dyDescent="0.25">
      <c r="A1474" t="s">
        <v>2499</v>
      </c>
      <c r="B1474" s="2">
        <v>47130</v>
      </c>
      <c r="C1474" t="s">
        <v>721</v>
      </c>
      <c r="D1474" t="s">
        <v>722</v>
      </c>
      <c r="E1474" t="s">
        <v>39</v>
      </c>
      <c r="F1474" t="s">
        <v>124</v>
      </c>
      <c r="G1474" t="s">
        <v>51</v>
      </c>
      <c r="H1474" t="s">
        <v>21</v>
      </c>
      <c r="I1474" t="s">
        <v>116</v>
      </c>
      <c r="J1474">
        <v>2</v>
      </c>
      <c r="K1474">
        <v>1400</v>
      </c>
      <c r="L1474">
        <v>0.1</v>
      </c>
      <c r="M1474">
        <v>2520</v>
      </c>
      <c r="N1474">
        <v>1800</v>
      </c>
      <c r="O1474">
        <v>720</v>
      </c>
    </row>
    <row r="1475" spans="1:15" x14ac:dyDescent="0.25">
      <c r="A1475" t="s">
        <v>2500</v>
      </c>
      <c r="B1475" s="2">
        <v>47131</v>
      </c>
      <c r="C1475" t="s">
        <v>353</v>
      </c>
      <c r="D1475" t="s">
        <v>354</v>
      </c>
      <c r="E1475" t="s">
        <v>18</v>
      </c>
      <c r="F1475" t="s">
        <v>227</v>
      </c>
      <c r="G1475" t="s">
        <v>28</v>
      </c>
      <c r="H1475" t="s">
        <v>29</v>
      </c>
      <c r="I1475" t="s">
        <v>30</v>
      </c>
      <c r="J1475">
        <v>5</v>
      </c>
      <c r="K1475">
        <v>1900</v>
      </c>
      <c r="L1475">
        <v>0.15</v>
      </c>
      <c r="M1475">
        <v>8075</v>
      </c>
      <c r="N1475">
        <v>6250</v>
      </c>
      <c r="O1475">
        <v>1825</v>
      </c>
    </row>
    <row r="1476" spans="1:15" x14ac:dyDescent="0.25">
      <c r="A1476" t="s">
        <v>2501</v>
      </c>
      <c r="B1476" s="2">
        <v>47132</v>
      </c>
      <c r="C1476" t="s">
        <v>538</v>
      </c>
      <c r="D1476" t="s">
        <v>539</v>
      </c>
      <c r="E1476" t="s">
        <v>26</v>
      </c>
      <c r="F1476" t="s">
        <v>27</v>
      </c>
      <c r="G1476" t="s">
        <v>57</v>
      </c>
      <c r="H1476" t="s">
        <v>188</v>
      </c>
      <c r="I1476" t="s">
        <v>189</v>
      </c>
      <c r="J1476">
        <v>1</v>
      </c>
      <c r="K1476">
        <v>6200</v>
      </c>
      <c r="L1476">
        <v>0.15</v>
      </c>
      <c r="M1476">
        <v>5270</v>
      </c>
      <c r="N1476">
        <v>4300</v>
      </c>
      <c r="O1476">
        <v>970</v>
      </c>
    </row>
    <row r="1477" spans="1:15" x14ac:dyDescent="0.25">
      <c r="A1477" t="s">
        <v>2502</v>
      </c>
      <c r="B1477" s="2">
        <v>47133</v>
      </c>
      <c r="C1477" t="s">
        <v>420</v>
      </c>
      <c r="D1477" t="s">
        <v>421</v>
      </c>
      <c r="E1477" t="s">
        <v>26</v>
      </c>
      <c r="F1477" t="s">
        <v>27</v>
      </c>
      <c r="G1477" t="s">
        <v>28</v>
      </c>
      <c r="H1477" t="s">
        <v>29</v>
      </c>
      <c r="I1477" t="s">
        <v>47</v>
      </c>
      <c r="J1477">
        <v>2</v>
      </c>
      <c r="K1477">
        <v>6800</v>
      </c>
      <c r="L1477">
        <v>0.1</v>
      </c>
      <c r="M1477">
        <v>12240</v>
      </c>
      <c r="N1477">
        <v>9400</v>
      </c>
      <c r="O1477">
        <v>2840</v>
      </c>
    </row>
    <row r="1478" spans="1:15" x14ac:dyDescent="0.25">
      <c r="A1478" t="s">
        <v>2503</v>
      </c>
      <c r="B1478" s="2">
        <v>47134</v>
      </c>
      <c r="C1478" t="s">
        <v>1138</v>
      </c>
      <c r="D1478" t="s">
        <v>1139</v>
      </c>
      <c r="E1478" t="s">
        <v>96</v>
      </c>
      <c r="F1478" t="s">
        <v>120</v>
      </c>
      <c r="G1478" t="s">
        <v>28</v>
      </c>
      <c r="H1478" t="s">
        <v>63</v>
      </c>
      <c r="I1478" t="s">
        <v>64</v>
      </c>
      <c r="J1478">
        <v>2</v>
      </c>
      <c r="K1478">
        <v>2400</v>
      </c>
      <c r="L1478">
        <v>0.15</v>
      </c>
      <c r="M1478">
        <v>4080</v>
      </c>
      <c r="N1478">
        <v>3300</v>
      </c>
      <c r="O1478">
        <v>780</v>
      </c>
    </row>
    <row r="1479" spans="1:15" x14ac:dyDescent="0.25">
      <c r="A1479" t="s">
        <v>2504</v>
      </c>
      <c r="B1479" s="2">
        <v>47135</v>
      </c>
      <c r="C1479" t="s">
        <v>1445</v>
      </c>
      <c r="D1479" t="s">
        <v>1446</v>
      </c>
      <c r="E1479" t="s">
        <v>26</v>
      </c>
      <c r="F1479" t="s">
        <v>128</v>
      </c>
      <c r="G1479" t="s">
        <v>51</v>
      </c>
      <c r="H1479" t="s">
        <v>52</v>
      </c>
      <c r="I1479" t="s">
        <v>53</v>
      </c>
      <c r="J1479">
        <v>4</v>
      </c>
      <c r="K1479">
        <v>2200</v>
      </c>
      <c r="L1479">
        <v>0.15</v>
      </c>
      <c r="M1479">
        <v>7480</v>
      </c>
      <c r="N1479">
        <v>5800</v>
      </c>
      <c r="O1479">
        <v>1680</v>
      </c>
    </row>
    <row r="1480" spans="1:15" x14ac:dyDescent="0.25">
      <c r="A1480" t="s">
        <v>2505</v>
      </c>
      <c r="B1480" s="2">
        <v>47136</v>
      </c>
      <c r="C1480" t="s">
        <v>912</v>
      </c>
      <c r="D1480" t="s">
        <v>913</v>
      </c>
      <c r="E1480" t="s">
        <v>39</v>
      </c>
      <c r="F1480" t="s">
        <v>76</v>
      </c>
      <c r="G1480" t="s">
        <v>28</v>
      </c>
      <c r="H1480" t="s">
        <v>29</v>
      </c>
      <c r="I1480" t="s">
        <v>47</v>
      </c>
      <c r="J1480">
        <v>5</v>
      </c>
      <c r="K1480">
        <v>6800</v>
      </c>
      <c r="L1480">
        <v>0.15</v>
      </c>
      <c r="M1480">
        <v>28900</v>
      </c>
      <c r="N1480">
        <v>23500</v>
      </c>
      <c r="O1480">
        <v>5400</v>
      </c>
    </row>
    <row r="1481" spans="1:15" x14ac:dyDescent="0.25">
      <c r="A1481" t="s">
        <v>2506</v>
      </c>
      <c r="B1481" s="2">
        <v>47137</v>
      </c>
      <c r="C1481" t="s">
        <v>1071</v>
      </c>
      <c r="D1481" t="s">
        <v>1072</v>
      </c>
      <c r="E1481" t="s">
        <v>26</v>
      </c>
      <c r="F1481" t="s">
        <v>34</v>
      </c>
      <c r="G1481" t="s">
        <v>51</v>
      </c>
      <c r="H1481" t="s">
        <v>21</v>
      </c>
      <c r="I1481" t="s">
        <v>72</v>
      </c>
      <c r="J1481">
        <v>2</v>
      </c>
      <c r="K1481">
        <v>1800</v>
      </c>
      <c r="L1481">
        <v>0.25</v>
      </c>
      <c r="M1481">
        <v>2700</v>
      </c>
      <c r="N1481">
        <v>2200</v>
      </c>
      <c r="O1481">
        <v>500</v>
      </c>
    </row>
    <row r="1482" spans="1:15" x14ac:dyDescent="0.25">
      <c r="A1482" t="s">
        <v>2507</v>
      </c>
      <c r="B1482" s="2">
        <v>47138</v>
      </c>
      <c r="C1482" t="s">
        <v>494</v>
      </c>
      <c r="D1482" t="s">
        <v>495</v>
      </c>
      <c r="E1482" t="s">
        <v>18</v>
      </c>
      <c r="F1482" t="s">
        <v>115</v>
      </c>
      <c r="G1482" t="s">
        <v>28</v>
      </c>
      <c r="H1482" t="s">
        <v>63</v>
      </c>
      <c r="I1482" t="s">
        <v>64</v>
      </c>
      <c r="J1482">
        <v>4</v>
      </c>
      <c r="K1482">
        <v>2400</v>
      </c>
      <c r="L1482">
        <v>0</v>
      </c>
      <c r="M1482">
        <v>9600</v>
      </c>
      <c r="N1482">
        <v>6600</v>
      </c>
      <c r="O1482">
        <v>3000</v>
      </c>
    </row>
    <row r="1483" spans="1:15" x14ac:dyDescent="0.25">
      <c r="A1483" t="s">
        <v>2508</v>
      </c>
      <c r="B1483" s="2">
        <v>47139</v>
      </c>
      <c r="C1483" t="s">
        <v>186</v>
      </c>
      <c r="D1483" t="s">
        <v>187</v>
      </c>
      <c r="E1483" t="s">
        <v>26</v>
      </c>
      <c r="F1483" t="s">
        <v>34</v>
      </c>
      <c r="G1483" t="s">
        <v>20</v>
      </c>
      <c r="H1483" t="s">
        <v>84</v>
      </c>
      <c r="I1483" t="s">
        <v>210</v>
      </c>
      <c r="J1483">
        <v>5</v>
      </c>
      <c r="K1483">
        <v>300</v>
      </c>
      <c r="L1483">
        <v>0</v>
      </c>
      <c r="M1483">
        <v>1500</v>
      </c>
      <c r="N1483">
        <v>850</v>
      </c>
      <c r="O1483">
        <v>650</v>
      </c>
    </row>
    <row r="1484" spans="1:15" x14ac:dyDescent="0.25">
      <c r="A1484" t="s">
        <v>2509</v>
      </c>
      <c r="B1484" s="2">
        <v>47140</v>
      </c>
      <c r="C1484" t="s">
        <v>1349</v>
      </c>
      <c r="D1484" t="s">
        <v>1350</v>
      </c>
      <c r="E1484" t="s">
        <v>39</v>
      </c>
      <c r="F1484" t="s">
        <v>124</v>
      </c>
      <c r="G1484" t="s">
        <v>20</v>
      </c>
      <c r="H1484" t="s">
        <v>21</v>
      </c>
      <c r="I1484" t="s">
        <v>22</v>
      </c>
      <c r="J1484">
        <v>4</v>
      </c>
      <c r="K1484">
        <v>650</v>
      </c>
      <c r="L1484">
        <v>0</v>
      </c>
      <c r="M1484">
        <v>2600</v>
      </c>
      <c r="N1484">
        <v>1560</v>
      </c>
      <c r="O1484">
        <v>1040</v>
      </c>
    </row>
    <row r="1485" spans="1:15" x14ac:dyDescent="0.25">
      <c r="A1485" t="s">
        <v>2510</v>
      </c>
      <c r="B1485" s="2">
        <v>47141</v>
      </c>
      <c r="C1485" t="s">
        <v>1413</v>
      </c>
      <c r="D1485" t="s">
        <v>1414</v>
      </c>
      <c r="E1485" t="s">
        <v>39</v>
      </c>
      <c r="F1485" t="s">
        <v>124</v>
      </c>
      <c r="G1485" t="s">
        <v>20</v>
      </c>
      <c r="H1485" t="s">
        <v>21</v>
      </c>
      <c r="I1485" t="s">
        <v>22</v>
      </c>
      <c r="J1485">
        <v>1</v>
      </c>
      <c r="K1485">
        <v>650</v>
      </c>
      <c r="L1485">
        <v>0.05</v>
      </c>
      <c r="M1485">
        <v>617.5</v>
      </c>
      <c r="N1485">
        <v>390</v>
      </c>
      <c r="O1485">
        <v>227.5</v>
      </c>
    </row>
    <row r="1486" spans="1:15" x14ac:dyDescent="0.25">
      <c r="A1486" t="s">
        <v>2511</v>
      </c>
      <c r="B1486" s="2">
        <v>47142</v>
      </c>
      <c r="C1486" t="s">
        <v>216</v>
      </c>
      <c r="D1486" t="s">
        <v>217</v>
      </c>
      <c r="E1486" t="s">
        <v>96</v>
      </c>
      <c r="F1486" t="s">
        <v>200</v>
      </c>
      <c r="G1486" t="s">
        <v>20</v>
      </c>
      <c r="H1486" t="s">
        <v>84</v>
      </c>
      <c r="I1486" t="s">
        <v>210</v>
      </c>
      <c r="J1486">
        <v>5</v>
      </c>
      <c r="K1486">
        <v>300</v>
      </c>
      <c r="L1486">
        <v>0.25</v>
      </c>
      <c r="M1486">
        <v>1125</v>
      </c>
      <c r="N1486">
        <v>850</v>
      </c>
      <c r="O1486">
        <v>275</v>
      </c>
    </row>
    <row r="1487" spans="1:15" x14ac:dyDescent="0.25">
      <c r="A1487" t="s">
        <v>2512</v>
      </c>
      <c r="B1487" s="2">
        <v>47143</v>
      </c>
      <c r="C1487" t="s">
        <v>229</v>
      </c>
      <c r="D1487" t="s">
        <v>230</v>
      </c>
      <c r="E1487" t="s">
        <v>26</v>
      </c>
      <c r="F1487" t="s">
        <v>128</v>
      </c>
      <c r="G1487" t="s">
        <v>57</v>
      </c>
      <c r="H1487" t="s">
        <v>58</v>
      </c>
      <c r="I1487" t="s">
        <v>129</v>
      </c>
      <c r="J1487">
        <v>2</v>
      </c>
      <c r="K1487">
        <v>4800</v>
      </c>
      <c r="L1487">
        <v>0.2</v>
      </c>
      <c r="M1487">
        <v>7680</v>
      </c>
      <c r="N1487">
        <v>6600</v>
      </c>
      <c r="O1487">
        <v>1080</v>
      </c>
    </row>
    <row r="1488" spans="1:15" x14ac:dyDescent="0.25">
      <c r="A1488" t="s">
        <v>2513</v>
      </c>
      <c r="B1488" s="2">
        <v>47144</v>
      </c>
      <c r="C1488" t="s">
        <v>102</v>
      </c>
      <c r="D1488" t="s">
        <v>103</v>
      </c>
      <c r="E1488" t="s">
        <v>39</v>
      </c>
      <c r="F1488" t="s">
        <v>76</v>
      </c>
      <c r="G1488" t="s">
        <v>51</v>
      </c>
      <c r="H1488" t="s">
        <v>21</v>
      </c>
      <c r="I1488" t="s">
        <v>72</v>
      </c>
      <c r="J1488">
        <v>1</v>
      </c>
      <c r="K1488">
        <v>1800</v>
      </c>
      <c r="L1488">
        <v>0.2</v>
      </c>
      <c r="M1488">
        <v>1440</v>
      </c>
      <c r="N1488">
        <v>1100</v>
      </c>
      <c r="O1488">
        <v>340</v>
      </c>
    </row>
    <row r="1489" spans="1:15" x14ac:dyDescent="0.25">
      <c r="A1489" t="s">
        <v>2514</v>
      </c>
      <c r="B1489" s="2">
        <v>47145</v>
      </c>
      <c r="C1489" t="s">
        <v>478</v>
      </c>
      <c r="D1489" t="s">
        <v>479</v>
      </c>
      <c r="E1489" t="s">
        <v>96</v>
      </c>
      <c r="F1489" t="s">
        <v>120</v>
      </c>
      <c r="G1489" t="s">
        <v>57</v>
      </c>
      <c r="H1489" t="s">
        <v>104</v>
      </c>
      <c r="I1489" t="s">
        <v>105</v>
      </c>
      <c r="J1489">
        <v>4</v>
      </c>
      <c r="K1489">
        <v>7500</v>
      </c>
      <c r="L1489">
        <v>0.15</v>
      </c>
      <c r="M1489">
        <v>25500</v>
      </c>
      <c r="N1489">
        <v>20800</v>
      </c>
      <c r="O1489">
        <v>4700</v>
      </c>
    </row>
    <row r="1490" spans="1:15" x14ac:dyDescent="0.25">
      <c r="A1490" t="s">
        <v>2515</v>
      </c>
      <c r="B1490" s="2">
        <v>47146</v>
      </c>
      <c r="C1490" t="s">
        <v>570</v>
      </c>
      <c r="D1490" t="s">
        <v>571</v>
      </c>
      <c r="E1490" t="s">
        <v>96</v>
      </c>
      <c r="F1490" t="s">
        <v>200</v>
      </c>
      <c r="G1490" t="s">
        <v>20</v>
      </c>
      <c r="H1490" t="s">
        <v>84</v>
      </c>
      <c r="I1490" t="s">
        <v>85</v>
      </c>
      <c r="J1490">
        <v>2</v>
      </c>
      <c r="K1490">
        <v>280</v>
      </c>
      <c r="L1490">
        <v>0.05</v>
      </c>
      <c r="M1490">
        <v>532</v>
      </c>
      <c r="N1490">
        <v>320</v>
      </c>
      <c r="O1490">
        <v>212</v>
      </c>
    </row>
    <row r="1491" spans="1:15" x14ac:dyDescent="0.25">
      <c r="A1491" t="s">
        <v>2516</v>
      </c>
      <c r="B1491" s="2">
        <v>47147</v>
      </c>
      <c r="C1491" t="s">
        <v>327</v>
      </c>
      <c r="D1491" t="s">
        <v>328</v>
      </c>
      <c r="E1491" t="s">
        <v>26</v>
      </c>
      <c r="F1491" t="s">
        <v>34</v>
      </c>
      <c r="G1491" t="s">
        <v>51</v>
      </c>
      <c r="H1491" t="s">
        <v>52</v>
      </c>
      <c r="I1491" t="s">
        <v>208</v>
      </c>
      <c r="J1491">
        <v>3</v>
      </c>
      <c r="K1491">
        <v>2800</v>
      </c>
      <c r="L1491">
        <v>0.25</v>
      </c>
      <c r="M1491">
        <v>6300</v>
      </c>
      <c r="N1491">
        <v>5400</v>
      </c>
      <c r="O1491">
        <v>900</v>
      </c>
    </row>
    <row r="1492" spans="1:15" x14ac:dyDescent="0.25">
      <c r="A1492" t="s">
        <v>2517</v>
      </c>
      <c r="B1492" s="2">
        <v>47148</v>
      </c>
      <c r="C1492" t="s">
        <v>2518</v>
      </c>
      <c r="D1492" t="s">
        <v>2519</v>
      </c>
      <c r="E1492" t="s">
        <v>39</v>
      </c>
      <c r="F1492" t="s">
        <v>76</v>
      </c>
      <c r="G1492" t="s">
        <v>57</v>
      </c>
      <c r="H1492" t="s">
        <v>58</v>
      </c>
      <c r="I1492" t="s">
        <v>129</v>
      </c>
      <c r="J1492">
        <v>4</v>
      </c>
      <c r="K1492">
        <v>4800</v>
      </c>
      <c r="L1492">
        <v>0.05</v>
      </c>
      <c r="M1492">
        <v>18240</v>
      </c>
      <c r="N1492">
        <v>13200</v>
      </c>
      <c r="O1492">
        <v>5040</v>
      </c>
    </row>
    <row r="1493" spans="1:15" x14ac:dyDescent="0.25">
      <c r="A1493" t="s">
        <v>2520</v>
      </c>
      <c r="B1493" s="2">
        <v>47149</v>
      </c>
      <c r="C1493" t="s">
        <v>1538</v>
      </c>
      <c r="D1493" t="s">
        <v>1539</v>
      </c>
      <c r="E1493" t="s">
        <v>39</v>
      </c>
      <c r="F1493" t="s">
        <v>71</v>
      </c>
      <c r="G1493" t="s">
        <v>51</v>
      </c>
      <c r="H1493" t="s">
        <v>89</v>
      </c>
      <c r="I1493" t="s">
        <v>90</v>
      </c>
      <c r="J1493">
        <v>4</v>
      </c>
      <c r="K1493">
        <v>10500</v>
      </c>
      <c r="L1493">
        <v>0.05</v>
      </c>
      <c r="M1493">
        <v>39900</v>
      </c>
      <c r="N1493">
        <v>30400</v>
      </c>
      <c r="O1493">
        <v>9500</v>
      </c>
    </row>
    <row r="1494" spans="1:15" x14ac:dyDescent="0.25">
      <c r="A1494" t="s">
        <v>2521</v>
      </c>
      <c r="B1494" s="2">
        <v>47150</v>
      </c>
      <c r="C1494" t="s">
        <v>2167</v>
      </c>
      <c r="D1494" t="s">
        <v>2168</v>
      </c>
      <c r="E1494" t="s">
        <v>39</v>
      </c>
      <c r="F1494" t="s">
        <v>71</v>
      </c>
      <c r="G1494" t="s">
        <v>28</v>
      </c>
      <c r="H1494" t="s">
        <v>29</v>
      </c>
      <c r="I1494" t="s">
        <v>35</v>
      </c>
      <c r="J1494">
        <v>2</v>
      </c>
      <c r="K1494">
        <v>4200</v>
      </c>
      <c r="L1494">
        <v>0</v>
      </c>
      <c r="M1494">
        <v>8400</v>
      </c>
      <c r="N1494">
        <v>5800</v>
      </c>
      <c r="O1494">
        <v>2600</v>
      </c>
    </row>
    <row r="1495" spans="1:15" x14ac:dyDescent="0.25">
      <c r="A1495" t="s">
        <v>2522</v>
      </c>
      <c r="B1495" s="2">
        <v>47151</v>
      </c>
      <c r="C1495" t="s">
        <v>1629</v>
      </c>
      <c r="D1495" t="s">
        <v>1630</v>
      </c>
      <c r="E1495" t="s">
        <v>39</v>
      </c>
      <c r="F1495" t="s">
        <v>40</v>
      </c>
      <c r="G1495" t="s">
        <v>28</v>
      </c>
      <c r="H1495" t="s">
        <v>29</v>
      </c>
      <c r="I1495" t="s">
        <v>30</v>
      </c>
      <c r="J1495">
        <v>4</v>
      </c>
      <c r="K1495">
        <v>1900</v>
      </c>
      <c r="L1495">
        <v>0.1</v>
      </c>
      <c r="M1495">
        <v>6840</v>
      </c>
      <c r="N1495">
        <v>5000</v>
      </c>
      <c r="O1495">
        <v>1840</v>
      </c>
    </row>
    <row r="1496" spans="1:15" x14ac:dyDescent="0.25">
      <c r="A1496" t="s">
        <v>2523</v>
      </c>
      <c r="B1496" s="2">
        <v>47152</v>
      </c>
      <c r="C1496" t="s">
        <v>1616</v>
      </c>
      <c r="D1496" t="s">
        <v>1617</v>
      </c>
      <c r="E1496" t="s">
        <v>18</v>
      </c>
      <c r="F1496" t="s">
        <v>19</v>
      </c>
      <c r="G1496" t="s">
        <v>57</v>
      </c>
      <c r="H1496" t="s">
        <v>104</v>
      </c>
      <c r="I1496" t="s">
        <v>105</v>
      </c>
      <c r="J1496">
        <v>2</v>
      </c>
      <c r="K1496">
        <v>7500</v>
      </c>
      <c r="L1496">
        <v>0.25</v>
      </c>
      <c r="M1496">
        <v>11250</v>
      </c>
      <c r="N1496">
        <v>10400</v>
      </c>
      <c r="O1496">
        <v>850</v>
      </c>
    </row>
    <row r="1497" spans="1:15" x14ac:dyDescent="0.25">
      <c r="A1497" t="s">
        <v>2524</v>
      </c>
      <c r="B1497" s="2">
        <v>47153</v>
      </c>
      <c r="C1497" t="s">
        <v>562</v>
      </c>
      <c r="D1497" t="s">
        <v>563</v>
      </c>
      <c r="E1497" t="s">
        <v>18</v>
      </c>
      <c r="F1497" t="s">
        <v>227</v>
      </c>
      <c r="G1497" t="s">
        <v>51</v>
      </c>
      <c r="H1497" t="s">
        <v>52</v>
      </c>
      <c r="I1497" t="s">
        <v>53</v>
      </c>
      <c r="J1497">
        <v>1</v>
      </c>
      <c r="K1497">
        <v>2200</v>
      </c>
      <c r="L1497">
        <v>0</v>
      </c>
      <c r="M1497">
        <v>2200</v>
      </c>
      <c r="N1497">
        <v>1450</v>
      </c>
      <c r="O1497">
        <v>750</v>
      </c>
    </row>
    <row r="1498" spans="1:15" x14ac:dyDescent="0.25">
      <c r="A1498" t="s">
        <v>2525</v>
      </c>
      <c r="B1498" s="2">
        <v>47154</v>
      </c>
      <c r="C1498" t="s">
        <v>152</v>
      </c>
      <c r="D1498" t="s">
        <v>153</v>
      </c>
      <c r="E1498" t="s">
        <v>26</v>
      </c>
      <c r="F1498" t="s">
        <v>128</v>
      </c>
      <c r="G1498" t="s">
        <v>51</v>
      </c>
      <c r="H1498" t="s">
        <v>52</v>
      </c>
      <c r="I1498" t="s">
        <v>53</v>
      </c>
      <c r="J1498">
        <v>5</v>
      </c>
      <c r="K1498">
        <v>2200</v>
      </c>
      <c r="L1498">
        <v>0.05</v>
      </c>
      <c r="M1498">
        <v>10450</v>
      </c>
      <c r="N1498">
        <v>7250</v>
      </c>
      <c r="O1498">
        <v>3200</v>
      </c>
    </row>
    <row r="1499" spans="1:15" x14ac:dyDescent="0.25">
      <c r="A1499" t="s">
        <v>2526</v>
      </c>
      <c r="B1499" s="2">
        <v>47155</v>
      </c>
      <c r="C1499" t="s">
        <v>1889</v>
      </c>
      <c r="D1499" t="s">
        <v>1890</v>
      </c>
      <c r="E1499" t="s">
        <v>18</v>
      </c>
      <c r="F1499" t="s">
        <v>115</v>
      </c>
      <c r="G1499" t="s">
        <v>28</v>
      </c>
      <c r="H1499" t="s">
        <v>63</v>
      </c>
      <c r="I1499" t="s">
        <v>64</v>
      </c>
      <c r="J1499">
        <v>2</v>
      </c>
      <c r="K1499">
        <v>2400</v>
      </c>
      <c r="L1499">
        <v>0.2</v>
      </c>
      <c r="M1499">
        <v>3840</v>
      </c>
      <c r="N1499">
        <v>3300</v>
      </c>
      <c r="O1499">
        <v>540</v>
      </c>
    </row>
    <row r="1500" spans="1:15" x14ac:dyDescent="0.25">
      <c r="A1500" t="s">
        <v>2527</v>
      </c>
      <c r="B1500" s="2">
        <v>47156</v>
      </c>
      <c r="C1500" t="s">
        <v>61</v>
      </c>
      <c r="D1500" t="s">
        <v>62</v>
      </c>
      <c r="E1500" t="s">
        <v>39</v>
      </c>
      <c r="F1500" t="s">
        <v>76</v>
      </c>
      <c r="G1500" t="s">
        <v>57</v>
      </c>
      <c r="H1500" t="s">
        <v>58</v>
      </c>
      <c r="I1500" t="s">
        <v>129</v>
      </c>
      <c r="J1500">
        <v>1</v>
      </c>
      <c r="K1500">
        <v>4800</v>
      </c>
      <c r="L1500">
        <v>0.15</v>
      </c>
      <c r="M1500">
        <v>4080</v>
      </c>
      <c r="N1500">
        <v>3300</v>
      </c>
      <c r="O1500">
        <v>780</v>
      </c>
    </row>
    <row r="1501" spans="1:15" x14ac:dyDescent="0.25">
      <c r="A1501" t="s">
        <v>2528</v>
      </c>
      <c r="B1501" s="2">
        <v>47157</v>
      </c>
      <c r="C1501" t="s">
        <v>1323</v>
      </c>
      <c r="D1501" t="s">
        <v>1324</v>
      </c>
      <c r="E1501" t="s">
        <v>26</v>
      </c>
      <c r="F1501" t="s">
        <v>128</v>
      </c>
      <c r="G1501" t="s">
        <v>20</v>
      </c>
      <c r="H1501" t="s">
        <v>21</v>
      </c>
      <c r="I1501" t="s">
        <v>22</v>
      </c>
      <c r="J1501">
        <v>2</v>
      </c>
      <c r="K1501">
        <v>650</v>
      </c>
      <c r="L1501">
        <v>0.05</v>
      </c>
      <c r="M1501">
        <v>1235</v>
      </c>
      <c r="N1501">
        <v>780</v>
      </c>
      <c r="O1501">
        <v>455</v>
      </c>
    </row>
    <row r="1502" spans="1:15" x14ac:dyDescent="0.25">
      <c r="A1502" t="s">
        <v>2529</v>
      </c>
      <c r="B1502" s="2">
        <v>47158</v>
      </c>
      <c r="C1502" t="s">
        <v>2022</v>
      </c>
      <c r="D1502" t="s">
        <v>2023</v>
      </c>
      <c r="E1502" t="s">
        <v>26</v>
      </c>
      <c r="F1502" t="s">
        <v>204</v>
      </c>
      <c r="G1502" t="s">
        <v>28</v>
      </c>
      <c r="H1502" t="s">
        <v>63</v>
      </c>
      <c r="I1502" t="s">
        <v>64</v>
      </c>
      <c r="J1502">
        <v>4</v>
      </c>
      <c r="K1502">
        <v>2400</v>
      </c>
      <c r="L1502">
        <v>0</v>
      </c>
      <c r="M1502">
        <v>9600</v>
      </c>
      <c r="N1502">
        <v>6600</v>
      </c>
      <c r="O1502">
        <v>3000</v>
      </c>
    </row>
    <row r="1503" spans="1:15" x14ac:dyDescent="0.25">
      <c r="A1503" t="s">
        <v>2530</v>
      </c>
      <c r="B1503" s="2">
        <v>47159</v>
      </c>
      <c r="C1503" t="s">
        <v>1836</v>
      </c>
      <c r="D1503" t="s">
        <v>1837</v>
      </c>
      <c r="E1503" t="s">
        <v>18</v>
      </c>
      <c r="F1503" t="s">
        <v>227</v>
      </c>
      <c r="G1503" t="s">
        <v>20</v>
      </c>
      <c r="H1503" t="s">
        <v>41</v>
      </c>
      <c r="I1503" t="s">
        <v>42</v>
      </c>
      <c r="J1503">
        <v>5</v>
      </c>
      <c r="K1503">
        <v>520</v>
      </c>
      <c r="L1503">
        <v>0.05</v>
      </c>
      <c r="M1503">
        <v>2470</v>
      </c>
      <c r="N1503">
        <v>1650</v>
      </c>
      <c r="O1503">
        <v>820</v>
      </c>
    </row>
    <row r="1504" spans="1:15" x14ac:dyDescent="0.25">
      <c r="A1504" t="s">
        <v>2531</v>
      </c>
      <c r="B1504" s="2">
        <v>47160</v>
      </c>
      <c r="C1504" t="s">
        <v>360</v>
      </c>
      <c r="D1504" t="s">
        <v>361</v>
      </c>
      <c r="E1504" t="s">
        <v>26</v>
      </c>
      <c r="F1504" t="s">
        <v>34</v>
      </c>
      <c r="G1504" t="s">
        <v>51</v>
      </c>
      <c r="H1504" t="s">
        <v>52</v>
      </c>
      <c r="I1504" t="s">
        <v>208</v>
      </c>
      <c r="J1504">
        <v>4</v>
      </c>
      <c r="K1504">
        <v>2800</v>
      </c>
      <c r="L1504">
        <v>0.25</v>
      </c>
      <c r="M1504">
        <v>8400</v>
      </c>
      <c r="N1504">
        <v>7200</v>
      </c>
      <c r="O1504">
        <v>1200</v>
      </c>
    </row>
    <row r="1505" spans="1:15" x14ac:dyDescent="0.25">
      <c r="A1505" t="s">
        <v>2532</v>
      </c>
      <c r="B1505" s="2">
        <v>47161</v>
      </c>
      <c r="C1505" t="s">
        <v>143</v>
      </c>
      <c r="D1505" t="s">
        <v>144</v>
      </c>
      <c r="E1505" t="s">
        <v>39</v>
      </c>
      <c r="F1505" t="s">
        <v>71</v>
      </c>
      <c r="G1505" t="s">
        <v>57</v>
      </c>
      <c r="H1505" t="s">
        <v>104</v>
      </c>
      <c r="I1505" t="s">
        <v>105</v>
      </c>
      <c r="J1505">
        <v>5</v>
      </c>
      <c r="K1505">
        <v>7500</v>
      </c>
      <c r="L1505">
        <v>0.1</v>
      </c>
      <c r="M1505">
        <v>33750</v>
      </c>
      <c r="N1505">
        <v>26000</v>
      </c>
      <c r="O1505">
        <v>7750</v>
      </c>
    </row>
    <row r="1506" spans="1:15" x14ac:dyDescent="0.25">
      <c r="A1506" t="s">
        <v>2533</v>
      </c>
      <c r="B1506" s="2">
        <v>47162</v>
      </c>
      <c r="C1506" t="s">
        <v>1413</v>
      </c>
      <c r="D1506" t="s">
        <v>1414</v>
      </c>
      <c r="E1506" t="s">
        <v>26</v>
      </c>
      <c r="F1506" t="s">
        <v>27</v>
      </c>
      <c r="G1506" t="s">
        <v>57</v>
      </c>
      <c r="H1506" t="s">
        <v>104</v>
      </c>
      <c r="I1506" t="s">
        <v>105</v>
      </c>
      <c r="J1506">
        <v>4</v>
      </c>
      <c r="K1506">
        <v>7500</v>
      </c>
      <c r="L1506">
        <v>0.15</v>
      </c>
      <c r="M1506">
        <v>25500</v>
      </c>
      <c r="N1506">
        <v>20800</v>
      </c>
      <c r="O1506">
        <v>4700</v>
      </c>
    </row>
    <row r="1507" spans="1:15" x14ac:dyDescent="0.25">
      <c r="A1507" t="s">
        <v>2534</v>
      </c>
      <c r="B1507" s="2">
        <v>47163</v>
      </c>
      <c r="C1507" t="s">
        <v>1745</v>
      </c>
      <c r="D1507" t="s">
        <v>1746</v>
      </c>
      <c r="E1507" t="s">
        <v>39</v>
      </c>
      <c r="F1507" t="s">
        <v>76</v>
      </c>
      <c r="G1507" t="s">
        <v>20</v>
      </c>
      <c r="H1507" t="s">
        <v>84</v>
      </c>
      <c r="I1507" t="s">
        <v>210</v>
      </c>
      <c r="J1507">
        <v>1</v>
      </c>
      <c r="K1507">
        <v>300</v>
      </c>
      <c r="L1507">
        <v>0.15</v>
      </c>
      <c r="M1507">
        <v>255</v>
      </c>
      <c r="N1507">
        <v>170</v>
      </c>
      <c r="O1507">
        <v>85</v>
      </c>
    </row>
    <row r="1508" spans="1:15" x14ac:dyDescent="0.25">
      <c r="A1508" t="s">
        <v>2535</v>
      </c>
      <c r="B1508" s="2">
        <v>47164</v>
      </c>
      <c r="C1508" t="s">
        <v>905</v>
      </c>
      <c r="D1508" t="s">
        <v>906</v>
      </c>
      <c r="E1508" t="s">
        <v>39</v>
      </c>
      <c r="F1508" t="s">
        <v>71</v>
      </c>
      <c r="G1508" t="s">
        <v>20</v>
      </c>
      <c r="H1508" t="s">
        <v>84</v>
      </c>
      <c r="I1508" t="s">
        <v>85</v>
      </c>
      <c r="J1508">
        <v>1</v>
      </c>
      <c r="K1508">
        <v>280</v>
      </c>
      <c r="L1508">
        <v>0.2</v>
      </c>
      <c r="M1508">
        <v>224</v>
      </c>
      <c r="N1508">
        <v>160</v>
      </c>
      <c r="O1508">
        <v>64</v>
      </c>
    </row>
    <row r="1509" spans="1:15" x14ac:dyDescent="0.25">
      <c r="A1509" t="s">
        <v>2536</v>
      </c>
      <c r="B1509" s="2">
        <v>47165</v>
      </c>
      <c r="C1509" t="s">
        <v>876</v>
      </c>
      <c r="D1509" t="s">
        <v>877</v>
      </c>
      <c r="E1509" t="s">
        <v>18</v>
      </c>
      <c r="F1509" t="s">
        <v>19</v>
      </c>
      <c r="G1509" t="s">
        <v>51</v>
      </c>
      <c r="H1509" t="s">
        <v>21</v>
      </c>
      <c r="I1509" t="s">
        <v>80</v>
      </c>
      <c r="J1509">
        <v>4</v>
      </c>
      <c r="K1509">
        <v>850</v>
      </c>
      <c r="L1509">
        <v>0.1</v>
      </c>
      <c r="M1509">
        <v>3060</v>
      </c>
      <c r="N1509">
        <v>2240</v>
      </c>
      <c r="O1509">
        <v>820</v>
      </c>
    </row>
    <row r="1510" spans="1:15" x14ac:dyDescent="0.25">
      <c r="A1510" t="s">
        <v>2537</v>
      </c>
      <c r="B1510" s="2">
        <v>47166</v>
      </c>
      <c r="C1510" t="s">
        <v>1665</v>
      </c>
      <c r="D1510" t="s">
        <v>1666</v>
      </c>
      <c r="E1510" t="s">
        <v>18</v>
      </c>
      <c r="F1510" t="s">
        <v>227</v>
      </c>
      <c r="G1510" t="s">
        <v>20</v>
      </c>
      <c r="H1510" t="s">
        <v>41</v>
      </c>
      <c r="I1510" t="s">
        <v>42</v>
      </c>
      <c r="J1510">
        <v>5</v>
      </c>
      <c r="K1510">
        <v>520</v>
      </c>
      <c r="L1510">
        <v>0.15</v>
      </c>
      <c r="M1510">
        <v>2210</v>
      </c>
      <c r="N1510">
        <v>1650</v>
      </c>
      <c r="O1510">
        <v>560</v>
      </c>
    </row>
    <row r="1511" spans="1:15" x14ac:dyDescent="0.25">
      <c r="A1511" t="s">
        <v>2538</v>
      </c>
      <c r="B1511" s="2">
        <v>47167</v>
      </c>
      <c r="C1511" t="s">
        <v>298</v>
      </c>
      <c r="D1511" t="s">
        <v>299</v>
      </c>
      <c r="E1511" t="s">
        <v>96</v>
      </c>
      <c r="F1511" t="s">
        <v>120</v>
      </c>
      <c r="G1511" t="s">
        <v>51</v>
      </c>
      <c r="H1511" t="s">
        <v>21</v>
      </c>
      <c r="I1511" t="s">
        <v>72</v>
      </c>
      <c r="J1511">
        <v>1</v>
      </c>
      <c r="K1511">
        <v>1800</v>
      </c>
      <c r="L1511">
        <v>0.15</v>
      </c>
      <c r="M1511">
        <v>1530</v>
      </c>
      <c r="N1511">
        <v>1100</v>
      </c>
      <c r="O1511">
        <v>430</v>
      </c>
    </row>
    <row r="1512" spans="1:15" x14ac:dyDescent="0.25">
      <c r="A1512" t="s">
        <v>2539</v>
      </c>
      <c r="B1512" s="2">
        <v>47168</v>
      </c>
      <c r="C1512" t="s">
        <v>87</v>
      </c>
      <c r="D1512" t="s">
        <v>88</v>
      </c>
      <c r="E1512" t="s">
        <v>26</v>
      </c>
      <c r="F1512" t="s">
        <v>34</v>
      </c>
      <c r="G1512" t="s">
        <v>20</v>
      </c>
      <c r="H1512" t="s">
        <v>41</v>
      </c>
      <c r="I1512" t="s">
        <v>42</v>
      </c>
      <c r="J1512">
        <v>3</v>
      </c>
      <c r="K1512">
        <v>520</v>
      </c>
      <c r="L1512">
        <v>0.15</v>
      </c>
      <c r="M1512">
        <v>1326</v>
      </c>
      <c r="N1512">
        <v>990</v>
      </c>
      <c r="O1512">
        <v>336</v>
      </c>
    </row>
    <row r="1513" spans="1:15" x14ac:dyDescent="0.25">
      <c r="A1513" t="s">
        <v>2540</v>
      </c>
      <c r="B1513" s="2">
        <v>47169</v>
      </c>
      <c r="C1513" t="s">
        <v>1657</v>
      </c>
      <c r="D1513" t="s">
        <v>1658</v>
      </c>
      <c r="E1513" t="s">
        <v>39</v>
      </c>
      <c r="F1513" t="s">
        <v>71</v>
      </c>
      <c r="G1513" t="s">
        <v>51</v>
      </c>
      <c r="H1513" t="s">
        <v>52</v>
      </c>
      <c r="I1513" t="s">
        <v>53</v>
      </c>
      <c r="J1513">
        <v>4</v>
      </c>
      <c r="K1513">
        <v>2200</v>
      </c>
      <c r="L1513">
        <v>0.15</v>
      </c>
      <c r="M1513">
        <v>7480</v>
      </c>
      <c r="N1513">
        <v>5800</v>
      </c>
      <c r="O1513">
        <v>1680</v>
      </c>
    </row>
    <row r="1514" spans="1:15" x14ac:dyDescent="0.25">
      <c r="A1514" t="s">
        <v>2541</v>
      </c>
      <c r="B1514" s="2">
        <v>47170</v>
      </c>
      <c r="C1514" t="s">
        <v>553</v>
      </c>
      <c r="D1514" t="s">
        <v>554</v>
      </c>
      <c r="E1514" t="s">
        <v>96</v>
      </c>
      <c r="F1514" t="s">
        <v>196</v>
      </c>
      <c r="G1514" t="s">
        <v>20</v>
      </c>
      <c r="H1514" t="s">
        <v>21</v>
      </c>
      <c r="I1514" t="s">
        <v>22</v>
      </c>
      <c r="J1514">
        <v>1</v>
      </c>
      <c r="K1514">
        <v>650</v>
      </c>
      <c r="L1514">
        <v>0.1</v>
      </c>
      <c r="M1514">
        <v>585</v>
      </c>
      <c r="N1514">
        <v>390</v>
      </c>
      <c r="O1514">
        <v>195</v>
      </c>
    </row>
    <row r="1515" spans="1:15" x14ac:dyDescent="0.25">
      <c r="A1515" t="s">
        <v>2542</v>
      </c>
      <c r="B1515" s="2">
        <v>47171</v>
      </c>
      <c r="C1515" t="s">
        <v>2136</v>
      </c>
      <c r="D1515" t="s">
        <v>2137</v>
      </c>
      <c r="E1515" t="s">
        <v>96</v>
      </c>
      <c r="F1515" t="s">
        <v>120</v>
      </c>
      <c r="G1515" t="s">
        <v>51</v>
      </c>
      <c r="H1515" t="s">
        <v>21</v>
      </c>
      <c r="I1515" t="s">
        <v>80</v>
      </c>
      <c r="J1515">
        <v>5</v>
      </c>
      <c r="K1515">
        <v>850</v>
      </c>
      <c r="L1515">
        <v>0.2</v>
      </c>
      <c r="M1515">
        <v>3400</v>
      </c>
      <c r="N1515">
        <v>2800</v>
      </c>
      <c r="O1515">
        <v>600</v>
      </c>
    </row>
    <row r="1516" spans="1:15" x14ac:dyDescent="0.25">
      <c r="A1516" t="s">
        <v>2543</v>
      </c>
      <c r="B1516" s="2">
        <v>47172</v>
      </c>
      <c r="C1516" t="s">
        <v>387</v>
      </c>
      <c r="D1516" t="s">
        <v>388</v>
      </c>
      <c r="E1516" t="s">
        <v>96</v>
      </c>
      <c r="F1516" t="s">
        <v>196</v>
      </c>
      <c r="G1516" t="s">
        <v>20</v>
      </c>
      <c r="H1516" t="s">
        <v>84</v>
      </c>
      <c r="I1516" t="s">
        <v>210</v>
      </c>
      <c r="J1516">
        <v>3</v>
      </c>
      <c r="K1516">
        <v>300</v>
      </c>
      <c r="L1516">
        <v>0.05</v>
      </c>
      <c r="M1516">
        <v>855</v>
      </c>
      <c r="N1516">
        <v>510</v>
      </c>
      <c r="O1516">
        <v>345</v>
      </c>
    </row>
    <row r="1517" spans="1:15" x14ac:dyDescent="0.25">
      <c r="A1517" t="s">
        <v>2544</v>
      </c>
      <c r="B1517" s="2">
        <v>47173</v>
      </c>
      <c r="C1517" t="s">
        <v>633</v>
      </c>
      <c r="D1517" t="s">
        <v>634</v>
      </c>
      <c r="E1517" t="s">
        <v>96</v>
      </c>
      <c r="F1517" t="s">
        <v>120</v>
      </c>
      <c r="G1517" t="s">
        <v>20</v>
      </c>
      <c r="H1517" t="s">
        <v>21</v>
      </c>
      <c r="I1517" t="s">
        <v>22</v>
      </c>
      <c r="J1517">
        <v>5</v>
      </c>
      <c r="K1517">
        <v>650</v>
      </c>
      <c r="L1517">
        <v>0.05</v>
      </c>
      <c r="M1517">
        <v>3087.5</v>
      </c>
      <c r="N1517">
        <v>1950</v>
      </c>
      <c r="O1517">
        <v>1137.5</v>
      </c>
    </row>
    <row r="1518" spans="1:15" x14ac:dyDescent="0.25">
      <c r="A1518" t="s">
        <v>2545</v>
      </c>
      <c r="B1518" s="2">
        <v>47174</v>
      </c>
      <c r="C1518" t="s">
        <v>259</v>
      </c>
      <c r="D1518" t="s">
        <v>260</v>
      </c>
      <c r="E1518" t="s">
        <v>26</v>
      </c>
      <c r="F1518" t="s">
        <v>27</v>
      </c>
      <c r="G1518" t="s">
        <v>51</v>
      </c>
      <c r="H1518" t="s">
        <v>52</v>
      </c>
      <c r="I1518" t="s">
        <v>53</v>
      </c>
      <c r="J1518">
        <v>1</v>
      </c>
      <c r="K1518">
        <v>2200</v>
      </c>
      <c r="L1518">
        <v>0.05</v>
      </c>
      <c r="M1518">
        <v>2090</v>
      </c>
      <c r="N1518">
        <v>1450</v>
      </c>
      <c r="O1518">
        <v>640</v>
      </c>
    </row>
    <row r="1519" spans="1:15" x14ac:dyDescent="0.25">
      <c r="A1519" t="s">
        <v>2546</v>
      </c>
      <c r="B1519" s="2">
        <v>47175</v>
      </c>
      <c r="C1519" t="s">
        <v>1498</v>
      </c>
      <c r="D1519" t="s">
        <v>1499</v>
      </c>
      <c r="E1519" t="s">
        <v>96</v>
      </c>
      <c r="F1519" t="s">
        <v>120</v>
      </c>
      <c r="G1519" t="s">
        <v>20</v>
      </c>
      <c r="H1519" t="s">
        <v>84</v>
      </c>
      <c r="I1519" t="s">
        <v>169</v>
      </c>
      <c r="J1519">
        <v>4</v>
      </c>
      <c r="K1519">
        <v>450</v>
      </c>
      <c r="L1519">
        <v>0.1</v>
      </c>
      <c r="M1519">
        <v>1620</v>
      </c>
      <c r="N1519">
        <v>1040</v>
      </c>
      <c r="O1519">
        <v>580</v>
      </c>
    </row>
    <row r="1520" spans="1:15" x14ac:dyDescent="0.25">
      <c r="A1520" t="s">
        <v>2547</v>
      </c>
      <c r="B1520" s="2">
        <v>47176</v>
      </c>
      <c r="C1520" t="s">
        <v>2285</v>
      </c>
      <c r="D1520" t="s">
        <v>2286</v>
      </c>
      <c r="E1520" t="s">
        <v>26</v>
      </c>
      <c r="F1520" t="s">
        <v>204</v>
      </c>
      <c r="G1520" t="s">
        <v>28</v>
      </c>
      <c r="H1520" t="s">
        <v>29</v>
      </c>
      <c r="I1520" t="s">
        <v>47</v>
      </c>
      <c r="J1520">
        <v>4</v>
      </c>
      <c r="K1520">
        <v>6800</v>
      </c>
      <c r="L1520">
        <v>0.1</v>
      </c>
      <c r="M1520">
        <v>24480</v>
      </c>
      <c r="N1520">
        <v>18800</v>
      </c>
      <c r="O1520">
        <v>5680</v>
      </c>
    </row>
    <row r="1521" spans="1:15" x14ac:dyDescent="0.25">
      <c r="A1521" t="s">
        <v>2548</v>
      </c>
      <c r="B1521" s="2">
        <v>47177</v>
      </c>
      <c r="C1521" t="s">
        <v>1075</v>
      </c>
      <c r="D1521" t="s">
        <v>1076</v>
      </c>
      <c r="E1521" t="s">
        <v>26</v>
      </c>
      <c r="F1521" t="s">
        <v>204</v>
      </c>
      <c r="G1521" t="s">
        <v>20</v>
      </c>
      <c r="H1521" t="s">
        <v>21</v>
      </c>
      <c r="I1521" t="s">
        <v>22</v>
      </c>
      <c r="J1521">
        <v>4</v>
      </c>
      <c r="K1521">
        <v>650</v>
      </c>
      <c r="L1521">
        <v>0.15</v>
      </c>
      <c r="M1521">
        <v>2210</v>
      </c>
      <c r="N1521">
        <v>1560</v>
      </c>
      <c r="O1521">
        <v>650</v>
      </c>
    </row>
    <row r="1522" spans="1:15" x14ac:dyDescent="0.25">
      <c r="A1522" t="s">
        <v>2549</v>
      </c>
      <c r="B1522" s="2">
        <v>47178</v>
      </c>
      <c r="C1522" t="s">
        <v>222</v>
      </c>
      <c r="D1522" t="s">
        <v>223</v>
      </c>
      <c r="E1522" t="s">
        <v>26</v>
      </c>
      <c r="F1522" t="s">
        <v>204</v>
      </c>
      <c r="G1522" t="s">
        <v>51</v>
      </c>
      <c r="H1522" t="s">
        <v>52</v>
      </c>
      <c r="I1522" t="s">
        <v>208</v>
      </c>
      <c r="J1522">
        <v>5</v>
      </c>
      <c r="K1522">
        <v>2800</v>
      </c>
      <c r="L1522">
        <v>0</v>
      </c>
      <c r="M1522">
        <v>14000</v>
      </c>
      <c r="N1522">
        <v>9000</v>
      </c>
      <c r="O1522">
        <v>5000</v>
      </c>
    </row>
    <row r="1523" spans="1:15" x14ac:dyDescent="0.25">
      <c r="A1523" t="s">
        <v>2550</v>
      </c>
      <c r="B1523" s="2">
        <v>47179</v>
      </c>
      <c r="C1523" t="s">
        <v>244</v>
      </c>
      <c r="D1523" t="s">
        <v>245</v>
      </c>
      <c r="E1523" t="s">
        <v>39</v>
      </c>
      <c r="F1523" t="s">
        <v>40</v>
      </c>
      <c r="G1523" t="s">
        <v>51</v>
      </c>
      <c r="H1523" t="s">
        <v>21</v>
      </c>
      <c r="I1523" t="s">
        <v>80</v>
      </c>
      <c r="J1523">
        <v>1</v>
      </c>
      <c r="K1523">
        <v>850</v>
      </c>
      <c r="L1523">
        <v>0.15</v>
      </c>
      <c r="M1523">
        <v>722.5</v>
      </c>
      <c r="N1523">
        <v>560</v>
      </c>
      <c r="O1523">
        <v>162.5</v>
      </c>
    </row>
    <row r="1524" spans="1:15" x14ac:dyDescent="0.25">
      <c r="A1524" t="s">
        <v>2551</v>
      </c>
      <c r="B1524" s="2">
        <v>47180</v>
      </c>
      <c r="C1524" t="s">
        <v>198</v>
      </c>
      <c r="D1524" t="s">
        <v>199</v>
      </c>
      <c r="E1524" t="s">
        <v>26</v>
      </c>
      <c r="F1524" t="s">
        <v>34</v>
      </c>
      <c r="G1524" t="s">
        <v>51</v>
      </c>
      <c r="H1524" t="s">
        <v>21</v>
      </c>
      <c r="I1524" t="s">
        <v>72</v>
      </c>
      <c r="J1524">
        <v>1</v>
      </c>
      <c r="K1524">
        <v>1800</v>
      </c>
      <c r="L1524">
        <v>0</v>
      </c>
      <c r="M1524">
        <v>1800</v>
      </c>
      <c r="N1524">
        <v>1100</v>
      </c>
      <c r="O1524">
        <v>700</v>
      </c>
    </row>
    <row r="1525" spans="1:15" x14ac:dyDescent="0.25">
      <c r="A1525" t="s">
        <v>2552</v>
      </c>
      <c r="B1525" s="2">
        <v>47181</v>
      </c>
      <c r="C1525" t="s">
        <v>2292</v>
      </c>
      <c r="D1525" t="s">
        <v>2293</v>
      </c>
      <c r="E1525" t="s">
        <v>26</v>
      </c>
      <c r="F1525" t="s">
        <v>46</v>
      </c>
      <c r="G1525" t="s">
        <v>51</v>
      </c>
      <c r="H1525" t="s">
        <v>21</v>
      </c>
      <c r="I1525" t="s">
        <v>116</v>
      </c>
      <c r="J1525">
        <v>5</v>
      </c>
      <c r="K1525">
        <v>1400</v>
      </c>
      <c r="L1525">
        <v>0</v>
      </c>
      <c r="M1525">
        <v>7000</v>
      </c>
      <c r="N1525">
        <v>4500</v>
      </c>
      <c r="O1525">
        <v>2500</v>
      </c>
    </row>
    <row r="1526" spans="1:15" x14ac:dyDescent="0.25">
      <c r="A1526" t="s">
        <v>2553</v>
      </c>
      <c r="B1526" s="2">
        <v>47182</v>
      </c>
      <c r="C1526" t="s">
        <v>986</v>
      </c>
      <c r="D1526" t="s">
        <v>987</v>
      </c>
      <c r="E1526" t="s">
        <v>39</v>
      </c>
      <c r="F1526" t="s">
        <v>71</v>
      </c>
      <c r="G1526" t="s">
        <v>57</v>
      </c>
      <c r="H1526" t="s">
        <v>104</v>
      </c>
      <c r="I1526" t="s">
        <v>105</v>
      </c>
      <c r="J1526">
        <v>4</v>
      </c>
      <c r="K1526">
        <v>7500</v>
      </c>
      <c r="L1526">
        <v>0.2</v>
      </c>
      <c r="M1526">
        <v>24000</v>
      </c>
      <c r="N1526">
        <v>20800</v>
      </c>
      <c r="O1526">
        <v>3200</v>
      </c>
    </row>
    <row r="1527" spans="1:15" x14ac:dyDescent="0.25">
      <c r="A1527" t="s">
        <v>2554</v>
      </c>
      <c r="B1527" s="2">
        <v>47183</v>
      </c>
      <c r="C1527" t="s">
        <v>353</v>
      </c>
      <c r="D1527" t="s">
        <v>354</v>
      </c>
      <c r="E1527" t="s">
        <v>96</v>
      </c>
      <c r="F1527" t="s">
        <v>97</v>
      </c>
      <c r="G1527" t="s">
        <v>20</v>
      </c>
      <c r="H1527" t="s">
        <v>41</v>
      </c>
      <c r="I1527" t="s">
        <v>42</v>
      </c>
      <c r="J1527">
        <v>1</v>
      </c>
      <c r="K1527">
        <v>520</v>
      </c>
      <c r="L1527">
        <v>0.15</v>
      </c>
      <c r="M1527">
        <v>442</v>
      </c>
      <c r="N1527">
        <v>330</v>
      </c>
      <c r="O1527">
        <v>112</v>
      </c>
    </row>
    <row r="1528" spans="1:15" x14ac:dyDescent="0.25">
      <c r="A1528" t="s">
        <v>2555</v>
      </c>
      <c r="B1528" s="2">
        <v>47184</v>
      </c>
      <c r="C1528" t="s">
        <v>909</v>
      </c>
      <c r="D1528" t="s">
        <v>910</v>
      </c>
      <c r="E1528" t="s">
        <v>39</v>
      </c>
      <c r="F1528" t="s">
        <v>124</v>
      </c>
      <c r="G1528" t="s">
        <v>51</v>
      </c>
      <c r="H1528" t="s">
        <v>21</v>
      </c>
      <c r="I1528" t="s">
        <v>116</v>
      </c>
      <c r="J1528">
        <v>4</v>
      </c>
      <c r="K1528">
        <v>1400</v>
      </c>
      <c r="L1528">
        <v>0.1</v>
      </c>
      <c r="M1528">
        <v>5040</v>
      </c>
      <c r="N1528">
        <v>3600</v>
      </c>
      <c r="O1528">
        <v>1440</v>
      </c>
    </row>
    <row r="1529" spans="1:15" x14ac:dyDescent="0.25">
      <c r="A1529" t="s">
        <v>2556</v>
      </c>
      <c r="B1529" s="2">
        <v>47185</v>
      </c>
      <c r="C1529" t="s">
        <v>1354</v>
      </c>
      <c r="D1529" t="s">
        <v>1355</v>
      </c>
      <c r="E1529" t="s">
        <v>26</v>
      </c>
      <c r="F1529" t="s">
        <v>46</v>
      </c>
      <c r="G1529" t="s">
        <v>51</v>
      </c>
      <c r="H1529" t="s">
        <v>21</v>
      </c>
      <c r="I1529" t="s">
        <v>72</v>
      </c>
      <c r="J1529">
        <v>1</v>
      </c>
      <c r="K1529">
        <v>1800</v>
      </c>
      <c r="L1529">
        <v>0</v>
      </c>
      <c r="M1529">
        <v>1800</v>
      </c>
      <c r="N1529">
        <v>1100</v>
      </c>
      <c r="O1529">
        <v>700</v>
      </c>
    </row>
    <row r="1530" spans="1:15" x14ac:dyDescent="0.25">
      <c r="A1530" t="s">
        <v>2557</v>
      </c>
      <c r="B1530" s="2">
        <v>47186</v>
      </c>
      <c r="C1530" t="s">
        <v>1762</v>
      </c>
      <c r="D1530" t="s">
        <v>1763</v>
      </c>
      <c r="E1530" t="s">
        <v>96</v>
      </c>
      <c r="F1530" t="s">
        <v>200</v>
      </c>
      <c r="G1530" t="s">
        <v>57</v>
      </c>
      <c r="H1530" t="s">
        <v>188</v>
      </c>
      <c r="I1530" t="s">
        <v>189</v>
      </c>
      <c r="J1530">
        <v>5</v>
      </c>
      <c r="K1530">
        <v>6200</v>
      </c>
      <c r="L1530">
        <v>0.2</v>
      </c>
      <c r="M1530">
        <v>24800</v>
      </c>
      <c r="N1530">
        <v>21500</v>
      </c>
      <c r="O1530">
        <v>3300</v>
      </c>
    </row>
    <row r="1531" spans="1:15" x14ac:dyDescent="0.25">
      <c r="A1531" t="s">
        <v>2558</v>
      </c>
      <c r="B1531" s="2">
        <v>47187</v>
      </c>
      <c r="C1531" t="s">
        <v>308</v>
      </c>
      <c r="D1531" t="s">
        <v>309</v>
      </c>
      <c r="E1531" t="s">
        <v>39</v>
      </c>
      <c r="F1531" t="s">
        <v>76</v>
      </c>
      <c r="G1531" t="s">
        <v>51</v>
      </c>
      <c r="H1531" t="s">
        <v>21</v>
      </c>
      <c r="I1531" t="s">
        <v>80</v>
      </c>
      <c r="J1531">
        <v>5</v>
      </c>
      <c r="K1531">
        <v>850</v>
      </c>
      <c r="L1531">
        <v>0.15</v>
      </c>
      <c r="M1531">
        <v>3612.5</v>
      </c>
      <c r="N1531">
        <v>2800</v>
      </c>
      <c r="O1531">
        <v>812.5</v>
      </c>
    </row>
    <row r="1532" spans="1:15" x14ac:dyDescent="0.25">
      <c r="A1532" t="s">
        <v>2559</v>
      </c>
      <c r="B1532" s="2">
        <v>47188</v>
      </c>
      <c r="C1532" t="s">
        <v>983</v>
      </c>
      <c r="D1532" t="s">
        <v>984</v>
      </c>
      <c r="E1532" t="s">
        <v>26</v>
      </c>
      <c r="F1532" t="s">
        <v>34</v>
      </c>
      <c r="G1532" t="s">
        <v>51</v>
      </c>
      <c r="H1532" t="s">
        <v>52</v>
      </c>
      <c r="I1532" t="s">
        <v>208</v>
      </c>
      <c r="J1532">
        <v>3</v>
      </c>
      <c r="K1532">
        <v>2800</v>
      </c>
      <c r="L1532">
        <v>0.05</v>
      </c>
      <c r="M1532">
        <v>7980</v>
      </c>
      <c r="N1532">
        <v>5400</v>
      </c>
      <c r="O1532">
        <v>2580</v>
      </c>
    </row>
    <row r="1533" spans="1:15" x14ac:dyDescent="0.25">
      <c r="A1533" t="s">
        <v>2560</v>
      </c>
      <c r="B1533" s="2">
        <v>47189</v>
      </c>
      <c r="C1533" t="s">
        <v>556</v>
      </c>
      <c r="D1533" t="s">
        <v>557</v>
      </c>
      <c r="E1533" t="s">
        <v>18</v>
      </c>
      <c r="F1533" t="s">
        <v>19</v>
      </c>
      <c r="G1533" t="s">
        <v>28</v>
      </c>
      <c r="H1533" t="s">
        <v>29</v>
      </c>
      <c r="I1533" t="s">
        <v>47</v>
      </c>
      <c r="J1533">
        <v>1</v>
      </c>
      <c r="K1533">
        <v>6800</v>
      </c>
      <c r="L1533">
        <v>0.15</v>
      </c>
      <c r="M1533">
        <v>5780</v>
      </c>
      <c r="N1533">
        <v>4700</v>
      </c>
      <c r="O1533">
        <v>1080</v>
      </c>
    </row>
    <row r="1534" spans="1:15" x14ac:dyDescent="0.25">
      <c r="A1534" t="s">
        <v>2561</v>
      </c>
      <c r="B1534" s="2">
        <v>47190</v>
      </c>
      <c r="C1534" t="s">
        <v>550</v>
      </c>
      <c r="D1534" t="s">
        <v>551</v>
      </c>
      <c r="E1534" t="s">
        <v>39</v>
      </c>
      <c r="F1534" t="s">
        <v>76</v>
      </c>
      <c r="G1534" t="s">
        <v>20</v>
      </c>
      <c r="H1534" t="s">
        <v>84</v>
      </c>
      <c r="I1534" t="s">
        <v>169</v>
      </c>
      <c r="J1534">
        <v>3</v>
      </c>
      <c r="K1534">
        <v>450</v>
      </c>
      <c r="L1534">
        <v>0.15</v>
      </c>
      <c r="M1534">
        <v>1147.5</v>
      </c>
      <c r="N1534">
        <v>780</v>
      </c>
      <c r="O1534">
        <v>367.5</v>
      </c>
    </row>
    <row r="1535" spans="1:15" x14ac:dyDescent="0.25">
      <c r="A1535" t="s">
        <v>2562</v>
      </c>
      <c r="B1535" s="2">
        <v>47191</v>
      </c>
      <c r="C1535" t="s">
        <v>1915</v>
      </c>
      <c r="D1535" t="s">
        <v>1916</v>
      </c>
      <c r="E1535" t="s">
        <v>26</v>
      </c>
      <c r="F1535" t="s">
        <v>128</v>
      </c>
      <c r="G1535" t="s">
        <v>57</v>
      </c>
      <c r="H1535" t="s">
        <v>58</v>
      </c>
      <c r="I1535" t="s">
        <v>59</v>
      </c>
      <c r="J1535">
        <v>2</v>
      </c>
      <c r="K1535">
        <v>5600</v>
      </c>
      <c r="L1535">
        <v>0.05</v>
      </c>
      <c r="M1535">
        <v>10640</v>
      </c>
      <c r="N1535">
        <v>7800</v>
      </c>
      <c r="O1535">
        <v>2840</v>
      </c>
    </row>
    <row r="1536" spans="1:15" x14ac:dyDescent="0.25">
      <c r="A1536" t="s">
        <v>2563</v>
      </c>
      <c r="B1536" s="2">
        <v>47192</v>
      </c>
      <c r="C1536" t="s">
        <v>2263</v>
      </c>
      <c r="D1536" t="s">
        <v>2264</v>
      </c>
      <c r="E1536" t="s">
        <v>96</v>
      </c>
      <c r="F1536" t="s">
        <v>120</v>
      </c>
      <c r="G1536" t="s">
        <v>51</v>
      </c>
      <c r="H1536" t="s">
        <v>21</v>
      </c>
      <c r="I1536" t="s">
        <v>80</v>
      </c>
      <c r="J1536">
        <v>1</v>
      </c>
      <c r="K1536">
        <v>850</v>
      </c>
      <c r="L1536">
        <v>0</v>
      </c>
      <c r="M1536">
        <v>850</v>
      </c>
      <c r="N1536">
        <v>560</v>
      </c>
      <c r="O1536">
        <v>290</v>
      </c>
    </row>
    <row r="1537" spans="1:15" x14ac:dyDescent="0.25">
      <c r="A1537" t="s">
        <v>2564</v>
      </c>
      <c r="B1537" s="2">
        <v>47193</v>
      </c>
      <c r="C1537" t="s">
        <v>1551</v>
      </c>
      <c r="D1537" t="s">
        <v>1552</v>
      </c>
      <c r="E1537" t="s">
        <v>39</v>
      </c>
      <c r="F1537" t="s">
        <v>124</v>
      </c>
      <c r="G1537" t="s">
        <v>20</v>
      </c>
      <c r="H1537" t="s">
        <v>84</v>
      </c>
      <c r="I1537" t="s">
        <v>169</v>
      </c>
      <c r="J1537">
        <v>4</v>
      </c>
      <c r="K1537">
        <v>450</v>
      </c>
      <c r="L1537">
        <v>0</v>
      </c>
      <c r="M1537">
        <v>1800</v>
      </c>
      <c r="N1537">
        <v>1040</v>
      </c>
      <c r="O1537">
        <v>760</v>
      </c>
    </row>
    <row r="1538" spans="1:15" x14ac:dyDescent="0.25">
      <c r="A1538" t="s">
        <v>2565</v>
      </c>
      <c r="B1538" s="2">
        <v>47194</v>
      </c>
      <c r="C1538" t="s">
        <v>320</v>
      </c>
      <c r="D1538" t="s">
        <v>321</v>
      </c>
      <c r="E1538" t="s">
        <v>96</v>
      </c>
      <c r="F1538" t="s">
        <v>97</v>
      </c>
      <c r="G1538" t="s">
        <v>20</v>
      </c>
      <c r="H1538" t="s">
        <v>84</v>
      </c>
      <c r="I1538" t="s">
        <v>169</v>
      </c>
      <c r="J1538">
        <v>1</v>
      </c>
      <c r="K1538">
        <v>450</v>
      </c>
      <c r="L1538">
        <v>0.1</v>
      </c>
      <c r="M1538">
        <v>405</v>
      </c>
      <c r="N1538">
        <v>260</v>
      </c>
      <c r="O1538">
        <v>145</v>
      </c>
    </row>
    <row r="1539" spans="1:15" x14ac:dyDescent="0.25">
      <c r="A1539" t="s">
        <v>2566</v>
      </c>
      <c r="B1539" s="2">
        <v>47195</v>
      </c>
      <c r="C1539" t="s">
        <v>2356</v>
      </c>
      <c r="D1539" t="s">
        <v>2357</v>
      </c>
      <c r="E1539" t="s">
        <v>26</v>
      </c>
      <c r="F1539" t="s">
        <v>128</v>
      </c>
      <c r="G1539" t="s">
        <v>57</v>
      </c>
      <c r="H1539" t="s">
        <v>188</v>
      </c>
      <c r="I1539" t="s">
        <v>189</v>
      </c>
      <c r="J1539">
        <v>4</v>
      </c>
      <c r="K1539">
        <v>6200</v>
      </c>
      <c r="L1539">
        <v>0.25</v>
      </c>
      <c r="M1539">
        <v>18600</v>
      </c>
      <c r="N1539">
        <v>17200</v>
      </c>
      <c r="O1539">
        <v>1400</v>
      </c>
    </row>
    <row r="1540" spans="1:15" x14ac:dyDescent="0.25">
      <c r="A1540" t="s">
        <v>2567</v>
      </c>
      <c r="B1540" s="2">
        <v>47196</v>
      </c>
      <c r="C1540" t="s">
        <v>469</v>
      </c>
      <c r="D1540" t="s">
        <v>470</v>
      </c>
      <c r="E1540" t="s">
        <v>26</v>
      </c>
      <c r="F1540" t="s">
        <v>27</v>
      </c>
      <c r="G1540" t="s">
        <v>20</v>
      </c>
      <c r="H1540" t="s">
        <v>84</v>
      </c>
      <c r="I1540" t="s">
        <v>85</v>
      </c>
      <c r="J1540">
        <v>2</v>
      </c>
      <c r="K1540">
        <v>280</v>
      </c>
      <c r="L1540">
        <v>0.15</v>
      </c>
      <c r="M1540">
        <v>476</v>
      </c>
      <c r="N1540">
        <v>320</v>
      </c>
      <c r="O1540">
        <v>156</v>
      </c>
    </row>
    <row r="1541" spans="1:15" x14ac:dyDescent="0.25">
      <c r="A1541" t="s">
        <v>2568</v>
      </c>
      <c r="B1541" s="2">
        <v>47197</v>
      </c>
      <c r="C1541" t="s">
        <v>1333</v>
      </c>
      <c r="D1541" t="s">
        <v>1334</v>
      </c>
      <c r="E1541" t="s">
        <v>39</v>
      </c>
      <c r="F1541" t="s">
        <v>76</v>
      </c>
      <c r="G1541" t="s">
        <v>51</v>
      </c>
      <c r="H1541" t="s">
        <v>52</v>
      </c>
      <c r="I1541" t="s">
        <v>208</v>
      </c>
      <c r="J1541">
        <v>3</v>
      </c>
      <c r="K1541">
        <v>2800</v>
      </c>
      <c r="L1541">
        <v>0.15</v>
      </c>
      <c r="M1541">
        <v>7140</v>
      </c>
      <c r="N1541">
        <v>5400</v>
      </c>
      <c r="O1541">
        <v>1740</v>
      </c>
    </row>
    <row r="1542" spans="1:15" x14ac:dyDescent="0.25">
      <c r="A1542" t="s">
        <v>2569</v>
      </c>
      <c r="B1542" s="2">
        <v>47198</v>
      </c>
      <c r="C1542" t="s">
        <v>146</v>
      </c>
      <c r="D1542" t="s">
        <v>147</v>
      </c>
      <c r="E1542" t="s">
        <v>26</v>
      </c>
      <c r="F1542" t="s">
        <v>46</v>
      </c>
      <c r="G1542" t="s">
        <v>28</v>
      </c>
      <c r="H1542" t="s">
        <v>29</v>
      </c>
      <c r="I1542" t="s">
        <v>30</v>
      </c>
      <c r="J1542">
        <v>4</v>
      </c>
      <c r="K1542">
        <v>1900</v>
      </c>
      <c r="L1542">
        <v>0.1</v>
      </c>
      <c r="M1542">
        <v>6840</v>
      </c>
      <c r="N1542">
        <v>5000</v>
      </c>
      <c r="O1542">
        <v>1840</v>
      </c>
    </row>
    <row r="1543" spans="1:15" x14ac:dyDescent="0.25">
      <c r="A1543" t="s">
        <v>2570</v>
      </c>
      <c r="B1543" s="2">
        <v>47199</v>
      </c>
      <c r="C1543" t="s">
        <v>757</v>
      </c>
      <c r="D1543" t="s">
        <v>758</v>
      </c>
      <c r="E1543" t="s">
        <v>26</v>
      </c>
      <c r="F1543" t="s">
        <v>128</v>
      </c>
      <c r="G1543" t="s">
        <v>57</v>
      </c>
      <c r="H1543" t="s">
        <v>58</v>
      </c>
      <c r="I1543" t="s">
        <v>59</v>
      </c>
      <c r="J1543">
        <v>3</v>
      </c>
      <c r="K1543">
        <v>5600</v>
      </c>
      <c r="L1543">
        <v>0</v>
      </c>
      <c r="M1543">
        <v>16800</v>
      </c>
      <c r="N1543">
        <v>11700</v>
      </c>
      <c r="O1543">
        <v>5100</v>
      </c>
    </row>
    <row r="1544" spans="1:15" x14ac:dyDescent="0.25">
      <c r="A1544" t="s">
        <v>2571</v>
      </c>
      <c r="B1544" s="2">
        <v>47200</v>
      </c>
      <c r="C1544" t="s">
        <v>510</v>
      </c>
      <c r="D1544" t="s">
        <v>511</v>
      </c>
      <c r="E1544" t="s">
        <v>26</v>
      </c>
      <c r="F1544" t="s">
        <v>128</v>
      </c>
      <c r="G1544" t="s">
        <v>51</v>
      </c>
      <c r="H1544" t="s">
        <v>21</v>
      </c>
      <c r="I1544" t="s">
        <v>116</v>
      </c>
      <c r="J1544">
        <v>2</v>
      </c>
      <c r="K1544">
        <v>1400</v>
      </c>
      <c r="L1544">
        <v>0.1</v>
      </c>
      <c r="M1544">
        <v>2520</v>
      </c>
      <c r="N1544">
        <v>1800</v>
      </c>
      <c r="O1544">
        <v>720</v>
      </c>
    </row>
    <row r="1545" spans="1:15" x14ac:dyDescent="0.25">
      <c r="A1545" t="s">
        <v>2572</v>
      </c>
      <c r="B1545" s="2">
        <v>47201</v>
      </c>
      <c r="C1545" t="s">
        <v>969</v>
      </c>
      <c r="D1545" t="s">
        <v>970</v>
      </c>
      <c r="E1545" t="s">
        <v>39</v>
      </c>
      <c r="F1545" t="s">
        <v>76</v>
      </c>
      <c r="G1545" t="s">
        <v>28</v>
      </c>
      <c r="H1545" t="s">
        <v>29</v>
      </c>
      <c r="I1545" t="s">
        <v>30</v>
      </c>
      <c r="J1545">
        <v>3</v>
      </c>
      <c r="K1545">
        <v>1900</v>
      </c>
      <c r="L1545">
        <v>0.05</v>
      </c>
      <c r="M1545">
        <v>5415</v>
      </c>
      <c r="N1545">
        <v>3750</v>
      </c>
      <c r="O1545">
        <v>1665</v>
      </c>
    </row>
    <row r="1546" spans="1:15" x14ac:dyDescent="0.25">
      <c r="A1546" t="s">
        <v>2573</v>
      </c>
      <c r="B1546" s="2">
        <v>47202</v>
      </c>
      <c r="C1546" t="s">
        <v>2574</v>
      </c>
      <c r="D1546" t="s">
        <v>2575</v>
      </c>
      <c r="E1546" t="s">
        <v>39</v>
      </c>
      <c r="F1546" t="s">
        <v>124</v>
      </c>
      <c r="G1546" t="s">
        <v>20</v>
      </c>
      <c r="H1546" t="s">
        <v>41</v>
      </c>
      <c r="I1546" t="s">
        <v>42</v>
      </c>
      <c r="J1546">
        <v>4</v>
      </c>
      <c r="K1546">
        <v>520</v>
      </c>
      <c r="L1546">
        <v>0.15</v>
      </c>
      <c r="M1546">
        <v>1768</v>
      </c>
      <c r="N1546">
        <v>1320</v>
      </c>
      <c r="O1546">
        <v>448</v>
      </c>
    </row>
    <row r="1547" spans="1:15" x14ac:dyDescent="0.25">
      <c r="A1547" t="s">
        <v>2576</v>
      </c>
      <c r="B1547" s="2">
        <v>47203</v>
      </c>
      <c r="C1547" t="s">
        <v>954</v>
      </c>
      <c r="D1547" t="s">
        <v>955</v>
      </c>
      <c r="E1547" t="s">
        <v>26</v>
      </c>
      <c r="F1547" t="s">
        <v>34</v>
      </c>
      <c r="G1547" t="s">
        <v>20</v>
      </c>
      <c r="H1547" t="s">
        <v>84</v>
      </c>
      <c r="I1547" t="s">
        <v>210</v>
      </c>
      <c r="J1547">
        <v>3</v>
      </c>
      <c r="K1547">
        <v>300</v>
      </c>
      <c r="L1547">
        <v>0.2</v>
      </c>
      <c r="M1547">
        <v>720</v>
      </c>
      <c r="N1547">
        <v>510</v>
      </c>
      <c r="O1547">
        <v>210</v>
      </c>
    </row>
    <row r="1548" spans="1:15" x14ac:dyDescent="0.25">
      <c r="A1548" t="s">
        <v>2577</v>
      </c>
      <c r="B1548" s="2">
        <v>47204</v>
      </c>
      <c r="C1548" t="s">
        <v>753</v>
      </c>
      <c r="D1548" t="s">
        <v>754</v>
      </c>
      <c r="E1548" t="s">
        <v>39</v>
      </c>
      <c r="F1548" t="s">
        <v>76</v>
      </c>
      <c r="G1548" t="s">
        <v>51</v>
      </c>
      <c r="H1548" t="s">
        <v>21</v>
      </c>
      <c r="I1548" t="s">
        <v>72</v>
      </c>
      <c r="J1548">
        <v>2</v>
      </c>
      <c r="K1548">
        <v>1800</v>
      </c>
      <c r="L1548">
        <v>0.05</v>
      </c>
      <c r="M1548">
        <v>3420</v>
      </c>
      <c r="N1548">
        <v>2200</v>
      </c>
      <c r="O1548">
        <v>1220</v>
      </c>
    </row>
    <row r="1549" spans="1:15" x14ac:dyDescent="0.25">
      <c r="A1549" t="s">
        <v>2578</v>
      </c>
      <c r="B1549" s="2">
        <v>47205</v>
      </c>
      <c r="C1549" t="s">
        <v>99</v>
      </c>
      <c r="D1549" t="s">
        <v>100</v>
      </c>
      <c r="E1549" t="s">
        <v>39</v>
      </c>
      <c r="F1549" t="s">
        <v>71</v>
      </c>
      <c r="G1549" t="s">
        <v>28</v>
      </c>
      <c r="H1549" t="s">
        <v>63</v>
      </c>
      <c r="I1549" t="s">
        <v>64</v>
      </c>
      <c r="J1549">
        <v>1</v>
      </c>
      <c r="K1549">
        <v>2400</v>
      </c>
      <c r="L1549">
        <v>0.25</v>
      </c>
      <c r="M1549">
        <v>1800</v>
      </c>
      <c r="N1549">
        <v>1650</v>
      </c>
      <c r="O1549">
        <v>150</v>
      </c>
    </row>
    <row r="1550" spans="1:15" x14ac:dyDescent="0.25">
      <c r="A1550" t="s">
        <v>2579</v>
      </c>
      <c r="B1550" s="2">
        <v>47206</v>
      </c>
      <c r="C1550" t="s">
        <v>2580</v>
      </c>
      <c r="D1550" t="s">
        <v>2581</v>
      </c>
      <c r="E1550" t="s">
        <v>26</v>
      </c>
      <c r="F1550" t="s">
        <v>34</v>
      </c>
      <c r="G1550" t="s">
        <v>20</v>
      </c>
      <c r="H1550" t="s">
        <v>41</v>
      </c>
      <c r="I1550" t="s">
        <v>42</v>
      </c>
      <c r="J1550">
        <v>5</v>
      </c>
      <c r="K1550">
        <v>520</v>
      </c>
      <c r="L1550">
        <v>0.1</v>
      </c>
      <c r="M1550">
        <v>2340</v>
      </c>
      <c r="N1550">
        <v>1650</v>
      </c>
      <c r="O1550">
        <v>690</v>
      </c>
    </row>
    <row r="1551" spans="1:15" x14ac:dyDescent="0.25">
      <c r="A1551" t="s">
        <v>2582</v>
      </c>
      <c r="B1551" s="2">
        <v>47207</v>
      </c>
      <c r="C1551" t="s">
        <v>556</v>
      </c>
      <c r="D1551" t="s">
        <v>557</v>
      </c>
      <c r="E1551" t="s">
        <v>26</v>
      </c>
      <c r="F1551" t="s">
        <v>46</v>
      </c>
      <c r="G1551" t="s">
        <v>57</v>
      </c>
      <c r="H1551" t="s">
        <v>58</v>
      </c>
      <c r="I1551" t="s">
        <v>129</v>
      </c>
      <c r="J1551">
        <v>5</v>
      </c>
      <c r="K1551">
        <v>4800</v>
      </c>
      <c r="L1551">
        <v>0.1</v>
      </c>
      <c r="M1551">
        <v>21600</v>
      </c>
      <c r="N1551">
        <v>16500</v>
      </c>
      <c r="O1551">
        <v>5100</v>
      </c>
    </row>
    <row r="1552" spans="1:15" x14ac:dyDescent="0.25">
      <c r="A1552" t="s">
        <v>2583</v>
      </c>
      <c r="B1552" s="2">
        <v>47208</v>
      </c>
      <c r="C1552" t="s">
        <v>1847</v>
      </c>
      <c r="D1552" t="s">
        <v>1848</v>
      </c>
      <c r="E1552" t="s">
        <v>26</v>
      </c>
      <c r="F1552" t="s">
        <v>27</v>
      </c>
      <c r="G1552" t="s">
        <v>51</v>
      </c>
      <c r="H1552" t="s">
        <v>21</v>
      </c>
      <c r="I1552" t="s">
        <v>116</v>
      </c>
      <c r="J1552">
        <v>1</v>
      </c>
      <c r="K1552">
        <v>1400</v>
      </c>
      <c r="L1552">
        <v>0.15</v>
      </c>
      <c r="M1552">
        <v>1190</v>
      </c>
      <c r="N1552">
        <v>900</v>
      </c>
      <c r="O1552">
        <v>290</v>
      </c>
    </row>
    <row r="1553" spans="1:15" x14ac:dyDescent="0.25">
      <c r="A1553" t="s">
        <v>2584</v>
      </c>
      <c r="B1553" s="2">
        <v>47209</v>
      </c>
      <c r="C1553" t="s">
        <v>439</v>
      </c>
      <c r="D1553" t="s">
        <v>440</v>
      </c>
      <c r="E1553" t="s">
        <v>26</v>
      </c>
      <c r="F1553" t="s">
        <v>128</v>
      </c>
      <c r="G1553" t="s">
        <v>28</v>
      </c>
      <c r="H1553" t="s">
        <v>63</v>
      </c>
      <c r="I1553" t="s">
        <v>64</v>
      </c>
      <c r="J1553">
        <v>4</v>
      </c>
      <c r="K1553">
        <v>2400</v>
      </c>
      <c r="L1553">
        <v>0.15</v>
      </c>
      <c r="M1553">
        <v>8160</v>
      </c>
      <c r="N1553">
        <v>6600</v>
      </c>
      <c r="O1553">
        <v>1560</v>
      </c>
    </row>
    <row r="1554" spans="1:15" x14ac:dyDescent="0.25">
      <c r="A1554" t="s">
        <v>2585</v>
      </c>
      <c r="B1554" s="2">
        <v>47210</v>
      </c>
      <c r="C1554" t="s">
        <v>1445</v>
      </c>
      <c r="D1554" t="s">
        <v>1446</v>
      </c>
      <c r="E1554" t="s">
        <v>18</v>
      </c>
      <c r="F1554" t="s">
        <v>19</v>
      </c>
      <c r="G1554" t="s">
        <v>57</v>
      </c>
      <c r="H1554" t="s">
        <v>104</v>
      </c>
      <c r="I1554" t="s">
        <v>105</v>
      </c>
      <c r="J1554">
        <v>2</v>
      </c>
      <c r="K1554">
        <v>7500</v>
      </c>
      <c r="L1554">
        <v>0.15</v>
      </c>
      <c r="M1554">
        <v>12750</v>
      </c>
      <c r="N1554">
        <v>10400</v>
      </c>
      <c r="O1554">
        <v>2350</v>
      </c>
    </row>
    <row r="1555" spans="1:15" x14ac:dyDescent="0.25">
      <c r="A1555" t="s">
        <v>2586</v>
      </c>
      <c r="B1555" s="2">
        <v>47211</v>
      </c>
      <c r="C1555" t="s">
        <v>593</v>
      </c>
      <c r="D1555" t="s">
        <v>594</v>
      </c>
      <c r="E1555" t="s">
        <v>96</v>
      </c>
      <c r="F1555" t="s">
        <v>196</v>
      </c>
      <c r="G1555" t="s">
        <v>20</v>
      </c>
      <c r="H1555" t="s">
        <v>84</v>
      </c>
      <c r="I1555" t="s">
        <v>210</v>
      </c>
      <c r="J1555">
        <v>1</v>
      </c>
      <c r="K1555">
        <v>300</v>
      </c>
      <c r="L1555">
        <v>0.2</v>
      </c>
      <c r="M1555">
        <v>240</v>
      </c>
      <c r="N1555">
        <v>170</v>
      </c>
      <c r="O1555">
        <v>70</v>
      </c>
    </row>
    <row r="1556" spans="1:15" x14ac:dyDescent="0.25">
      <c r="A1556" t="s">
        <v>2587</v>
      </c>
      <c r="B1556" s="2">
        <v>47212</v>
      </c>
      <c r="C1556" t="s">
        <v>1227</v>
      </c>
      <c r="D1556" t="s">
        <v>1228</v>
      </c>
      <c r="E1556" t="s">
        <v>96</v>
      </c>
      <c r="F1556" t="s">
        <v>200</v>
      </c>
      <c r="G1556" t="s">
        <v>51</v>
      </c>
      <c r="H1556" t="s">
        <v>21</v>
      </c>
      <c r="I1556" t="s">
        <v>80</v>
      </c>
      <c r="J1556">
        <v>1</v>
      </c>
      <c r="K1556">
        <v>850</v>
      </c>
      <c r="L1556">
        <v>0.1</v>
      </c>
      <c r="M1556">
        <v>765</v>
      </c>
      <c r="N1556">
        <v>560</v>
      </c>
      <c r="O1556">
        <v>205</v>
      </c>
    </row>
    <row r="1557" spans="1:15" x14ac:dyDescent="0.25">
      <c r="A1557" t="s">
        <v>2588</v>
      </c>
      <c r="B1557" s="2">
        <v>47213</v>
      </c>
      <c r="C1557" t="s">
        <v>994</v>
      </c>
      <c r="D1557" t="s">
        <v>995</v>
      </c>
      <c r="E1557" t="s">
        <v>26</v>
      </c>
      <c r="F1557" t="s">
        <v>27</v>
      </c>
      <c r="G1557" t="s">
        <v>57</v>
      </c>
      <c r="H1557" t="s">
        <v>58</v>
      </c>
      <c r="I1557" t="s">
        <v>59</v>
      </c>
      <c r="J1557">
        <v>4</v>
      </c>
      <c r="K1557">
        <v>5600</v>
      </c>
      <c r="L1557">
        <v>0.05</v>
      </c>
      <c r="M1557">
        <v>21280</v>
      </c>
      <c r="N1557">
        <v>15600</v>
      </c>
      <c r="O1557">
        <v>5680</v>
      </c>
    </row>
    <row r="1558" spans="1:15" x14ac:dyDescent="0.25">
      <c r="A1558" t="s">
        <v>2589</v>
      </c>
      <c r="B1558" s="2">
        <v>47214</v>
      </c>
      <c r="C1558" t="s">
        <v>691</v>
      </c>
      <c r="D1558" t="s">
        <v>692</v>
      </c>
      <c r="E1558" t="s">
        <v>18</v>
      </c>
      <c r="F1558" t="s">
        <v>94</v>
      </c>
      <c r="G1558" t="s">
        <v>51</v>
      </c>
      <c r="H1558" t="s">
        <v>52</v>
      </c>
      <c r="I1558" t="s">
        <v>208</v>
      </c>
      <c r="J1558">
        <v>3</v>
      </c>
      <c r="K1558">
        <v>2800</v>
      </c>
      <c r="L1558">
        <v>0.15</v>
      </c>
      <c r="M1558">
        <v>7140</v>
      </c>
      <c r="N1558">
        <v>5400</v>
      </c>
      <c r="O1558">
        <v>1740</v>
      </c>
    </row>
    <row r="1559" spans="1:15" x14ac:dyDescent="0.25">
      <c r="A1559" t="s">
        <v>2590</v>
      </c>
      <c r="B1559" s="2">
        <v>47215</v>
      </c>
      <c r="C1559" t="s">
        <v>1223</v>
      </c>
      <c r="D1559" t="s">
        <v>1224</v>
      </c>
      <c r="E1559" t="s">
        <v>26</v>
      </c>
      <c r="F1559" t="s">
        <v>128</v>
      </c>
      <c r="G1559" t="s">
        <v>20</v>
      </c>
      <c r="H1559" t="s">
        <v>21</v>
      </c>
      <c r="I1559" t="s">
        <v>22</v>
      </c>
      <c r="J1559">
        <v>1</v>
      </c>
      <c r="K1559">
        <v>650</v>
      </c>
      <c r="L1559">
        <v>0.15</v>
      </c>
      <c r="M1559">
        <v>552.5</v>
      </c>
      <c r="N1559">
        <v>390</v>
      </c>
      <c r="O1559">
        <v>162.5</v>
      </c>
    </row>
    <row r="1560" spans="1:15" x14ac:dyDescent="0.25">
      <c r="A1560" t="s">
        <v>2591</v>
      </c>
      <c r="B1560" s="2">
        <v>47216</v>
      </c>
      <c r="C1560" t="s">
        <v>2574</v>
      </c>
      <c r="D1560" t="s">
        <v>2575</v>
      </c>
      <c r="E1560" t="s">
        <v>18</v>
      </c>
      <c r="F1560" t="s">
        <v>19</v>
      </c>
      <c r="G1560" t="s">
        <v>57</v>
      </c>
      <c r="H1560" t="s">
        <v>58</v>
      </c>
      <c r="I1560" t="s">
        <v>129</v>
      </c>
      <c r="J1560">
        <v>2</v>
      </c>
      <c r="K1560">
        <v>4800</v>
      </c>
      <c r="L1560">
        <v>0.15</v>
      </c>
      <c r="M1560">
        <v>8160</v>
      </c>
      <c r="N1560">
        <v>6600</v>
      </c>
      <c r="O1560">
        <v>1560</v>
      </c>
    </row>
    <row r="1561" spans="1:15" x14ac:dyDescent="0.25">
      <c r="A1561" t="s">
        <v>2592</v>
      </c>
      <c r="B1561" s="2">
        <v>47217</v>
      </c>
      <c r="C1561" t="s">
        <v>538</v>
      </c>
      <c r="D1561" t="s">
        <v>539</v>
      </c>
      <c r="E1561" t="s">
        <v>96</v>
      </c>
      <c r="F1561" t="s">
        <v>200</v>
      </c>
      <c r="G1561" t="s">
        <v>20</v>
      </c>
      <c r="H1561" t="s">
        <v>41</v>
      </c>
      <c r="I1561" t="s">
        <v>42</v>
      </c>
      <c r="J1561">
        <v>4</v>
      </c>
      <c r="K1561">
        <v>520</v>
      </c>
      <c r="L1561">
        <v>0.1</v>
      </c>
      <c r="M1561">
        <v>1872</v>
      </c>
      <c r="N1561">
        <v>1320</v>
      </c>
      <c r="O1561">
        <v>552</v>
      </c>
    </row>
    <row r="1562" spans="1:15" x14ac:dyDescent="0.25">
      <c r="A1562" t="s">
        <v>2593</v>
      </c>
      <c r="B1562" s="2">
        <v>47218</v>
      </c>
      <c r="C1562" t="s">
        <v>1031</v>
      </c>
      <c r="D1562" t="s">
        <v>1032</v>
      </c>
      <c r="E1562" t="s">
        <v>96</v>
      </c>
      <c r="F1562" t="s">
        <v>97</v>
      </c>
      <c r="G1562" t="s">
        <v>20</v>
      </c>
      <c r="H1562" t="s">
        <v>41</v>
      </c>
      <c r="I1562" t="s">
        <v>42</v>
      </c>
      <c r="J1562">
        <v>5</v>
      </c>
      <c r="K1562">
        <v>520</v>
      </c>
      <c r="L1562">
        <v>0.1</v>
      </c>
      <c r="M1562">
        <v>2340</v>
      </c>
      <c r="N1562">
        <v>1650</v>
      </c>
      <c r="O1562">
        <v>690</v>
      </c>
    </row>
    <row r="1563" spans="1:15" x14ac:dyDescent="0.25">
      <c r="A1563" t="s">
        <v>2594</v>
      </c>
      <c r="B1563" s="2">
        <v>47219</v>
      </c>
      <c r="C1563" t="s">
        <v>1581</v>
      </c>
      <c r="D1563" t="s">
        <v>1582</v>
      </c>
      <c r="E1563" t="s">
        <v>18</v>
      </c>
      <c r="F1563" t="s">
        <v>227</v>
      </c>
      <c r="G1563" t="s">
        <v>57</v>
      </c>
      <c r="H1563" t="s">
        <v>58</v>
      </c>
      <c r="I1563" t="s">
        <v>129</v>
      </c>
      <c r="J1563">
        <v>5</v>
      </c>
      <c r="K1563">
        <v>4800</v>
      </c>
      <c r="L1563">
        <v>0.05</v>
      </c>
      <c r="M1563">
        <v>22800</v>
      </c>
      <c r="N1563">
        <v>16500</v>
      </c>
      <c r="O1563">
        <v>6300</v>
      </c>
    </row>
    <row r="1564" spans="1:15" x14ac:dyDescent="0.25">
      <c r="A1564" t="s">
        <v>2595</v>
      </c>
      <c r="B1564" s="2">
        <v>47220</v>
      </c>
      <c r="C1564" t="s">
        <v>1471</v>
      </c>
      <c r="D1564" t="s">
        <v>1472</v>
      </c>
      <c r="E1564" t="s">
        <v>39</v>
      </c>
      <c r="F1564" t="s">
        <v>71</v>
      </c>
      <c r="G1564" t="s">
        <v>20</v>
      </c>
      <c r="H1564" t="s">
        <v>21</v>
      </c>
      <c r="I1564" t="s">
        <v>22</v>
      </c>
      <c r="J1564">
        <v>1</v>
      </c>
      <c r="K1564">
        <v>650</v>
      </c>
      <c r="L1564">
        <v>0.15</v>
      </c>
      <c r="M1564">
        <v>552.5</v>
      </c>
      <c r="N1564">
        <v>390</v>
      </c>
      <c r="O1564">
        <v>162.5</v>
      </c>
    </row>
    <row r="1565" spans="1:15" x14ac:dyDescent="0.25">
      <c r="A1565" t="s">
        <v>2596</v>
      </c>
      <c r="B1565" s="2">
        <v>47221</v>
      </c>
      <c r="C1565" t="s">
        <v>1739</v>
      </c>
      <c r="D1565" t="s">
        <v>1740</v>
      </c>
      <c r="E1565" t="s">
        <v>26</v>
      </c>
      <c r="F1565" t="s">
        <v>46</v>
      </c>
      <c r="G1565" t="s">
        <v>57</v>
      </c>
      <c r="H1565" t="s">
        <v>58</v>
      </c>
      <c r="I1565" t="s">
        <v>59</v>
      </c>
      <c r="J1565">
        <v>5</v>
      </c>
      <c r="K1565">
        <v>5600</v>
      </c>
      <c r="L1565">
        <v>0</v>
      </c>
      <c r="M1565">
        <v>28000</v>
      </c>
      <c r="N1565">
        <v>19500</v>
      </c>
      <c r="O1565">
        <v>8500</v>
      </c>
    </row>
    <row r="1566" spans="1:15" x14ac:dyDescent="0.25">
      <c r="A1566" t="s">
        <v>2597</v>
      </c>
      <c r="B1566" s="2">
        <v>47222</v>
      </c>
      <c r="C1566" t="s">
        <v>497</v>
      </c>
      <c r="D1566" t="s">
        <v>498</v>
      </c>
      <c r="E1566" t="s">
        <v>39</v>
      </c>
      <c r="F1566" t="s">
        <v>40</v>
      </c>
      <c r="G1566" t="s">
        <v>20</v>
      </c>
      <c r="H1566" t="s">
        <v>21</v>
      </c>
      <c r="I1566" t="s">
        <v>22</v>
      </c>
      <c r="J1566">
        <v>1</v>
      </c>
      <c r="K1566">
        <v>650</v>
      </c>
      <c r="L1566">
        <v>0.1</v>
      </c>
      <c r="M1566">
        <v>585</v>
      </c>
      <c r="N1566">
        <v>390</v>
      </c>
      <c r="O1566">
        <v>195</v>
      </c>
    </row>
    <row r="1567" spans="1:15" x14ac:dyDescent="0.25">
      <c r="A1567" t="s">
        <v>2598</v>
      </c>
      <c r="B1567" s="2">
        <v>47223</v>
      </c>
      <c r="C1567" t="s">
        <v>87</v>
      </c>
      <c r="D1567" t="s">
        <v>88</v>
      </c>
      <c r="E1567" t="s">
        <v>26</v>
      </c>
      <c r="F1567" t="s">
        <v>34</v>
      </c>
      <c r="G1567" t="s">
        <v>28</v>
      </c>
      <c r="H1567" t="s">
        <v>63</v>
      </c>
      <c r="I1567" t="s">
        <v>64</v>
      </c>
      <c r="J1567">
        <v>3</v>
      </c>
      <c r="K1567">
        <v>2400</v>
      </c>
      <c r="L1567">
        <v>0.05</v>
      </c>
      <c r="M1567">
        <v>6840</v>
      </c>
      <c r="N1567">
        <v>4950</v>
      </c>
      <c r="O1567">
        <v>1890</v>
      </c>
    </row>
    <row r="1568" spans="1:15" x14ac:dyDescent="0.25">
      <c r="A1568" t="s">
        <v>2599</v>
      </c>
      <c r="B1568" s="2">
        <v>47224</v>
      </c>
      <c r="C1568" t="s">
        <v>411</v>
      </c>
      <c r="D1568" t="s">
        <v>412</v>
      </c>
      <c r="E1568" t="s">
        <v>26</v>
      </c>
      <c r="F1568" t="s">
        <v>34</v>
      </c>
      <c r="G1568" t="s">
        <v>20</v>
      </c>
      <c r="H1568" t="s">
        <v>21</v>
      </c>
      <c r="I1568" t="s">
        <v>22</v>
      </c>
      <c r="J1568">
        <v>2</v>
      </c>
      <c r="K1568">
        <v>650</v>
      </c>
      <c r="L1568">
        <v>0.15</v>
      </c>
      <c r="M1568">
        <v>1105</v>
      </c>
      <c r="N1568">
        <v>780</v>
      </c>
      <c r="O1568">
        <v>325</v>
      </c>
    </row>
    <row r="1569" spans="1:15" x14ac:dyDescent="0.25">
      <c r="A1569" t="s">
        <v>2600</v>
      </c>
      <c r="B1569" s="2">
        <v>47225</v>
      </c>
      <c r="C1569" t="s">
        <v>278</v>
      </c>
      <c r="D1569" t="s">
        <v>279</v>
      </c>
      <c r="E1569" t="s">
        <v>18</v>
      </c>
      <c r="F1569" t="s">
        <v>115</v>
      </c>
      <c r="G1569" t="s">
        <v>57</v>
      </c>
      <c r="H1569" t="s">
        <v>58</v>
      </c>
      <c r="I1569" t="s">
        <v>59</v>
      </c>
      <c r="J1569">
        <v>3</v>
      </c>
      <c r="K1569">
        <v>5600</v>
      </c>
      <c r="L1569">
        <v>0</v>
      </c>
      <c r="M1569">
        <v>16800</v>
      </c>
      <c r="N1569">
        <v>11700</v>
      </c>
      <c r="O1569">
        <v>5100</v>
      </c>
    </row>
    <row r="1570" spans="1:15" x14ac:dyDescent="0.25">
      <c r="A1570" t="s">
        <v>2601</v>
      </c>
      <c r="B1570" s="2">
        <v>47226</v>
      </c>
      <c r="C1570" t="s">
        <v>1124</v>
      </c>
      <c r="D1570" t="s">
        <v>1125</v>
      </c>
      <c r="E1570" t="s">
        <v>96</v>
      </c>
      <c r="F1570" t="s">
        <v>196</v>
      </c>
      <c r="G1570" t="s">
        <v>20</v>
      </c>
      <c r="H1570" t="s">
        <v>41</v>
      </c>
      <c r="I1570" t="s">
        <v>42</v>
      </c>
      <c r="J1570">
        <v>3</v>
      </c>
      <c r="K1570">
        <v>520</v>
      </c>
      <c r="L1570">
        <v>0.15</v>
      </c>
      <c r="M1570">
        <v>1326</v>
      </c>
      <c r="N1570">
        <v>990</v>
      </c>
      <c r="O1570">
        <v>336</v>
      </c>
    </row>
    <row r="1571" spans="1:15" x14ac:dyDescent="0.25">
      <c r="A1571" t="s">
        <v>2602</v>
      </c>
      <c r="B1571" s="2">
        <v>47227</v>
      </c>
      <c r="C1571" t="s">
        <v>171</v>
      </c>
      <c r="D1571" t="s">
        <v>172</v>
      </c>
      <c r="E1571" t="s">
        <v>18</v>
      </c>
      <c r="F1571" t="s">
        <v>227</v>
      </c>
      <c r="G1571" t="s">
        <v>28</v>
      </c>
      <c r="H1571" t="s">
        <v>29</v>
      </c>
      <c r="I1571" t="s">
        <v>47</v>
      </c>
      <c r="J1571">
        <v>3</v>
      </c>
      <c r="K1571">
        <v>6800</v>
      </c>
      <c r="L1571">
        <v>0.05</v>
      </c>
      <c r="M1571">
        <v>19380</v>
      </c>
      <c r="N1571">
        <v>14100</v>
      </c>
      <c r="O1571">
        <v>5280</v>
      </c>
    </row>
    <row r="1572" spans="1:15" x14ac:dyDescent="0.25">
      <c r="A1572" t="s">
        <v>2603</v>
      </c>
      <c r="B1572" s="2">
        <v>47228</v>
      </c>
      <c r="C1572" t="s">
        <v>1349</v>
      </c>
      <c r="D1572" t="s">
        <v>1350</v>
      </c>
      <c r="E1572" t="s">
        <v>26</v>
      </c>
      <c r="F1572" t="s">
        <v>27</v>
      </c>
      <c r="G1572" t="s">
        <v>28</v>
      </c>
      <c r="H1572" t="s">
        <v>29</v>
      </c>
      <c r="I1572" t="s">
        <v>30</v>
      </c>
      <c r="J1572">
        <v>5</v>
      </c>
      <c r="K1572">
        <v>1900</v>
      </c>
      <c r="L1572">
        <v>0.15</v>
      </c>
      <c r="M1572">
        <v>8075</v>
      </c>
      <c r="N1572">
        <v>6250</v>
      </c>
      <c r="O1572">
        <v>1825</v>
      </c>
    </row>
    <row r="1573" spans="1:15" x14ac:dyDescent="0.25">
      <c r="A1573" t="s">
        <v>2604</v>
      </c>
      <c r="B1573" s="2">
        <v>47229</v>
      </c>
      <c r="C1573" t="s">
        <v>294</v>
      </c>
      <c r="D1573" t="s">
        <v>295</v>
      </c>
      <c r="E1573" t="s">
        <v>26</v>
      </c>
      <c r="F1573" t="s">
        <v>128</v>
      </c>
      <c r="G1573" t="s">
        <v>20</v>
      </c>
      <c r="H1573" t="s">
        <v>84</v>
      </c>
      <c r="I1573" t="s">
        <v>169</v>
      </c>
      <c r="J1573">
        <v>3</v>
      </c>
      <c r="K1573">
        <v>450</v>
      </c>
      <c r="L1573">
        <v>0.1</v>
      </c>
      <c r="M1573">
        <v>1215</v>
      </c>
      <c r="N1573">
        <v>780</v>
      </c>
      <c r="O1573">
        <v>435</v>
      </c>
    </row>
    <row r="1574" spans="1:15" x14ac:dyDescent="0.25">
      <c r="A1574" t="s">
        <v>2605</v>
      </c>
      <c r="B1574" s="2">
        <v>47230</v>
      </c>
      <c r="C1574" t="s">
        <v>1665</v>
      </c>
      <c r="D1574" t="s">
        <v>1666</v>
      </c>
      <c r="E1574" t="s">
        <v>26</v>
      </c>
      <c r="F1574" t="s">
        <v>46</v>
      </c>
      <c r="G1574" t="s">
        <v>20</v>
      </c>
      <c r="H1574" t="s">
        <v>21</v>
      </c>
      <c r="I1574" t="s">
        <v>22</v>
      </c>
      <c r="J1574">
        <v>2</v>
      </c>
      <c r="K1574">
        <v>650</v>
      </c>
      <c r="L1574">
        <v>0.05</v>
      </c>
      <c r="M1574">
        <v>1235</v>
      </c>
      <c r="N1574">
        <v>780</v>
      </c>
      <c r="O1574">
        <v>455</v>
      </c>
    </row>
    <row r="1575" spans="1:15" x14ac:dyDescent="0.25">
      <c r="A1575" t="s">
        <v>2606</v>
      </c>
      <c r="B1575" s="2">
        <v>47231</v>
      </c>
      <c r="C1575" t="s">
        <v>2102</v>
      </c>
      <c r="D1575" t="s">
        <v>2103</v>
      </c>
      <c r="E1575" t="s">
        <v>39</v>
      </c>
      <c r="F1575" t="s">
        <v>124</v>
      </c>
      <c r="G1575" t="s">
        <v>20</v>
      </c>
      <c r="H1575" t="s">
        <v>84</v>
      </c>
      <c r="I1575" t="s">
        <v>85</v>
      </c>
      <c r="J1575">
        <v>4</v>
      </c>
      <c r="K1575">
        <v>280</v>
      </c>
      <c r="L1575">
        <v>0.1</v>
      </c>
      <c r="M1575">
        <v>1008</v>
      </c>
      <c r="N1575">
        <v>640</v>
      </c>
      <c r="O1575">
        <v>368</v>
      </c>
    </row>
    <row r="1576" spans="1:15" x14ac:dyDescent="0.25">
      <c r="A1576" t="s">
        <v>2607</v>
      </c>
      <c r="B1576" s="2">
        <v>47232</v>
      </c>
      <c r="C1576" t="s">
        <v>969</v>
      </c>
      <c r="D1576" t="s">
        <v>970</v>
      </c>
      <c r="E1576" t="s">
        <v>26</v>
      </c>
      <c r="F1576" t="s">
        <v>34</v>
      </c>
      <c r="G1576" t="s">
        <v>51</v>
      </c>
      <c r="H1576" t="s">
        <v>21</v>
      </c>
      <c r="I1576" t="s">
        <v>72</v>
      </c>
      <c r="J1576">
        <v>3</v>
      </c>
      <c r="K1576">
        <v>1800</v>
      </c>
      <c r="L1576">
        <v>0.1</v>
      </c>
      <c r="M1576">
        <v>4860</v>
      </c>
      <c r="N1576">
        <v>3300</v>
      </c>
      <c r="O1576">
        <v>1560</v>
      </c>
    </row>
    <row r="1577" spans="1:15" x14ac:dyDescent="0.25">
      <c r="A1577" t="s">
        <v>2608</v>
      </c>
      <c r="B1577" s="2">
        <v>47233</v>
      </c>
      <c r="C1577" t="s">
        <v>1567</v>
      </c>
      <c r="D1577" t="s">
        <v>1568</v>
      </c>
      <c r="E1577" t="s">
        <v>26</v>
      </c>
      <c r="F1577" t="s">
        <v>34</v>
      </c>
      <c r="G1577" t="s">
        <v>20</v>
      </c>
      <c r="H1577" t="s">
        <v>21</v>
      </c>
      <c r="I1577" t="s">
        <v>22</v>
      </c>
      <c r="J1577">
        <v>4</v>
      </c>
      <c r="K1577">
        <v>650</v>
      </c>
      <c r="L1577">
        <v>0.05</v>
      </c>
      <c r="M1577">
        <v>2470</v>
      </c>
      <c r="N1577">
        <v>1560</v>
      </c>
      <c r="O1577">
        <v>910</v>
      </c>
    </row>
    <row r="1578" spans="1:15" x14ac:dyDescent="0.25">
      <c r="A1578" t="s">
        <v>2609</v>
      </c>
      <c r="B1578" s="2">
        <v>47234</v>
      </c>
      <c r="C1578" t="s">
        <v>74</v>
      </c>
      <c r="D1578" t="s">
        <v>75</v>
      </c>
      <c r="E1578" t="s">
        <v>26</v>
      </c>
      <c r="F1578" t="s">
        <v>27</v>
      </c>
      <c r="G1578" t="s">
        <v>57</v>
      </c>
      <c r="H1578" t="s">
        <v>188</v>
      </c>
      <c r="I1578" t="s">
        <v>189</v>
      </c>
      <c r="J1578">
        <v>3</v>
      </c>
      <c r="K1578">
        <v>6200</v>
      </c>
      <c r="L1578">
        <v>0.25</v>
      </c>
      <c r="M1578">
        <v>13950</v>
      </c>
      <c r="N1578">
        <v>12900</v>
      </c>
      <c r="O1578">
        <v>1050</v>
      </c>
    </row>
    <row r="1579" spans="1:15" x14ac:dyDescent="0.25">
      <c r="A1579" t="s">
        <v>2610</v>
      </c>
      <c r="B1579" s="2">
        <v>47235</v>
      </c>
      <c r="C1579" t="s">
        <v>417</v>
      </c>
      <c r="D1579" t="s">
        <v>418</v>
      </c>
      <c r="E1579" t="s">
        <v>26</v>
      </c>
      <c r="F1579" t="s">
        <v>204</v>
      </c>
      <c r="G1579" t="s">
        <v>28</v>
      </c>
      <c r="H1579" t="s">
        <v>63</v>
      </c>
      <c r="I1579" t="s">
        <v>64</v>
      </c>
      <c r="J1579">
        <v>2</v>
      </c>
      <c r="K1579">
        <v>2400</v>
      </c>
      <c r="L1579">
        <v>0</v>
      </c>
      <c r="M1579">
        <v>4800</v>
      </c>
      <c r="N1579">
        <v>3300</v>
      </c>
      <c r="O1579">
        <v>1500</v>
      </c>
    </row>
    <row r="1580" spans="1:15" x14ac:dyDescent="0.25">
      <c r="A1580" t="s">
        <v>2611</v>
      </c>
      <c r="B1580" s="2">
        <v>47236</v>
      </c>
      <c r="C1580" t="s">
        <v>2365</v>
      </c>
      <c r="D1580" t="s">
        <v>2366</v>
      </c>
      <c r="E1580" t="s">
        <v>26</v>
      </c>
      <c r="F1580" t="s">
        <v>34</v>
      </c>
      <c r="G1580" t="s">
        <v>51</v>
      </c>
      <c r="H1580" t="s">
        <v>52</v>
      </c>
      <c r="I1580" t="s">
        <v>208</v>
      </c>
      <c r="J1580">
        <v>2</v>
      </c>
      <c r="K1580">
        <v>2800</v>
      </c>
      <c r="L1580">
        <v>0.1</v>
      </c>
      <c r="M1580">
        <v>5040</v>
      </c>
      <c r="N1580">
        <v>3600</v>
      </c>
      <c r="O1580">
        <v>1440</v>
      </c>
    </row>
    <row r="1581" spans="1:15" x14ac:dyDescent="0.25">
      <c r="A1581" t="s">
        <v>2612</v>
      </c>
      <c r="B1581" s="2">
        <v>47237</v>
      </c>
      <c r="C1581" t="s">
        <v>977</v>
      </c>
      <c r="D1581" t="s">
        <v>978</v>
      </c>
      <c r="E1581" t="s">
        <v>18</v>
      </c>
      <c r="F1581" t="s">
        <v>115</v>
      </c>
      <c r="G1581" t="s">
        <v>57</v>
      </c>
      <c r="H1581" t="s">
        <v>104</v>
      </c>
      <c r="I1581" t="s">
        <v>105</v>
      </c>
      <c r="J1581">
        <v>5</v>
      </c>
      <c r="K1581">
        <v>7500</v>
      </c>
      <c r="L1581">
        <v>0.05</v>
      </c>
      <c r="M1581">
        <v>35625</v>
      </c>
      <c r="N1581">
        <v>26000</v>
      </c>
      <c r="O1581">
        <v>9625</v>
      </c>
    </row>
    <row r="1582" spans="1:15" x14ac:dyDescent="0.25">
      <c r="A1582" t="s">
        <v>2613</v>
      </c>
      <c r="B1582" s="2">
        <v>47238</v>
      </c>
      <c r="C1582" t="s">
        <v>1589</v>
      </c>
      <c r="D1582" t="s">
        <v>1590</v>
      </c>
      <c r="E1582" t="s">
        <v>26</v>
      </c>
      <c r="F1582" t="s">
        <v>27</v>
      </c>
      <c r="G1582" t="s">
        <v>20</v>
      </c>
      <c r="H1582" t="s">
        <v>84</v>
      </c>
      <c r="I1582" t="s">
        <v>85</v>
      </c>
      <c r="J1582">
        <v>1</v>
      </c>
      <c r="K1582">
        <v>280</v>
      </c>
      <c r="L1582">
        <v>0.1</v>
      </c>
      <c r="M1582">
        <v>252</v>
      </c>
      <c r="N1582">
        <v>160</v>
      </c>
      <c r="O1582">
        <v>92</v>
      </c>
    </row>
    <row r="1583" spans="1:15" x14ac:dyDescent="0.25">
      <c r="A1583" t="s">
        <v>2614</v>
      </c>
      <c r="B1583" s="2">
        <v>47239</v>
      </c>
      <c r="C1583" t="s">
        <v>1092</v>
      </c>
      <c r="D1583" t="s">
        <v>1093</v>
      </c>
      <c r="E1583" t="s">
        <v>96</v>
      </c>
      <c r="F1583" t="s">
        <v>196</v>
      </c>
      <c r="G1583" t="s">
        <v>51</v>
      </c>
      <c r="H1583" t="s">
        <v>52</v>
      </c>
      <c r="I1583" t="s">
        <v>208</v>
      </c>
      <c r="J1583">
        <v>5</v>
      </c>
      <c r="K1583">
        <v>2800</v>
      </c>
      <c r="L1583">
        <v>0</v>
      </c>
      <c r="M1583">
        <v>14000</v>
      </c>
      <c r="N1583">
        <v>9000</v>
      </c>
      <c r="O1583">
        <v>5000</v>
      </c>
    </row>
    <row r="1584" spans="1:15" x14ac:dyDescent="0.25">
      <c r="A1584" t="s">
        <v>2615</v>
      </c>
      <c r="B1584" s="2">
        <v>47240</v>
      </c>
      <c r="C1584" t="s">
        <v>149</v>
      </c>
      <c r="D1584" t="s">
        <v>150</v>
      </c>
      <c r="E1584" t="s">
        <v>18</v>
      </c>
      <c r="F1584" t="s">
        <v>94</v>
      </c>
      <c r="G1584" t="s">
        <v>51</v>
      </c>
      <c r="H1584" t="s">
        <v>52</v>
      </c>
      <c r="I1584" t="s">
        <v>53</v>
      </c>
      <c r="J1584">
        <v>1</v>
      </c>
      <c r="K1584">
        <v>2200</v>
      </c>
      <c r="L1584">
        <v>0</v>
      </c>
      <c r="M1584">
        <v>2200</v>
      </c>
      <c r="N1584">
        <v>1450</v>
      </c>
      <c r="O1584">
        <v>750</v>
      </c>
    </row>
    <row r="1585" spans="1:15" x14ac:dyDescent="0.25">
      <c r="A1585" t="s">
        <v>2616</v>
      </c>
      <c r="B1585" s="2">
        <v>47241</v>
      </c>
      <c r="C1585" t="s">
        <v>945</v>
      </c>
      <c r="D1585" t="s">
        <v>946</v>
      </c>
      <c r="E1585" t="s">
        <v>26</v>
      </c>
      <c r="F1585" t="s">
        <v>27</v>
      </c>
      <c r="G1585" t="s">
        <v>51</v>
      </c>
      <c r="H1585" t="s">
        <v>21</v>
      </c>
      <c r="I1585" t="s">
        <v>72</v>
      </c>
      <c r="J1585">
        <v>3</v>
      </c>
      <c r="K1585">
        <v>1800</v>
      </c>
      <c r="L1585">
        <v>0.15</v>
      </c>
      <c r="M1585">
        <v>4590</v>
      </c>
      <c r="N1585">
        <v>3300</v>
      </c>
      <c r="O1585">
        <v>1290</v>
      </c>
    </row>
    <row r="1586" spans="1:15" x14ac:dyDescent="0.25">
      <c r="A1586" t="s">
        <v>2617</v>
      </c>
      <c r="B1586" s="2">
        <v>47242</v>
      </c>
      <c r="C1586" t="s">
        <v>2618</v>
      </c>
      <c r="D1586" t="s">
        <v>2619</v>
      </c>
      <c r="E1586" t="s">
        <v>26</v>
      </c>
      <c r="F1586" t="s">
        <v>27</v>
      </c>
      <c r="G1586" t="s">
        <v>57</v>
      </c>
      <c r="H1586" t="s">
        <v>188</v>
      </c>
      <c r="I1586" t="s">
        <v>189</v>
      </c>
      <c r="J1586">
        <v>2</v>
      </c>
      <c r="K1586">
        <v>6200</v>
      </c>
      <c r="L1586">
        <v>0.2</v>
      </c>
      <c r="M1586">
        <v>9920</v>
      </c>
      <c r="N1586">
        <v>8600</v>
      </c>
      <c r="O1586">
        <v>1320</v>
      </c>
    </row>
    <row r="1587" spans="1:15" x14ac:dyDescent="0.25">
      <c r="A1587" t="s">
        <v>2620</v>
      </c>
      <c r="B1587" s="2">
        <v>47243</v>
      </c>
      <c r="C1587" t="s">
        <v>1130</v>
      </c>
      <c r="D1587" t="s">
        <v>1131</v>
      </c>
      <c r="E1587" t="s">
        <v>26</v>
      </c>
      <c r="F1587" t="s">
        <v>204</v>
      </c>
      <c r="G1587" t="s">
        <v>57</v>
      </c>
      <c r="H1587" t="s">
        <v>58</v>
      </c>
      <c r="I1587" t="s">
        <v>59</v>
      </c>
      <c r="J1587">
        <v>4</v>
      </c>
      <c r="K1587">
        <v>5600</v>
      </c>
      <c r="L1587">
        <v>0</v>
      </c>
      <c r="M1587">
        <v>22400</v>
      </c>
      <c r="N1587">
        <v>15600</v>
      </c>
      <c r="O1587">
        <v>6800</v>
      </c>
    </row>
    <row r="1588" spans="1:15" x14ac:dyDescent="0.25">
      <c r="A1588" t="s">
        <v>2621</v>
      </c>
      <c r="B1588" s="2">
        <v>47244</v>
      </c>
      <c r="C1588" t="s">
        <v>1541</v>
      </c>
      <c r="D1588" t="s">
        <v>1542</v>
      </c>
      <c r="E1588" t="s">
        <v>26</v>
      </c>
      <c r="F1588" t="s">
        <v>46</v>
      </c>
      <c r="G1588" t="s">
        <v>20</v>
      </c>
      <c r="H1588" t="s">
        <v>41</v>
      </c>
      <c r="I1588" t="s">
        <v>42</v>
      </c>
      <c r="J1588">
        <v>4</v>
      </c>
      <c r="K1588">
        <v>520</v>
      </c>
      <c r="L1588">
        <v>0.05</v>
      </c>
      <c r="M1588">
        <v>1976</v>
      </c>
      <c r="N1588">
        <v>1320</v>
      </c>
      <c r="O1588">
        <v>656</v>
      </c>
    </row>
    <row r="1589" spans="1:15" x14ac:dyDescent="0.25">
      <c r="A1589" t="s">
        <v>2622</v>
      </c>
      <c r="B1589" s="2">
        <v>47245</v>
      </c>
      <c r="C1589" t="s">
        <v>1720</v>
      </c>
      <c r="D1589" t="s">
        <v>1721</v>
      </c>
      <c r="E1589" t="s">
        <v>26</v>
      </c>
      <c r="F1589" t="s">
        <v>46</v>
      </c>
      <c r="G1589" t="s">
        <v>57</v>
      </c>
      <c r="H1589" t="s">
        <v>58</v>
      </c>
      <c r="I1589" t="s">
        <v>59</v>
      </c>
      <c r="J1589">
        <v>3</v>
      </c>
      <c r="K1589">
        <v>5600</v>
      </c>
      <c r="L1589">
        <v>0.1</v>
      </c>
      <c r="M1589">
        <v>15120</v>
      </c>
      <c r="N1589">
        <v>11700</v>
      </c>
      <c r="O1589">
        <v>3420</v>
      </c>
    </row>
    <row r="1590" spans="1:15" x14ac:dyDescent="0.25">
      <c r="A1590" t="s">
        <v>2623</v>
      </c>
      <c r="B1590" s="2">
        <v>47246</v>
      </c>
      <c r="C1590" t="s">
        <v>1256</v>
      </c>
      <c r="D1590" t="s">
        <v>1257</v>
      </c>
      <c r="E1590" t="s">
        <v>18</v>
      </c>
      <c r="F1590" t="s">
        <v>115</v>
      </c>
      <c r="G1590" t="s">
        <v>51</v>
      </c>
      <c r="H1590" t="s">
        <v>21</v>
      </c>
      <c r="I1590" t="s">
        <v>80</v>
      </c>
      <c r="J1590">
        <v>3</v>
      </c>
      <c r="K1590">
        <v>850</v>
      </c>
      <c r="L1590">
        <v>0.15</v>
      </c>
      <c r="M1590">
        <v>2167.5</v>
      </c>
      <c r="N1590">
        <v>1680</v>
      </c>
      <c r="O1590">
        <v>487.5</v>
      </c>
    </row>
    <row r="1591" spans="1:15" x14ac:dyDescent="0.25">
      <c r="A1591" t="s">
        <v>2624</v>
      </c>
      <c r="B1591" s="2">
        <v>47247</v>
      </c>
      <c r="C1591" t="s">
        <v>974</v>
      </c>
      <c r="D1591" t="s">
        <v>975</v>
      </c>
      <c r="E1591" t="s">
        <v>39</v>
      </c>
      <c r="F1591" t="s">
        <v>71</v>
      </c>
      <c r="G1591" t="s">
        <v>57</v>
      </c>
      <c r="H1591" t="s">
        <v>58</v>
      </c>
      <c r="I1591" t="s">
        <v>129</v>
      </c>
      <c r="J1591">
        <v>3</v>
      </c>
      <c r="K1591">
        <v>4800</v>
      </c>
      <c r="L1591">
        <v>0</v>
      </c>
      <c r="M1591">
        <v>14400</v>
      </c>
      <c r="N1591">
        <v>9900</v>
      </c>
      <c r="O1591">
        <v>4500</v>
      </c>
    </row>
    <row r="1592" spans="1:15" x14ac:dyDescent="0.25">
      <c r="A1592" t="s">
        <v>2625</v>
      </c>
      <c r="B1592" s="2">
        <v>47248</v>
      </c>
      <c r="C1592" t="s">
        <v>611</v>
      </c>
      <c r="D1592" t="s">
        <v>612</v>
      </c>
      <c r="E1592" t="s">
        <v>96</v>
      </c>
      <c r="F1592" t="s">
        <v>196</v>
      </c>
      <c r="G1592" t="s">
        <v>28</v>
      </c>
      <c r="H1592" t="s">
        <v>29</v>
      </c>
      <c r="I1592" t="s">
        <v>35</v>
      </c>
      <c r="J1592">
        <v>1</v>
      </c>
      <c r="K1592">
        <v>4200</v>
      </c>
      <c r="L1592">
        <v>0.15</v>
      </c>
      <c r="M1592">
        <v>3570</v>
      </c>
      <c r="N1592">
        <v>2900</v>
      </c>
      <c r="O1592">
        <v>670</v>
      </c>
    </row>
    <row r="1593" spans="1:15" x14ac:dyDescent="0.25">
      <c r="A1593" t="s">
        <v>2626</v>
      </c>
      <c r="B1593" s="2">
        <v>47249</v>
      </c>
      <c r="C1593" t="s">
        <v>1167</v>
      </c>
      <c r="D1593" t="s">
        <v>1168</v>
      </c>
      <c r="E1593" t="s">
        <v>96</v>
      </c>
      <c r="F1593" t="s">
        <v>196</v>
      </c>
      <c r="G1593" t="s">
        <v>51</v>
      </c>
      <c r="H1593" t="s">
        <v>89</v>
      </c>
      <c r="I1593" t="s">
        <v>90</v>
      </c>
      <c r="J1593">
        <v>2</v>
      </c>
      <c r="K1593">
        <v>10500</v>
      </c>
      <c r="L1593">
        <v>0.2</v>
      </c>
      <c r="M1593">
        <v>16800</v>
      </c>
      <c r="N1593">
        <v>15200</v>
      </c>
      <c r="O1593">
        <v>1600</v>
      </c>
    </row>
    <row r="1594" spans="1:15" x14ac:dyDescent="0.25">
      <c r="A1594" t="s">
        <v>2627</v>
      </c>
      <c r="B1594" s="2">
        <v>47250</v>
      </c>
      <c r="C1594" t="s">
        <v>938</v>
      </c>
      <c r="D1594" t="s">
        <v>939</v>
      </c>
      <c r="E1594" t="s">
        <v>26</v>
      </c>
      <c r="F1594" t="s">
        <v>46</v>
      </c>
      <c r="G1594" t="s">
        <v>20</v>
      </c>
      <c r="H1594" t="s">
        <v>84</v>
      </c>
      <c r="I1594" t="s">
        <v>85</v>
      </c>
      <c r="J1594">
        <v>4</v>
      </c>
      <c r="K1594">
        <v>280</v>
      </c>
      <c r="L1594">
        <v>0.15</v>
      </c>
      <c r="M1594">
        <v>952</v>
      </c>
      <c r="N1594">
        <v>640</v>
      </c>
      <c r="O1594">
        <v>312</v>
      </c>
    </row>
    <row r="1595" spans="1:15" x14ac:dyDescent="0.25">
      <c r="A1595" t="s">
        <v>2628</v>
      </c>
      <c r="B1595" s="2">
        <v>47251</v>
      </c>
      <c r="C1595" t="s">
        <v>1836</v>
      </c>
      <c r="D1595" t="s">
        <v>1837</v>
      </c>
      <c r="E1595" t="s">
        <v>26</v>
      </c>
      <c r="F1595" t="s">
        <v>204</v>
      </c>
      <c r="G1595" t="s">
        <v>51</v>
      </c>
      <c r="H1595" t="s">
        <v>89</v>
      </c>
      <c r="I1595" t="s">
        <v>90</v>
      </c>
      <c r="J1595">
        <v>5</v>
      </c>
      <c r="K1595">
        <v>10500</v>
      </c>
      <c r="L1595">
        <v>0</v>
      </c>
      <c r="M1595">
        <v>52500</v>
      </c>
      <c r="N1595">
        <v>38000</v>
      </c>
      <c r="O1595">
        <v>14500</v>
      </c>
    </row>
    <row r="1596" spans="1:15" x14ac:dyDescent="0.25">
      <c r="A1596" t="s">
        <v>2629</v>
      </c>
      <c r="B1596" s="2">
        <v>47252</v>
      </c>
      <c r="C1596" t="s">
        <v>606</v>
      </c>
      <c r="D1596" t="s">
        <v>607</v>
      </c>
      <c r="E1596" t="s">
        <v>96</v>
      </c>
      <c r="F1596" t="s">
        <v>120</v>
      </c>
      <c r="G1596" t="s">
        <v>28</v>
      </c>
      <c r="H1596" t="s">
        <v>29</v>
      </c>
      <c r="I1596" t="s">
        <v>35</v>
      </c>
      <c r="J1596">
        <v>4</v>
      </c>
      <c r="K1596">
        <v>4200</v>
      </c>
      <c r="L1596">
        <v>0.2</v>
      </c>
      <c r="M1596">
        <v>13440</v>
      </c>
      <c r="N1596">
        <v>11600</v>
      </c>
      <c r="O1596">
        <v>1840</v>
      </c>
    </row>
    <row r="1597" spans="1:15" x14ac:dyDescent="0.25">
      <c r="A1597" t="s">
        <v>2630</v>
      </c>
      <c r="B1597" s="2">
        <v>47253</v>
      </c>
      <c r="C1597" t="s">
        <v>1486</v>
      </c>
      <c r="D1597" t="s">
        <v>1487</v>
      </c>
      <c r="E1597" t="s">
        <v>39</v>
      </c>
      <c r="F1597" t="s">
        <v>40</v>
      </c>
      <c r="G1597" t="s">
        <v>57</v>
      </c>
      <c r="H1597" t="s">
        <v>58</v>
      </c>
      <c r="I1597" t="s">
        <v>129</v>
      </c>
      <c r="J1597">
        <v>1</v>
      </c>
      <c r="K1597">
        <v>4800</v>
      </c>
      <c r="L1597">
        <v>0.15</v>
      </c>
      <c r="M1597">
        <v>4080</v>
      </c>
      <c r="N1597">
        <v>3300</v>
      </c>
      <c r="O1597">
        <v>780</v>
      </c>
    </row>
    <row r="1598" spans="1:15" x14ac:dyDescent="0.25">
      <c r="A1598" t="s">
        <v>2631</v>
      </c>
      <c r="B1598" s="2">
        <v>47254</v>
      </c>
      <c r="C1598" t="s">
        <v>396</v>
      </c>
      <c r="D1598" t="s">
        <v>397</v>
      </c>
      <c r="E1598" t="s">
        <v>26</v>
      </c>
      <c r="F1598" t="s">
        <v>27</v>
      </c>
      <c r="G1598" t="s">
        <v>57</v>
      </c>
      <c r="H1598" t="s">
        <v>104</v>
      </c>
      <c r="I1598" t="s">
        <v>105</v>
      </c>
      <c r="J1598">
        <v>5</v>
      </c>
      <c r="K1598">
        <v>7500</v>
      </c>
      <c r="L1598">
        <v>0.1</v>
      </c>
      <c r="M1598">
        <v>33750</v>
      </c>
      <c r="N1598">
        <v>26000</v>
      </c>
      <c r="O1598">
        <v>7750</v>
      </c>
    </row>
    <row r="1599" spans="1:15" x14ac:dyDescent="0.25">
      <c r="A1599" t="s">
        <v>2632</v>
      </c>
      <c r="B1599" s="2">
        <v>47255</v>
      </c>
      <c r="C1599" t="s">
        <v>1915</v>
      </c>
      <c r="D1599" t="s">
        <v>1916</v>
      </c>
      <c r="E1599" t="s">
        <v>96</v>
      </c>
      <c r="F1599" t="s">
        <v>120</v>
      </c>
      <c r="G1599" t="s">
        <v>28</v>
      </c>
      <c r="H1599" t="s">
        <v>63</v>
      </c>
      <c r="I1599" t="s">
        <v>64</v>
      </c>
      <c r="J1599">
        <v>3</v>
      </c>
      <c r="K1599">
        <v>2400</v>
      </c>
      <c r="L1599">
        <v>0.05</v>
      </c>
      <c r="M1599">
        <v>6840</v>
      </c>
      <c r="N1599">
        <v>4950</v>
      </c>
      <c r="O1599">
        <v>1890</v>
      </c>
    </row>
    <row r="1600" spans="1:15" x14ac:dyDescent="0.25">
      <c r="A1600" t="s">
        <v>2633</v>
      </c>
      <c r="B1600" s="2">
        <v>47256</v>
      </c>
      <c r="C1600" t="s">
        <v>1616</v>
      </c>
      <c r="D1600" t="s">
        <v>1617</v>
      </c>
      <c r="E1600" t="s">
        <v>26</v>
      </c>
      <c r="F1600" t="s">
        <v>128</v>
      </c>
      <c r="G1600" t="s">
        <v>51</v>
      </c>
      <c r="H1600" t="s">
        <v>21</v>
      </c>
      <c r="I1600" t="s">
        <v>116</v>
      </c>
      <c r="J1600">
        <v>5</v>
      </c>
      <c r="K1600">
        <v>1400</v>
      </c>
      <c r="L1600">
        <v>0.25</v>
      </c>
      <c r="M1600">
        <v>5250</v>
      </c>
      <c r="N1600">
        <v>4500</v>
      </c>
      <c r="O1600">
        <v>750</v>
      </c>
    </row>
    <row r="1601" spans="1:15" x14ac:dyDescent="0.25">
      <c r="A1601" t="s">
        <v>2634</v>
      </c>
      <c r="B1601" s="2">
        <v>47257</v>
      </c>
      <c r="C1601" t="s">
        <v>225</v>
      </c>
      <c r="D1601" t="s">
        <v>226</v>
      </c>
      <c r="E1601" t="s">
        <v>26</v>
      </c>
      <c r="F1601" t="s">
        <v>34</v>
      </c>
      <c r="G1601" t="s">
        <v>28</v>
      </c>
      <c r="H1601" t="s">
        <v>29</v>
      </c>
      <c r="I1601" t="s">
        <v>35</v>
      </c>
      <c r="J1601">
        <v>1</v>
      </c>
      <c r="K1601">
        <v>4200</v>
      </c>
      <c r="L1601">
        <v>0.05</v>
      </c>
      <c r="M1601">
        <v>3990</v>
      </c>
      <c r="N1601">
        <v>2900</v>
      </c>
      <c r="O1601">
        <v>1090</v>
      </c>
    </row>
    <row r="1602" spans="1:15" x14ac:dyDescent="0.25">
      <c r="A1602" t="s">
        <v>2635</v>
      </c>
      <c r="B1602" s="2">
        <v>47258</v>
      </c>
      <c r="C1602" t="s">
        <v>990</v>
      </c>
      <c r="D1602" t="s">
        <v>991</v>
      </c>
      <c r="E1602" t="s">
        <v>26</v>
      </c>
      <c r="F1602" t="s">
        <v>46</v>
      </c>
      <c r="G1602" t="s">
        <v>28</v>
      </c>
      <c r="H1602" t="s">
        <v>29</v>
      </c>
      <c r="I1602" t="s">
        <v>30</v>
      </c>
      <c r="J1602">
        <v>5</v>
      </c>
      <c r="K1602">
        <v>1900</v>
      </c>
      <c r="L1602">
        <v>0.05</v>
      </c>
      <c r="M1602">
        <v>9025</v>
      </c>
      <c r="N1602">
        <v>6250</v>
      </c>
      <c r="O1602">
        <v>2775</v>
      </c>
    </row>
    <row r="1603" spans="1:15" x14ac:dyDescent="0.25">
      <c r="A1603" t="s">
        <v>2636</v>
      </c>
      <c r="B1603" s="2">
        <v>47259</v>
      </c>
      <c r="C1603" t="s">
        <v>164</v>
      </c>
      <c r="D1603" t="s">
        <v>165</v>
      </c>
      <c r="E1603" t="s">
        <v>26</v>
      </c>
      <c r="F1603" t="s">
        <v>128</v>
      </c>
      <c r="G1603" t="s">
        <v>28</v>
      </c>
      <c r="H1603" t="s">
        <v>29</v>
      </c>
      <c r="I1603" t="s">
        <v>30</v>
      </c>
      <c r="J1603">
        <v>1</v>
      </c>
      <c r="K1603">
        <v>1900</v>
      </c>
      <c r="L1603">
        <v>0.15</v>
      </c>
      <c r="M1603">
        <v>1615</v>
      </c>
      <c r="N1603">
        <v>1250</v>
      </c>
      <c r="O1603">
        <v>365</v>
      </c>
    </row>
    <row r="1604" spans="1:15" x14ac:dyDescent="0.25">
      <c r="A1604" t="s">
        <v>2637</v>
      </c>
      <c r="B1604" s="2">
        <v>47260</v>
      </c>
      <c r="C1604" t="s">
        <v>796</v>
      </c>
      <c r="D1604" t="s">
        <v>797</v>
      </c>
      <c r="E1604" t="s">
        <v>26</v>
      </c>
      <c r="F1604" t="s">
        <v>27</v>
      </c>
      <c r="G1604" t="s">
        <v>20</v>
      </c>
      <c r="H1604" t="s">
        <v>84</v>
      </c>
      <c r="I1604" t="s">
        <v>85</v>
      </c>
      <c r="J1604">
        <v>5</v>
      </c>
      <c r="K1604">
        <v>280</v>
      </c>
      <c r="L1604">
        <v>0.1</v>
      </c>
      <c r="M1604">
        <v>1260</v>
      </c>
      <c r="N1604">
        <v>800</v>
      </c>
      <c r="O1604">
        <v>460</v>
      </c>
    </row>
    <row r="1605" spans="1:15" x14ac:dyDescent="0.25">
      <c r="A1605" t="s">
        <v>2638</v>
      </c>
      <c r="B1605" s="2">
        <v>47261</v>
      </c>
      <c r="C1605" t="s">
        <v>876</v>
      </c>
      <c r="D1605" t="s">
        <v>877</v>
      </c>
      <c r="E1605" t="s">
        <v>26</v>
      </c>
      <c r="F1605" t="s">
        <v>204</v>
      </c>
      <c r="G1605" t="s">
        <v>20</v>
      </c>
      <c r="H1605" t="s">
        <v>21</v>
      </c>
      <c r="I1605" t="s">
        <v>22</v>
      </c>
      <c r="J1605">
        <v>3</v>
      </c>
      <c r="K1605">
        <v>650</v>
      </c>
      <c r="L1605">
        <v>0.1</v>
      </c>
      <c r="M1605">
        <v>1755</v>
      </c>
      <c r="N1605">
        <v>1170</v>
      </c>
      <c r="O1605">
        <v>585</v>
      </c>
    </row>
    <row r="1606" spans="1:15" x14ac:dyDescent="0.25">
      <c r="A1606" t="s">
        <v>2639</v>
      </c>
      <c r="B1606" s="2">
        <v>47262</v>
      </c>
      <c r="C1606" t="s">
        <v>853</v>
      </c>
      <c r="D1606" t="s">
        <v>854</v>
      </c>
      <c r="E1606" t="s">
        <v>96</v>
      </c>
      <c r="F1606" t="s">
        <v>200</v>
      </c>
      <c r="G1606" t="s">
        <v>51</v>
      </c>
      <c r="H1606" t="s">
        <v>21</v>
      </c>
      <c r="I1606" t="s">
        <v>72</v>
      </c>
      <c r="J1606">
        <v>3</v>
      </c>
      <c r="K1606">
        <v>1800</v>
      </c>
      <c r="L1606">
        <v>0.2</v>
      </c>
      <c r="M1606">
        <v>4320</v>
      </c>
      <c r="N1606">
        <v>3300</v>
      </c>
      <c r="O1606">
        <v>1020</v>
      </c>
    </row>
    <row r="1607" spans="1:15" x14ac:dyDescent="0.25">
      <c r="A1607" t="s">
        <v>2640</v>
      </c>
      <c r="B1607" s="2">
        <v>47263</v>
      </c>
      <c r="C1607" t="s">
        <v>662</v>
      </c>
      <c r="D1607" t="s">
        <v>663</v>
      </c>
      <c r="E1607" t="s">
        <v>96</v>
      </c>
      <c r="F1607" t="s">
        <v>200</v>
      </c>
      <c r="G1607" t="s">
        <v>28</v>
      </c>
      <c r="H1607" t="s">
        <v>63</v>
      </c>
      <c r="I1607" t="s">
        <v>64</v>
      </c>
      <c r="J1607">
        <v>1</v>
      </c>
      <c r="K1607">
        <v>2400</v>
      </c>
      <c r="L1607">
        <v>0.2</v>
      </c>
      <c r="M1607">
        <v>1920</v>
      </c>
      <c r="N1607">
        <v>1650</v>
      </c>
      <c r="O1607">
        <v>270</v>
      </c>
    </row>
    <row r="1608" spans="1:15" x14ac:dyDescent="0.25">
      <c r="A1608" t="s">
        <v>2641</v>
      </c>
      <c r="B1608" s="2">
        <v>47264</v>
      </c>
      <c r="C1608" t="s">
        <v>843</v>
      </c>
      <c r="D1608" t="s">
        <v>844</v>
      </c>
      <c r="E1608" t="s">
        <v>26</v>
      </c>
      <c r="F1608" t="s">
        <v>27</v>
      </c>
      <c r="G1608" t="s">
        <v>51</v>
      </c>
      <c r="H1608" t="s">
        <v>21</v>
      </c>
      <c r="I1608" t="s">
        <v>116</v>
      </c>
      <c r="J1608">
        <v>4</v>
      </c>
      <c r="K1608">
        <v>1400</v>
      </c>
      <c r="L1608">
        <v>0.1</v>
      </c>
      <c r="M1608">
        <v>5040</v>
      </c>
      <c r="N1608">
        <v>3600</v>
      </c>
      <c r="O1608">
        <v>1440</v>
      </c>
    </row>
    <row r="1609" spans="1:15" x14ac:dyDescent="0.25">
      <c r="A1609" t="s">
        <v>2642</v>
      </c>
      <c r="B1609" s="2">
        <v>47265</v>
      </c>
      <c r="C1609" t="s">
        <v>796</v>
      </c>
      <c r="D1609" t="s">
        <v>797</v>
      </c>
      <c r="E1609" t="s">
        <v>26</v>
      </c>
      <c r="F1609" t="s">
        <v>204</v>
      </c>
      <c r="G1609" t="s">
        <v>57</v>
      </c>
      <c r="H1609" t="s">
        <v>58</v>
      </c>
      <c r="I1609" t="s">
        <v>129</v>
      </c>
      <c r="J1609">
        <v>1</v>
      </c>
      <c r="K1609">
        <v>4800</v>
      </c>
      <c r="L1609">
        <v>0.05</v>
      </c>
      <c r="M1609">
        <v>4560</v>
      </c>
      <c r="N1609">
        <v>3300</v>
      </c>
      <c r="O1609">
        <v>1260</v>
      </c>
    </row>
    <row r="1610" spans="1:15" x14ac:dyDescent="0.25">
      <c r="A1610" t="s">
        <v>2643</v>
      </c>
      <c r="B1610" s="2">
        <v>47266</v>
      </c>
      <c r="C1610" t="s">
        <v>433</v>
      </c>
      <c r="D1610" t="s">
        <v>434</v>
      </c>
      <c r="E1610" t="s">
        <v>26</v>
      </c>
      <c r="F1610" t="s">
        <v>27</v>
      </c>
      <c r="G1610" t="s">
        <v>51</v>
      </c>
      <c r="H1610" t="s">
        <v>52</v>
      </c>
      <c r="I1610" t="s">
        <v>208</v>
      </c>
      <c r="J1610">
        <v>3</v>
      </c>
      <c r="K1610">
        <v>2800</v>
      </c>
      <c r="L1610">
        <v>0.15</v>
      </c>
      <c r="M1610">
        <v>7140</v>
      </c>
      <c r="N1610">
        <v>5400</v>
      </c>
      <c r="O1610">
        <v>1740</v>
      </c>
    </row>
    <row r="1611" spans="1:15" x14ac:dyDescent="0.25">
      <c r="A1611" t="s">
        <v>2644</v>
      </c>
      <c r="B1611" s="2">
        <v>47267</v>
      </c>
      <c r="C1611" t="s">
        <v>513</v>
      </c>
      <c r="D1611" t="s">
        <v>514</v>
      </c>
      <c r="E1611" t="s">
        <v>26</v>
      </c>
      <c r="F1611" t="s">
        <v>204</v>
      </c>
      <c r="G1611" t="s">
        <v>51</v>
      </c>
      <c r="H1611" t="s">
        <v>89</v>
      </c>
      <c r="I1611" t="s">
        <v>90</v>
      </c>
      <c r="J1611">
        <v>2</v>
      </c>
      <c r="K1611">
        <v>10500</v>
      </c>
      <c r="L1611">
        <v>0.25</v>
      </c>
      <c r="M1611">
        <v>15750</v>
      </c>
      <c r="N1611">
        <v>15200</v>
      </c>
      <c r="O1611">
        <v>550</v>
      </c>
    </row>
    <row r="1612" spans="1:15" x14ac:dyDescent="0.25">
      <c r="A1612" t="s">
        <v>2645</v>
      </c>
      <c r="B1612" s="2">
        <v>47268</v>
      </c>
      <c r="C1612" t="s">
        <v>733</v>
      </c>
      <c r="D1612" t="s">
        <v>734</v>
      </c>
      <c r="E1612" t="s">
        <v>39</v>
      </c>
      <c r="F1612" t="s">
        <v>40</v>
      </c>
      <c r="G1612" t="s">
        <v>51</v>
      </c>
      <c r="H1612" t="s">
        <v>52</v>
      </c>
      <c r="I1612" t="s">
        <v>53</v>
      </c>
      <c r="J1612">
        <v>3</v>
      </c>
      <c r="K1612">
        <v>2200</v>
      </c>
      <c r="L1612">
        <v>0.05</v>
      </c>
      <c r="M1612">
        <v>6270</v>
      </c>
      <c r="N1612">
        <v>4350</v>
      </c>
      <c r="O1612">
        <v>1920</v>
      </c>
    </row>
    <row r="1613" spans="1:15" x14ac:dyDescent="0.25">
      <c r="A1613" t="s">
        <v>2646</v>
      </c>
      <c r="B1613" s="2">
        <v>47269</v>
      </c>
      <c r="C1613" t="s">
        <v>905</v>
      </c>
      <c r="D1613" t="s">
        <v>906</v>
      </c>
      <c r="E1613" t="s">
        <v>26</v>
      </c>
      <c r="F1613" t="s">
        <v>128</v>
      </c>
      <c r="G1613" t="s">
        <v>20</v>
      </c>
      <c r="H1613" t="s">
        <v>41</v>
      </c>
      <c r="I1613" t="s">
        <v>42</v>
      </c>
      <c r="J1613">
        <v>3</v>
      </c>
      <c r="K1613">
        <v>520</v>
      </c>
      <c r="L1613">
        <v>0.15</v>
      </c>
      <c r="M1613">
        <v>1326</v>
      </c>
      <c r="N1613">
        <v>990</v>
      </c>
      <c r="O1613">
        <v>336</v>
      </c>
    </row>
    <row r="1614" spans="1:15" x14ac:dyDescent="0.25">
      <c r="A1614" t="s">
        <v>2647</v>
      </c>
      <c r="B1614" s="2">
        <v>47270</v>
      </c>
      <c r="C1614" t="s">
        <v>2648</v>
      </c>
      <c r="D1614" t="s">
        <v>2649</v>
      </c>
      <c r="E1614" t="s">
        <v>96</v>
      </c>
      <c r="F1614" t="s">
        <v>200</v>
      </c>
      <c r="G1614" t="s">
        <v>28</v>
      </c>
      <c r="H1614" t="s">
        <v>29</v>
      </c>
      <c r="I1614" t="s">
        <v>47</v>
      </c>
      <c r="J1614">
        <v>1</v>
      </c>
      <c r="K1614">
        <v>6800</v>
      </c>
      <c r="L1614">
        <v>0.1</v>
      </c>
      <c r="M1614">
        <v>6120</v>
      </c>
      <c r="N1614">
        <v>4700</v>
      </c>
      <c r="O1614">
        <v>1420</v>
      </c>
    </row>
    <row r="1615" spans="1:15" x14ac:dyDescent="0.25">
      <c r="A1615" t="s">
        <v>2650</v>
      </c>
      <c r="B1615" s="2">
        <v>47271</v>
      </c>
      <c r="C1615" t="s">
        <v>1915</v>
      </c>
      <c r="D1615" t="s">
        <v>1916</v>
      </c>
      <c r="E1615" t="s">
        <v>39</v>
      </c>
      <c r="F1615" t="s">
        <v>40</v>
      </c>
      <c r="G1615" t="s">
        <v>51</v>
      </c>
      <c r="H1615" t="s">
        <v>52</v>
      </c>
      <c r="I1615" t="s">
        <v>208</v>
      </c>
      <c r="J1615">
        <v>5</v>
      </c>
      <c r="K1615">
        <v>2800</v>
      </c>
      <c r="L1615">
        <v>0.05</v>
      </c>
      <c r="M1615">
        <v>13300</v>
      </c>
      <c r="N1615">
        <v>9000</v>
      </c>
      <c r="O1615">
        <v>4300</v>
      </c>
    </row>
    <row r="1616" spans="1:15" x14ac:dyDescent="0.25">
      <c r="A1616" t="s">
        <v>2651</v>
      </c>
      <c r="B1616" s="2">
        <v>47272</v>
      </c>
      <c r="C1616" t="s">
        <v>2092</v>
      </c>
      <c r="D1616" t="s">
        <v>2093</v>
      </c>
      <c r="E1616" t="s">
        <v>96</v>
      </c>
      <c r="F1616" t="s">
        <v>196</v>
      </c>
      <c r="G1616" t="s">
        <v>51</v>
      </c>
      <c r="H1616" t="s">
        <v>52</v>
      </c>
      <c r="I1616" t="s">
        <v>208</v>
      </c>
      <c r="J1616">
        <v>2</v>
      </c>
      <c r="K1616">
        <v>2800</v>
      </c>
      <c r="L1616">
        <v>0.05</v>
      </c>
      <c r="M1616">
        <v>5320</v>
      </c>
      <c r="N1616">
        <v>3600</v>
      </c>
      <c r="O1616">
        <v>1720</v>
      </c>
    </row>
    <row r="1617" spans="1:15" x14ac:dyDescent="0.25">
      <c r="A1617" t="s">
        <v>2652</v>
      </c>
      <c r="B1617" s="2">
        <v>47273</v>
      </c>
      <c r="C1617" t="s">
        <v>1176</v>
      </c>
      <c r="D1617" t="s">
        <v>1177</v>
      </c>
      <c r="E1617" t="s">
        <v>96</v>
      </c>
      <c r="F1617" t="s">
        <v>196</v>
      </c>
      <c r="G1617" t="s">
        <v>20</v>
      </c>
      <c r="H1617" t="s">
        <v>84</v>
      </c>
      <c r="I1617" t="s">
        <v>85</v>
      </c>
      <c r="J1617">
        <v>4</v>
      </c>
      <c r="K1617">
        <v>280</v>
      </c>
      <c r="L1617">
        <v>0.15</v>
      </c>
      <c r="M1617">
        <v>952</v>
      </c>
      <c r="N1617">
        <v>640</v>
      </c>
      <c r="O1617">
        <v>312</v>
      </c>
    </row>
    <row r="1618" spans="1:15" x14ac:dyDescent="0.25">
      <c r="A1618" t="s">
        <v>2653</v>
      </c>
      <c r="B1618" s="2">
        <v>47274</v>
      </c>
      <c r="C1618" t="s">
        <v>1874</v>
      </c>
      <c r="D1618" t="s">
        <v>1875</v>
      </c>
      <c r="E1618" t="s">
        <v>26</v>
      </c>
      <c r="F1618" t="s">
        <v>46</v>
      </c>
      <c r="G1618" t="s">
        <v>20</v>
      </c>
      <c r="H1618" t="s">
        <v>84</v>
      </c>
      <c r="I1618" t="s">
        <v>169</v>
      </c>
      <c r="J1618">
        <v>3</v>
      </c>
      <c r="K1618">
        <v>450</v>
      </c>
      <c r="L1618">
        <v>0.25</v>
      </c>
      <c r="M1618">
        <v>1012.5</v>
      </c>
      <c r="N1618">
        <v>780</v>
      </c>
      <c r="O1618">
        <v>232.5</v>
      </c>
    </row>
    <row r="1619" spans="1:15" x14ac:dyDescent="0.25">
      <c r="A1619" t="s">
        <v>2654</v>
      </c>
      <c r="B1619" s="2">
        <v>47275</v>
      </c>
      <c r="C1619" t="s">
        <v>1502</v>
      </c>
      <c r="D1619" t="s">
        <v>1503</v>
      </c>
      <c r="E1619" t="s">
        <v>26</v>
      </c>
      <c r="F1619" t="s">
        <v>27</v>
      </c>
      <c r="G1619" t="s">
        <v>57</v>
      </c>
      <c r="H1619" t="s">
        <v>58</v>
      </c>
      <c r="I1619" t="s">
        <v>129</v>
      </c>
      <c r="J1619">
        <v>3</v>
      </c>
      <c r="K1619">
        <v>4800</v>
      </c>
      <c r="L1619">
        <v>0.15</v>
      </c>
      <c r="M1619">
        <v>12240</v>
      </c>
      <c r="N1619">
        <v>9900</v>
      </c>
      <c r="O1619">
        <v>2340</v>
      </c>
    </row>
    <row r="1620" spans="1:15" x14ac:dyDescent="0.25">
      <c r="A1620" t="s">
        <v>2655</v>
      </c>
      <c r="B1620" s="2">
        <v>47276</v>
      </c>
      <c r="C1620" t="s">
        <v>1204</v>
      </c>
      <c r="D1620" t="s">
        <v>1205</v>
      </c>
      <c r="E1620" t="s">
        <v>39</v>
      </c>
      <c r="F1620" t="s">
        <v>76</v>
      </c>
      <c r="G1620" t="s">
        <v>57</v>
      </c>
      <c r="H1620" t="s">
        <v>104</v>
      </c>
      <c r="I1620" t="s">
        <v>105</v>
      </c>
      <c r="J1620">
        <v>2</v>
      </c>
      <c r="K1620">
        <v>7500</v>
      </c>
      <c r="L1620">
        <v>0.25</v>
      </c>
      <c r="M1620">
        <v>11250</v>
      </c>
      <c r="N1620">
        <v>10400</v>
      </c>
      <c r="O1620">
        <v>850</v>
      </c>
    </row>
    <row r="1621" spans="1:15" x14ac:dyDescent="0.25">
      <c r="A1621" t="s">
        <v>2656</v>
      </c>
      <c r="B1621" s="2">
        <v>47277</v>
      </c>
      <c r="C1621" t="s">
        <v>821</v>
      </c>
      <c r="D1621" t="s">
        <v>822</v>
      </c>
      <c r="E1621" t="s">
        <v>26</v>
      </c>
      <c r="F1621" t="s">
        <v>34</v>
      </c>
      <c r="G1621" t="s">
        <v>28</v>
      </c>
      <c r="H1621" t="s">
        <v>29</v>
      </c>
      <c r="I1621" t="s">
        <v>30</v>
      </c>
      <c r="J1621">
        <v>2</v>
      </c>
      <c r="K1621">
        <v>1900</v>
      </c>
      <c r="L1621">
        <v>0.15</v>
      </c>
      <c r="M1621">
        <v>3230</v>
      </c>
      <c r="N1621">
        <v>2500</v>
      </c>
      <c r="O1621">
        <v>730</v>
      </c>
    </row>
    <row r="1622" spans="1:15" x14ac:dyDescent="0.25">
      <c r="A1622" t="s">
        <v>2657</v>
      </c>
      <c r="B1622" s="2">
        <v>47278</v>
      </c>
      <c r="C1622" t="s">
        <v>1581</v>
      </c>
      <c r="D1622" t="s">
        <v>1582</v>
      </c>
      <c r="E1622" t="s">
        <v>39</v>
      </c>
      <c r="F1622" t="s">
        <v>76</v>
      </c>
      <c r="G1622" t="s">
        <v>51</v>
      </c>
      <c r="H1622" t="s">
        <v>52</v>
      </c>
      <c r="I1622" t="s">
        <v>208</v>
      </c>
      <c r="J1622">
        <v>1</v>
      </c>
      <c r="K1622">
        <v>2800</v>
      </c>
      <c r="L1622">
        <v>0.05</v>
      </c>
      <c r="M1622">
        <v>2660</v>
      </c>
      <c r="N1622">
        <v>1800</v>
      </c>
      <c r="O1622">
        <v>860</v>
      </c>
    </row>
    <row r="1623" spans="1:15" x14ac:dyDescent="0.25">
      <c r="A1623" t="s">
        <v>2658</v>
      </c>
      <c r="B1623" s="2">
        <v>47279</v>
      </c>
      <c r="C1623" t="s">
        <v>728</v>
      </c>
      <c r="D1623" t="s">
        <v>729</v>
      </c>
      <c r="E1623" t="s">
        <v>39</v>
      </c>
      <c r="F1623" t="s">
        <v>124</v>
      </c>
      <c r="G1623" t="s">
        <v>57</v>
      </c>
      <c r="H1623" t="s">
        <v>104</v>
      </c>
      <c r="I1623" t="s">
        <v>105</v>
      </c>
      <c r="J1623">
        <v>3</v>
      </c>
      <c r="K1623">
        <v>7500</v>
      </c>
      <c r="L1623">
        <v>0</v>
      </c>
      <c r="M1623">
        <v>22500</v>
      </c>
      <c r="N1623">
        <v>15600</v>
      </c>
      <c r="O1623">
        <v>6900</v>
      </c>
    </row>
    <row r="1624" spans="1:15" x14ac:dyDescent="0.25">
      <c r="A1624" t="s">
        <v>2659</v>
      </c>
      <c r="B1624" s="2">
        <v>47280</v>
      </c>
      <c r="C1624" t="s">
        <v>456</v>
      </c>
      <c r="D1624" t="s">
        <v>457</v>
      </c>
      <c r="E1624" t="s">
        <v>39</v>
      </c>
      <c r="F1624" t="s">
        <v>71</v>
      </c>
      <c r="G1624" t="s">
        <v>51</v>
      </c>
      <c r="H1624" t="s">
        <v>52</v>
      </c>
      <c r="I1624" t="s">
        <v>53</v>
      </c>
      <c r="J1624">
        <v>3</v>
      </c>
      <c r="K1624">
        <v>2200</v>
      </c>
      <c r="L1624">
        <v>0.2</v>
      </c>
      <c r="M1624">
        <v>5280</v>
      </c>
      <c r="N1624">
        <v>4350</v>
      </c>
      <c r="O1624">
        <v>930</v>
      </c>
    </row>
    <row r="1625" spans="1:15" x14ac:dyDescent="0.25">
      <c r="A1625" t="s">
        <v>2660</v>
      </c>
      <c r="B1625" s="2">
        <v>47281</v>
      </c>
      <c r="C1625" t="s">
        <v>550</v>
      </c>
      <c r="D1625" t="s">
        <v>551</v>
      </c>
      <c r="E1625" t="s">
        <v>39</v>
      </c>
      <c r="F1625" t="s">
        <v>124</v>
      </c>
      <c r="G1625" t="s">
        <v>57</v>
      </c>
      <c r="H1625" t="s">
        <v>58</v>
      </c>
      <c r="I1625" t="s">
        <v>59</v>
      </c>
      <c r="J1625">
        <v>3</v>
      </c>
      <c r="K1625">
        <v>5600</v>
      </c>
      <c r="L1625">
        <v>0.1</v>
      </c>
      <c r="M1625">
        <v>15120</v>
      </c>
      <c r="N1625">
        <v>11700</v>
      </c>
      <c r="O1625">
        <v>3420</v>
      </c>
    </row>
    <row r="1626" spans="1:15" x14ac:dyDescent="0.25">
      <c r="A1626" t="s">
        <v>2661</v>
      </c>
      <c r="B1626" s="2">
        <v>47282</v>
      </c>
      <c r="C1626" t="s">
        <v>669</v>
      </c>
      <c r="D1626" t="s">
        <v>670</v>
      </c>
      <c r="E1626" t="s">
        <v>26</v>
      </c>
      <c r="F1626" t="s">
        <v>128</v>
      </c>
      <c r="G1626" t="s">
        <v>20</v>
      </c>
      <c r="H1626" t="s">
        <v>41</v>
      </c>
      <c r="I1626" t="s">
        <v>42</v>
      </c>
      <c r="J1626">
        <v>3</v>
      </c>
      <c r="K1626">
        <v>520</v>
      </c>
      <c r="L1626">
        <v>0.05</v>
      </c>
      <c r="M1626">
        <v>1482</v>
      </c>
      <c r="N1626">
        <v>990</v>
      </c>
      <c r="O1626">
        <v>492</v>
      </c>
    </row>
    <row r="1627" spans="1:15" x14ac:dyDescent="0.25">
      <c r="A1627" t="s">
        <v>2662</v>
      </c>
      <c r="B1627" s="2">
        <v>47283</v>
      </c>
      <c r="C1627" t="s">
        <v>578</v>
      </c>
      <c r="D1627" t="s">
        <v>579</v>
      </c>
      <c r="E1627" t="s">
        <v>39</v>
      </c>
      <c r="F1627" t="s">
        <v>124</v>
      </c>
      <c r="G1627" t="s">
        <v>57</v>
      </c>
      <c r="H1627" t="s">
        <v>58</v>
      </c>
      <c r="I1627" t="s">
        <v>59</v>
      </c>
      <c r="J1627">
        <v>2</v>
      </c>
      <c r="K1627">
        <v>5600</v>
      </c>
      <c r="L1627">
        <v>0.05</v>
      </c>
      <c r="M1627">
        <v>10640</v>
      </c>
      <c r="N1627">
        <v>7800</v>
      </c>
      <c r="O1627">
        <v>2840</v>
      </c>
    </row>
    <row r="1628" spans="1:15" x14ac:dyDescent="0.25">
      <c r="A1628" t="s">
        <v>2663</v>
      </c>
      <c r="B1628" s="2">
        <v>47284</v>
      </c>
      <c r="C1628" t="s">
        <v>481</v>
      </c>
      <c r="D1628" t="s">
        <v>482</v>
      </c>
      <c r="E1628" t="s">
        <v>26</v>
      </c>
      <c r="F1628" t="s">
        <v>46</v>
      </c>
      <c r="G1628" t="s">
        <v>20</v>
      </c>
      <c r="H1628" t="s">
        <v>84</v>
      </c>
      <c r="I1628" t="s">
        <v>210</v>
      </c>
      <c r="J1628">
        <v>4</v>
      </c>
      <c r="K1628">
        <v>300</v>
      </c>
      <c r="L1628">
        <v>0.2</v>
      </c>
      <c r="M1628">
        <v>960</v>
      </c>
      <c r="N1628">
        <v>680</v>
      </c>
      <c r="O1628">
        <v>280</v>
      </c>
    </row>
    <row r="1629" spans="1:15" x14ac:dyDescent="0.25">
      <c r="A1629" t="s">
        <v>2664</v>
      </c>
      <c r="B1629" s="2">
        <v>47285</v>
      </c>
      <c r="C1629" t="s">
        <v>294</v>
      </c>
      <c r="D1629" t="s">
        <v>295</v>
      </c>
      <c r="E1629" t="s">
        <v>26</v>
      </c>
      <c r="F1629" t="s">
        <v>46</v>
      </c>
      <c r="G1629" t="s">
        <v>51</v>
      </c>
      <c r="H1629" t="s">
        <v>52</v>
      </c>
      <c r="I1629" t="s">
        <v>53</v>
      </c>
      <c r="J1629">
        <v>4</v>
      </c>
      <c r="K1629">
        <v>2200</v>
      </c>
      <c r="L1629">
        <v>0.15</v>
      </c>
      <c r="M1629">
        <v>7480</v>
      </c>
      <c r="N1629">
        <v>5800</v>
      </c>
      <c r="O1629">
        <v>1680</v>
      </c>
    </row>
    <row r="1630" spans="1:15" x14ac:dyDescent="0.25">
      <c r="A1630" t="s">
        <v>2665</v>
      </c>
      <c r="B1630" s="2">
        <v>47286</v>
      </c>
      <c r="C1630" t="s">
        <v>1789</v>
      </c>
      <c r="D1630" t="s">
        <v>1790</v>
      </c>
      <c r="E1630" t="s">
        <v>39</v>
      </c>
      <c r="F1630" t="s">
        <v>124</v>
      </c>
      <c r="G1630" t="s">
        <v>57</v>
      </c>
      <c r="H1630" t="s">
        <v>58</v>
      </c>
      <c r="I1630" t="s">
        <v>129</v>
      </c>
      <c r="J1630">
        <v>4</v>
      </c>
      <c r="K1630">
        <v>4800</v>
      </c>
      <c r="L1630">
        <v>0.1</v>
      </c>
      <c r="M1630">
        <v>17280</v>
      </c>
      <c r="N1630">
        <v>13200</v>
      </c>
      <c r="O1630">
        <v>4080</v>
      </c>
    </row>
    <row r="1631" spans="1:15" x14ac:dyDescent="0.25">
      <c r="A1631" t="s">
        <v>2666</v>
      </c>
      <c r="B1631" s="2">
        <v>47287</v>
      </c>
      <c r="C1631" t="s">
        <v>1758</v>
      </c>
      <c r="D1631" t="s">
        <v>1759</v>
      </c>
      <c r="E1631" t="s">
        <v>26</v>
      </c>
      <c r="F1631" t="s">
        <v>128</v>
      </c>
      <c r="G1631" t="s">
        <v>28</v>
      </c>
      <c r="H1631" t="s">
        <v>29</v>
      </c>
      <c r="I1631" t="s">
        <v>30</v>
      </c>
      <c r="J1631">
        <v>2</v>
      </c>
      <c r="K1631">
        <v>1900</v>
      </c>
      <c r="L1631">
        <v>0.2</v>
      </c>
      <c r="M1631">
        <v>3040</v>
      </c>
      <c r="N1631">
        <v>2500</v>
      </c>
      <c r="O1631">
        <v>540</v>
      </c>
    </row>
    <row r="1632" spans="1:15" x14ac:dyDescent="0.25">
      <c r="A1632" t="s">
        <v>2667</v>
      </c>
      <c r="B1632" s="2">
        <v>47288</v>
      </c>
      <c r="C1632" t="s">
        <v>1287</v>
      </c>
      <c r="D1632" t="s">
        <v>1288</v>
      </c>
      <c r="E1632" t="s">
        <v>26</v>
      </c>
      <c r="F1632" t="s">
        <v>46</v>
      </c>
      <c r="G1632" t="s">
        <v>28</v>
      </c>
      <c r="H1632" t="s">
        <v>29</v>
      </c>
      <c r="I1632" t="s">
        <v>30</v>
      </c>
      <c r="J1632">
        <v>1</v>
      </c>
      <c r="K1632">
        <v>1900</v>
      </c>
      <c r="L1632">
        <v>0.2</v>
      </c>
      <c r="M1632">
        <v>1520</v>
      </c>
      <c r="N1632">
        <v>1250</v>
      </c>
      <c r="O1632">
        <v>270</v>
      </c>
    </row>
    <row r="1633" spans="1:15" x14ac:dyDescent="0.25">
      <c r="A1633" t="s">
        <v>2668</v>
      </c>
      <c r="B1633" s="2">
        <v>47289</v>
      </c>
      <c r="C1633" t="s">
        <v>896</v>
      </c>
      <c r="D1633" t="s">
        <v>897</v>
      </c>
      <c r="E1633" t="s">
        <v>26</v>
      </c>
      <c r="F1633" t="s">
        <v>46</v>
      </c>
      <c r="G1633" t="s">
        <v>20</v>
      </c>
      <c r="H1633" t="s">
        <v>84</v>
      </c>
      <c r="I1633" t="s">
        <v>169</v>
      </c>
      <c r="J1633">
        <v>2</v>
      </c>
      <c r="K1633">
        <v>450</v>
      </c>
      <c r="L1633">
        <v>0.2</v>
      </c>
      <c r="M1633">
        <v>720</v>
      </c>
      <c r="N1633">
        <v>520</v>
      </c>
      <c r="O1633">
        <v>200</v>
      </c>
    </row>
    <row r="1634" spans="1:15" x14ac:dyDescent="0.25">
      <c r="A1634" t="s">
        <v>2669</v>
      </c>
      <c r="B1634" s="2">
        <v>47290</v>
      </c>
      <c r="C1634" t="s">
        <v>1336</v>
      </c>
      <c r="D1634" t="s">
        <v>1337</v>
      </c>
      <c r="E1634" t="s">
        <v>26</v>
      </c>
      <c r="F1634" t="s">
        <v>204</v>
      </c>
      <c r="G1634" t="s">
        <v>51</v>
      </c>
      <c r="H1634" t="s">
        <v>21</v>
      </c>
      <c r="I1634" t="s">
        <v>116</v>
      </c>
      <c r="J1634">
        <v>3</v>
      </c>
      <c r="K1634">
        <v>1400</v>
      </c>
      <c r="L1634">
        <v>0.1</v>
      </c>
      <c r="M1634">
        <v>3780</v>
      </c>
      <c r="N1634">
        <v>2700</v>
      </c>
      <c r="O1634">
        <v>1080</v>
      </c>
    </row>
    <row r="1635" spans="1:15" x14ac:dyDescent="0.25">
      <c r="A1635" t="s">
        <v>2670</v>
      </c>
      <c r="B1635" s="2">
        <v>47291</v>
      </c>
      <c r="C1635" t="s">
        <v>1584</v>
      </c>
      <c r="D1635" t="s">
        <v>1585</v>
      </c>
      <c r="E1635" t="s">
        <v>26</v>
      </c>
      <c r="F1635" t="s">
        <v>27</v>
      </c>
      <c r="G1635" t="s">
        <v>51</v>
      </c>
      <c r="H1635" t="s">
        <v>89</v>
      </c>
      <c r="I1635" t="s">
        <v>90</v>
      </c>
      <c r="J1635">
        <v>5</v>
      </c>
      <c r="K1635">
        <v>10500</v>
      </c>
      <c r="L1635">
        <v>0.15</v>
      </c>
      <c r="M1635">
        <v>44625</v>
      </c>
      <c r="N1635">
        <v>38000</v>
      </c>
      <c r="O1635">
        <v>6625</v>
      </c>
    </row>
    <row r="1636" spans="1:15" x14ac:dyDescent="0.25">
      <c r="A1636" t="s">
        <v>2671</v>
      </c>
      <c r="B1636" s="2">
        <v>47292</v>
      </c>
      <c r="C1636" t="s">
        <v>633</v>
      </c>
      <c r="D1636" t="s">
        <v>634</v>
      </c>
      <c r="E1636" t="s">
        <v>96</v>
      </c>
      <c r="F1636" t="s">
        <v>200</v>
      </c>
      <c r="G1636" t="s">
        <v>51</v>
      </c>
      <c r="H1636" t="s">
        <v>52</v>
      </c>
      <c r="I1636" t="s">
        <v>53</v>
      </c>
      <c r="J1636">
        <v>5</v>
      </c>
      <c r="K1636">
        <v>2200</v>
      </c>
      <c r="L1636">
        <v>0.1</v>
      </c>
      <c r="M1636">
        <v>9900</v>
      </c>
      <c r="N1636">
        <v>7250</v>
      </c>
      <c r="O1636">
        <v>2650</v>
      </c>
    </row>
    <row r="1637" spans="1:15" x14ac:dyDescent="0.25">
      <c r="A1637" t="s">
        <v>2672</v>
      </c>
      <c r="B1637" s="2">
        <v>47293</v>
      </c>
      <c r="C1637" t="s">
        <v>553</v>
      </c>
      <c r="D1637" t="s">
        <v>554</v>
      </c>
      <c r="E1637" t="s">
        <v>26</v>
      </c>
      <c r="F1637" t="s">
        <v>27</v>
      </c>
      <c r="G1637" t="s">
        <v>51</v>
      </c>
      <c r="H1637" t="s">
        <v>52</v>
      </c>
      <c r="I1637" t="s">
        <v>208</v>
      </c>
      <c r="J1637">
        <v>5</v>
      </c>
      <c r="K1637">
        <v>2800</v>
      </c>
      <c r="L1637">
        <v>0</v>
      </c>
      <c r="M1637">
        <v>14000</v>
      </c>
      <c r="N1637">
        <v>9000</v>
      </c>
      <c r="O1637">
        <v>5000</v>
      </c>
    </row>
    <row r="1638" spans="1:15" x14ac:dyDescent="0.25">
      <c r="A1638" t="s">
        <v>2673</v>
      </c>
      <c r="B1638" s="2">
        <v>47294</v>
      </c>
      <c r="C1638" t="s">
        <v>2268</v>
      </c>
      <c r="D1638" t="s">
        <v>2269</v>
      </c>
      <c r="E1638" t="s">
        <v>96</v>
      </c>
      <c r="F1638" t="s">
        <v>120</v>
      </c>
      <c r="G1638" t="s">
        <v>51</v>
      </c>
      <c r="H1638" t="s">
        <v>52</v>
      </c>
      <c r="I1638" t="s">
        <v>53</v>
      </c>
      <c r="J1638">
        <v>2</v>
      </c>
      <c r="K1638">
        <v>2200</v>
      </c>
      <c r="L1638">
        <v>0.2</v>
      </c>
      <c r="M1638">
        <v>3520</v>
      </c>
      <c r="N1638">
        <v>2900</v>
      </c>
      <c r="O1638">
        <v>620</v>
      </c>
    </row>
    <row r="1639" spans="1:15" x14ac:dyDescent="0.25">
      <c r="A1639" t="s">
        <v>2674</v>
      </c>
      <c r="B1639" s="2">
        <v>47295</v>
      </c>
      <c r="C1639" t="s">
        <v>1000</v>
      </c>
      <c r="D1639" t="s">
        <v>1001</v>
      </c>
      <c r="E1639" t="s">
        <v>96</v>
      </c>
      <c r="F1639" t="s">
        <v>200</v>
      </c>
      <c r="G1639" t="s">
        <v>51</v>
      </c>
      <c r="H1639" t="s">
        <v>21</v>
      </c>
      <c r="I1639" t="s">
        <v>80</v>
      </c>
      <c r="J1639">
        <v>2</v>
      </c>
      <c r="K1639">
        <v>850</v>
      </c>
      <c r="L1639">
        <v>0</v>
      </c>
      <c r="M1639">
        <v>1700</v>
      </c>
      <c r="N1639">
        <v>1120</v>
      </c>
      <c r="O1639">
        <v>580</v>
      </c>
    </row>
    <row r="1640" spans="1:15" x14ac:dyDescent="0.25">
      <c r="A1640" t="s">
        <v>2675</v>
      </c>
      <c r="B1640" s="2">
        <v>47296</v>
      </c>
      <c r="C1640" t="s">
        <v>1124</v>
      </c>
      <c r="D1640" t="s">
        <v>1125</v>
      </c>
      <c r="E1640" t="s">
        <v>39</v>
      </c>
      <c r="F1640" t="s">
        <v>40</v>
      </c>
      <c r="G1640" t="s">
        <v>51</v>
      </c>
      <c r="H1640" t="s">
        <v>21</v>
      </c>
      <c r="I1640" t="s">
        <v>72</v>
      </c>
      <c r="J1640">
        <v>4</v>
      </c>
      <c r="K1640">
        <v>1800</v>
      </c>
      <c r="L1640">
        <v>0.2</v>
      </c>
      <c r="M1640">
        <v>5760</v>
      </c>
      <c r="N1640">
        <v>4400</v>
      </c>
      <c r="O1640">
        <v>1360</v>
      </c>
    </row>
    <row r="1641" spans="1:15" x14ac:dyDescent="0.25">
      <c r="A1641" t="s">
        <v>2676</v>
      </c>
      <c r="B1641" s="2">
        <v>47297</v>
      </c>
      <c r="C1641" t="s">
        <v>893</v>
      </c>
      <c r="D1641" t="s">
        <v>894</v>
      </c>
      <c r="E1641" t="s">
        <v>26</v>
      </c>
      <c r="F1641" t="s">
        <v>46</v>
      </c>
      <c r="G1641" t="s">
        <v>28</v>
      </c>
      <c r="H1641" t="s">
        <v>29</v>
      </c>
      <c r="I1641" t="s">
        <v>47</v>
      </c>
      <c r="J1641">
        <v>2</v>
      </c>
      <c r="K1641">
        <v>6800</v>
      </c>
      <c r="L1641">
        <v>0</v>
      </c>
      <c r="M1641">
        <v>13600</v>
      </c>
      <c r="N1641">
        <v>9400</v>
      </c>
      <c r="O1641">
        <v>4200</v>
      </c>
    </row>
    <row r="1642" spans="1:15" x14ac:dyDescent="0.25">
      <c r="A1642" t="s">
        <v>2677</v>
      </c>
      <c r="B1642" s="2">
        <v>47298</v>
      </c>
      <c r="C1642" t="s">
        <v>1025</v>
      </c>
      <c r="D1642" t="s">
        <v>1026</v>
      </c>
      <c r="E1642" t="s">
        <v>39</v>
      </c>
      <c r="F1642" t="s">
        <v>71</v>
      </c>
      <c r="G1642" t="s">
        <v>51</v>
      </c>
      <c r="H1642" t="s">
        <v>89</v>
      </c>
      <c r="I1642" t="s">
        <v>90</v>
      </c>
      <c r="J1642">
        <v>1</v>
      </c>
      <c r="K1642">
        <v>10500</v>
      </c>
      <c r="L1642">
        <v>0.2</v>
      </c>
      <c r="M1642">
        <v>8400</v>
      </c>
      <c r="N1642">
        <v>7600</v>
      </c>
      <c r="O1642">
        <v>800</v>
      </c>
    </row>
    <row r="1643" spans="1:15" x14ac:dyDescent="0.25">
      <c r="A1643" t="s">
        <v>2678</v>
      </c>
      <c r="B1643" s="2">
        <v>47299</v>
      </c>
      <c r="C1643" t="s">
        <v>899</v>
      </c>
      <c r="D1643" t="s">
        <v>900</v>
      </c>
      <c r="E1643" t="s">
        <v>39</v>
      </c>
      <c r="F1643" t="s">
        <v>124</v>
      </c>
      <c r="G1643" t="s">
        <v>20</v>
      </c>
      <c r="H1643" t="s">
        <v>84</v>
      </c>
      <c r="I1643" t="s">
        <v>169</v>
      </c>
      <c r="J1643">
        <v>3</v>
      </c>
      <c r="K1643">
        <v>450</v>
      </c>
      <c r="L1643">
        <v>0.05</v>
      </c>
      <c r="M1643">
        <v>1282.5</v>
      </c>
      <c r="N1643">
        <v>780</v>
      </c>
      <c r="O1643">
        <v>502.5</v>
      </c>
    </row>
    <row r="1644" spans="1:15" x14ac:dyDescent="0.25">
      <c r="A1644" t="s">
        <v>2679</v>
      </c>
      <c r="B1644" s="2">
        <v>47300</v>
      </c>
      <c r="C1644" t="s">
        <v>659</v>
      </c>
      <c r="D1644" t="s">
        <v>660</v>
      </c>
      <c r="E1644" t="s">
        <v>26</v>
      </c>
      <c r="F1644" t="s">
        <v>204</v>
      </c>
      <c r="G1644" t="s">
        <v>20</v>
      </c>
      <c r="H1644" t="s">
        <v>21</v>
      </c>
      <c r="I1644" t="s">
        <v>22</v>
      </c>
      <c r="J1644">
        <v>3</v>
      </c>
      <c r="K1644">
        <v>650</v>
      </c>
      <c r="L1644">
        <v>0.05</v>
      </c>
      <c r="M1644">
        <v>1852.5</v>
      </c>
      <c r="N1644">
        <v>1170</v>
      </c>
      <c r="O1644">
        <v>682.5</v>
      </c>
    </row>
    <row r="1645" spans="1:15" x14ac:dyDescent="0.25">
      <c r="A1645" t="s">
        <v>2680</v>
      </c>
      <c r="B1645" s="2">
        <v>47301</v>
      </c>
      <c r="C1645" t="s">
        <v>501</v>
      </c>
      <c r="D1645" t="s">
        <v>502</v>
      </c>
      <c r="E1645" t="s">
        <v>96</v>
      </c>
      <c r="F1645" t="s">
        <v>120</v>
      </c>
      <c r="G1645" t="s">
        <v>51</v>
      </c>
      <c r="H1645" t="s">
        <v>89</v>
      </c>
      <c r="I1645" t="s">
        <v>90</v>
      </c>
      <c r="J1645">
        <v>4</v>
      </c>
      <c r="K1645">
        <v>10500</v>
      </c>
      <c r="L1645">
        <v>0.2</v>
      </c>
      <c r="M1645">
        <v>33600</v>
      </c>
      <c r="N1645">
        <v>30400</v>
      </c>
      <c r="O1645">
        <v>3200</v>
      </c>
    </row>
    <row r="1646" spans="1:15" x14ac:dyDescent="0.25">
      <c r="A1646" t="s">
        <v>2681</v>
      </c>
      <c r="B1646" s="2">
        <v>47302</v>
      </c>
      <c r="C1646" t="s">
        <v>711</v>
      </c>
      <c r="D1646" t="s">
        <v>712</v>
      </c>
      <c r="E1646" t="s">
        <v>26</v>
      </c>
      <c r="F1646" t="s">
        <v>204</v>
      </c>
      <c r="G1646" t="s">
        <v>51</v>
      </c>
      <c r="H1646" t="s">
        <v>21</v>
      </c>
      <c r="I1646" t="s">
        <v>116</v>
      </c>
      <c r="J1646">
        <v>3</v>
      </c>
      <c r="K1646">
        <v>1400</v>
      </c>
      <c r="L1646">
        <v>0.05</v>
      </c>
      <c r="M1646">
        <v>3990</v>
      </c>
      <c r="N1646">
        <v>2700</v>
      </c>
      <c r="O1646">
        <v>1290</v>
      </c>
    </row>
    <row r="1647" spans="1:15" x14ac:dyDescent="0.25">
      <c r="A1647" t="s">
        <v>2682</v>
      </c>
      <c r="B1647" s="2">
        <v>47303</v>
      </c>
      <c r="C1647" t="s">
        <v>336</v>
      </c>
      <c r="D1647" t="s">
        <v>337</v>
      </c>
      <c r="E1647" t="s">
        <v>96</v>
      </c>
      <c r="F1647" t="s">
        <v>120</v>
      </c>
      <c r="G1647" t="s">
        <v>20</v>
      </c>
      <c r="H1647" t="s">
        <v>21</v>
      </c>
      <c r="I1647" t="s">
        <v>22</v>
      </c>
      <c r="J1647">
        <v>5</v>
      </c>
      <c r="K1647">
        <v>650</v>
      </c>
      <c r="L1647">
        <v>0.1</v>
      </c>
      <c r="M1647">
        <v>2925</v>
      </c>
      <c r="N1647">
        <v>1950</v>
      </c>
      <c r="O1647">
        <v>975</v>
      </c>
    </row>
    <row r="1648" spans="1:15" x14ac:dyDescent="0.25">
      <c r="A1648" t="s">
        <v>2683</v>
      </c>
      <c r="B1648" s="2">
        <v>47304</v>
      </c>
      <c r="C1648" t="s">
        <v>637</v>
      </c>
      <c r="D1648" t="s">
        <v>638</v>
      </c>
      <c r="E1648" t="s">
        <v>26</v>
      </c>
      <c r="F1648" t="s">
        <v>204</v>
      </c>
      <c r="G1648" t="s">
        <v>20</v>
      </c>
      <c r="H1648" t="s">
        <v>84</v>
      </c>
      <c r="I1648" t="s">
        <v>85</v>
      </c>
      <c r="J1648">
        <v>2</v>
      </c>
      <c r="K1648">
        <v>280</v>
      </c>
      <c r="L1648">
        <v>0.05</v>
      </c>
      <c r="M1648">
        <v>532</v>
      </c>
      <c r="N1648">
        <v>320</v>
      </c>
      <c r="O1648">
        <v>212</v>
      </c>
    </row>
    <row r="1649" spans="1:15" x14ac:dyDescent="0.25">
      <c r="A1649" t="s">
        <v>2684</v>
      </c>
      <c r="B1649" s="2">
        <v>47305</v>
      </c>
      <c r="C1649" t="s">
        <v>32</v>
      </c>
      <c r="D1649" t="s">
        <v>33</v>
      </c>
      <c r="E1649" t="s">
        <v>26</v>
      </c>
      <c r="F1649" t="s">
        <v>46</v>
      </c>
      <c r="G1649" t="s">
        <v>51</v>
      </c>
      <c r="H1649" t="s">
        <v>89</v>
      </c>
      <c r="I1649" t="s">
        <v>90</v>
      </c>
      <c r="J1649">
        <v>2</v>
      </c>
      <c r="K1649">
        <v>10500</v>
      </c>
      <c r="L1649">
        <v>0</v>
      </c>
      <c r="M1649">
        <v>21000</v>
      </c>
      <c r="N1649">
        <v>15200</v>
      </c>
      <c r="O1649">
        <v>5800</v>
      </c>
    </row>
    <row r="1650" spans="1:15" x14ac:dyDescent="0.25">
      <c r="A1650" t="s">
        <v>2685</v>
      </c>
      <c r="B1650" s="2">
        <v>47306</v>
      </c>
      <c r="C1650" t="s">
        <v>1498</v>
      </c>
      <c r="D1650" t="s">
        <v>1499</v>
      </c>
      <c r="E1650" t="s">
        <v>96</v>
      </c>
      <c r="F1650" t="s">
        <v>97</v>
      </c>
      <c r="G1650" t="s">
        <v>20</v>
      </c>
      <c r="H1650" t="s">
        <v>21</v>
      </c>
      <c r="I1650" t="s">
        <v>22</v>
      </c>
      <c r="J1650">
        <v>4</v>
      </c>
      <c r="K1650">
        <v>650</v>
      </c>
      <c r="L1650">
        <v>0</v>
      </c>
      <c r="M1650">
        <v>2600</v>
      </c>
      <c r="N1650">
        <v>1560</v>
      </c>
      <c r="O1650">
        <v>1040</v>
      </c>
    </row>
    <row r="1651" spans="1:15" x14ac:dyDescent="0.25">
      <c r="A1651" t="s">
        <v>2686</v>
      </c>
      <c r="B1651" s="2">
        <v>47307</v>
      </c>
      <c r="C1651" t="s">
        <v>2687</v>
      </c>
      <c r="D1651" t="s">
        <v>2688</v>
      </c>
      <c r="E1651" t="s">
        <v>18</v>
      </c>
      <c r="F1651" t="s">
        <v>227</v>
      </c>
      <c r="G1651" t="s">
        <v>20</v>
      </c>
      <c r="H1651" t="s">
        <v>41</v>
      </c>
      <c r="I1651" t="s">
        <v>42</v>
      </c>
      <c r="J1651">
        <v>2</v>
      </c>
      <c r="K1651">
        <v>520</v>
      </c>
      <c r="L1651">
        <v>0.2</v>
      </c>
      <c r="M1651">
        <v>832</v>
      </c>
      <c r="N1651">
        <v>660</v>
      </c>
      <c r="O1651">
        <v>172</v>
      </c>
    </row>
    <row r="1652" spans="1:15" x14ac:dyDescent="0.25">
      <c r="A1652" t="s">
        <v>2689</v>
      </c>
      <c r="B1652" s="2">
        <v>47308</v>
      </c>
      <c r="C1652" t="s">
        <v>1793</v>
      </c>
      <c r="D1652" t="s">
        <v>1794</v>
      </c>
      <c r="E1652" t="s">
        <v>39</v>
      </c>
      <c r="F1652" t="s">
        <v>71</v>
      </c>
      <c r="G1652" t="s">
        <v>57</v>
      </c>
      <c r="H1652" t="s">
        <v>58</v>
      </c>
      <c r="I1652" t="s">
        <v>59</v>
      </c>
      <c r="J1652">
        <v>4</v>
      </c>
      <c r="K1652">
        <v>5600</v>
      </c>
      <c r="L1652">
        <v>0.2</v>
      </c>
      <c r="M1652">
        <v>17920</v>
      </c>
      <c r="N1652">
        <v>15600</v>
      </c>
      <c r="O1652">
        <v>2320</v>
      </c>
    </row>
    <row r="1653" spans="1:15" x14ac:dyDescent="0.25">
      <c r="A1653" t="s">
        <v>2690</v>
      </c>
      <c r="B1653" s="2">
        <v>47309</v>
      </c>
      <c r="C1653" t="s">
        <v>1210</v>
      </c>
      <c r="D1653" t="s">
        <v>1211</v>
      </c>
      <c r="E1653" t="s">
        <v>96</v>
      </c>
      <c r="F1653" t="s">
        <v>120</v>
      </c>
      <c r="G1653" t="s">
        <v>28</v>
      </c>
      <c r="H1653" t="s">
        <v>29</v>
      </c>
      <c r="I1653" t="s">
        <v>47</v>
      </c>
      <c r="J1653">
        <v>5</v>
      </c>
      <c r="K1653">
        <v>6800</v>
      </c>
      <c r="L1653">
        <v>0</v>
      </c>
      <c r="M1653">
        <v>34000</v>
      </c>
      <c r="N1653">
        <v>23500</v>
      </c>
      <c r="O1653">
        <v>10500</v>
      </c>
    </row>
    <row r="1654" spans="1:15" x14ac:dyDescent="0.25">
      <c r="A1654" t="s">
        <v>2691</v>
      </c>
      <c r="B1654" s="2">
        <v>47310</v>
      </c>
      <c r="C1654" t="s">
        <v>202</v>
      </c>
      <c r="D1654" t="s">
        <v>203</v>
      </c>
      <c r="E1654" t="s">
        <v>26</v>
      </c>
      <c r="F1654" t="s">
        <v>34</v>
      </c>
      <c r="G1654" t="s">
        <v>20</v>
      </c>
      <c r="H1654" t="s">
        <v>21</v>
      </c>
      <c r="I1654" t="s">
        <v>22</v>
      </c>
      <c r="J1654">
        <v>3</v>
      </c>
      <c r="K1654">
        <v>650</v>
      </c>
      <c r="L1654">
        <v>0</v>
      </c>
      <c r="M1654">
        <v>1950</v>
      </c>
      <c r="N1654">
        <v>1170</v>
      </c>
      <c r="O1654">
        <v>780</v>
      </c>
    </row>
    <row r="1655" spans="1:15" x14ac:dyDescent="0.25">
      <c r="A1655" t="s">
        <v>2692</v>
      </c>
      <c r="B1655" s="2">
        <v>47311</v>
      </c>
      <c r="C1655" t="s">
        <v>222</v>
      </c>
      <c r="D1655" t="s">
        <v>223</v>
      </c>
      <c r="E1655" t="s">
        <v>39</v>
      </c>
      <c r="F1655" t="s">
        <v>71</v>
      </c>
      <c r="G1655" t="s">
        <v>51</v>
      </c>
      <c r="H1655" t="s">
        <v>89</v>
      </c>
      <c r="I1655" t="s">
        <v>90</v>
      </c>
      <c r="J1655">
        <v>3</v>
      </c>
      <c r="K1655">
        <v>10500</v>
      </c>
      <c r="L1655">
        <v>0.1</v>
      </c>
      <c r="M1655">
        <v>28350</v>
      </c>
      <c r="N1655">
        <v>22800</v>
      </c>
      <c r="O1655">
        <v>5550</v>
      </c>
    </row>
    <row r="1656" spans="1:15" x14ac:dyDescent="0.25">
      <c r="A1656" t="s">
        <v>2693</v>
      </c>
      <c r="B1656" s="2">
        <v>47312</v>
      </c>
      <c r="C1656" t="s">
        <v>1145</v>
      </c>
      <c r="D1656" t="s">
        <v>1146</v>
      </c>
      <c r="E1656" t="s">
        <v>18</v>
      </c>
      <c r="F1656" t="s">
        <v>227</v>
      </c>
      <c r="G1656" t="s">
        <v>20</v>
      </c>
      <c r="H1656" t="s">
        <v>84</v>
      </c>
      <c r="I1656" t="s">
        <v>85</v>
      </c>
      <c r="J1656">
        <v>4</v>
      </c>
      <c r="K1656">
        <v>280</v>
      </c>
      <c r="L1656">
        <v>0.15</v>
      </c>
      <c r="M1656">
        <v>952</v>
      </c>
      <c r="N1656">
        <v>640</v>
      </c>
      <c r="O1656">
        <v>312</v>
      </c>
    </row>
    <row r="1657" spans="1:15" x14ac:dyDescent="0.25">
      <c r="A1657" t="s">
        <v>2694</v>
      </c>
      <c r="B1657" s="2">
        <v>47313</v>
      </c>
      <c r="C1657" t="s">
        <v>966</v>
      </c>
      <c r="D1657" t="s">
        <v>967</v>
      </c>
      <c r="E1657" t="s">
        <v>96</v>
      </c>
      <c r="F1657" t="s">
        <v>97</v>
      </c>
      <c r="G1657" t="s">
        <v>51</v>
      </c>
      <c r="H1657" t="s">
        <v>89</v>
      </c>
      <c r="I1657" t="s">
        <v>90</v>
      </c>
      <c r="J1657">
        <v>4</v>
      </c>
      <c r="K1657">
        <v>10500</v>
      </c>
      <c r="L1657">
        <v>0</v>
      </c>
      <c r="M1657">
        <v>42000</v>
      </c>
      <c r="N1657">
        <v>30400</v>
      </c>
      <c r="O1657">
        <v>11600</v>
      </c>
    </row>
    <row r="1658" spans="1:15" x14ac:dyDescent="0.25">
      <c r="A1658" t="s">
        <v>2695</v>
      </c>
      <c r="B1658" s="2">
        <v>47314</v>
      </c>
      <c r="C1658" t="s">
        <v>1940</v>
      </c>
      <c r="D1658" t="s">
        <v>1941</v>
      </c>
      <c r="E1658" t="s">
        <v>26</v>
      </c>
      <c r="F1658" t="s">
        <v>204</v>
      </c>
      <c r="G1658" t="s">
        <v>20</v>
      </c>
      <c r="H1658" t="s">
        <v>84</v>
      </c>
      <c r="I1658" t="s">
        <v>210</v>
      </c>
      <c r="J1658">
        <v>5</v>
      </c>
      <c r="K1658">
        <v>300</v>
      </c>
      <c r="L1658">
        <v>0</v>
      </c>
      <c r="M1658">
        <v>1500</v>
      </c>
      <c r="N1658">
        <v>850</v>
      </c>
      <c r="O1658">
        <v>650</v>
      </c>
    </row>
    <row r="1659" spans="1:15" x14ac:dyDescent="0.25">
      <c r="A1659" t="s">
        <v>2696</v>
      </c>
      <c r="B1659" s="2">
        <v>47315</v>
      </c>
      <c r="C1659" t="s">
        <v>1461</v>
      </c>
      <c r="D1659" t="s">
        <v>1462</v>
      </c>
      <c r="E1659" t="s">
        <v>26</v>
      </c>
      <c r="F1659" t="s">
        <v>46</v>
      </c>
      <c r="G1659" t="s">
        <v>28</v>
      </c>
      <c r="H1659" t="s">
        <v>63</v>
      </c>
      <c r="I1659" t="s">
        <v>64</v>
      </c>
      <c r="J1659">
        <v>3</v>
      </c>
      <c r="K1659">
        <v>2400</v>
      </c>
      <c r="L1659">
        <v>0.15</v>
      </c>
      <c r="M1659">
        <v>6120</v>
      </c>
      <c r="N1659">
        <v>4950</v>
      </c>
      <c r="O1659">
        <v>1170</v>
      </c>
    </row>
    <row r="1660" spans="1:15" x14ac:dyDescent="0.25">
      <c r="A1660" t="s">
        <v>2697</v>
      </c>
      <c r="B1660" s="2">
        <v>47316</v>
      </c>
      <c r="C1660" t="s">
        <v>340</v>
      </c>
      <c r="D1660" t="s">
        <v>341</v>
      </c>
      <c r="E1660" t="s">
        <v>26</v>
      </c>
      <c r="F1660" t="s">
        <v>128</v>
      </c>
      <c r="G1660" t="s">
        <v>51</v>
      </c>
      <c r="H1660" t="s">
        <v>89</v>
      </c>
      <c r="I1660" t="s">
        <v>90</v>
      </c>
      <c r="J1660">
        <v>2</v>
      </c>
      <c r="K1660">
        <v>10500</v>
      </c>
      <c r="L1660">
        <v>0.05</v>
      </c>
      <c r="M1660">
        <v>19950</v>
      </c>
      <c r="N1660">
        <v>15200</v>
      </c>
      <c r="O1660">
        <v>4750</v>
      </c>
    </row>
    <row r="1661" spans="1:15" x14ac:dyDescent="0.25">
      <c r="A1661" t="s">
        <v>2698</v>
      </c>
      <c r="B1661" s="2">
        <v>47317</v>
      </c>
      <c r="C1661" t="s">
        <v>603</v>
      </c>
      <c r="D1661" t="s">
        <v>604</v>
      </c>
      <c r="E1661" t="s">
        <v>26</v>
      </c>
      <c r="F1661" t="s">
        <v>27</v>
      </c>
      <c r="G1661" t="s">
        <v>20</v>
      </c>
      <c r="H1661" t="s">
        <v>84</v>
      </c>
      <c r="I1661" t="s">
        <v>210</v>
      </c>
      <c r="J1661">
        <v>3</v>
      </c>
      <c r="K1661">
        <v>300</v>
      </c>
      <c r="L1661">
        <v>0.15</v>
      </c>
      <c r="M1661">
        <v>765</v>
      </c>
      <c r="N1661">
        <v>510</v>
      </c>
      <c r="O1661">
        <v>255</v>
      </c>
    </row>
    <row r="1662" spans="1:15" x14ac:dyDescent="0.25">
      <c r="A1662" t="s">
        <v>2699</v>
      </c>
      <c r="B1662" s="2">
        <v>47318</v>
      </c>
      <c r="C1662" t="s">
        <v>544</v>
      </c>
      <c r="D1662" t="s">
        <v>545</v>
      </c>
      <c r="E1662" t="s">
        <v>26</v>
      </c>
      <c r="F1662" t="s">
        <v>46</v>
      </c>
      <c r="G1662" t="s">
        <v>57</v>
      </c>
      <c r="H1662" t="s">
        <v>188</v>
      </c>
      <c r="I1662" t="s">
        <v>189</v>
      </c>
      <c r="J1662">
        <v>1</v>
      </c>
      <c r="K1662">
        <v>6200</v>
      </c>
      <c r="L1662">
        <v>0.15</v>
      </c>
      <c r="M1662">
        <v>5270</v>
      </c>
      <c r="N1662">
        <v>4300</v>
      </c>
      <c r="O1662">
        <v>970</v>
      </c>
    </row>
    <row r="1663" spans="1:15" x14ac:dyDescent="0.25">
      <c r="A1663" t="s">
        <v>2700</v>
      </c>
      <c r="B1663" s="2">
        <v>47319</v>
      </c>
      <c r="C1663" t="s">
        <v>990</v>
      </c>
      <c r="D1663" t="s">
        <v>991</v>
      </c>
      <c r="E1663" t="s">
        <v>18</v>
      </c>
      <c r="F1663" t="s">
        <v>94</v>
      </c>
      <c r="G1663" t="s">
        <v>51</v>
      </c>
      <c r="H1663" t="s">
        <v>21</v>
      </c>
      <c r="I1663" t="s">
        <v>116</v>
      </c>
      <c r="J1663">
        <v>2</v>
      </c>
      <c r="K1663">
        <v>1400</v>
      </c>
      <c r="L1663">
        <v>0</v>
      </c>
      <c r="M1663">
        <v>2800</v>
      </c>
      <c r="N1663">
        <v>1800</v>
      </c>
      <c r="O1663">
        <v>1000</v>
      </c>
    </row>
    <row r="1664" spans="1:15" x14ac:dyDescent="0.25">
      <c r="A1664" t="s">
        <v>2701</v>
      </c>
      <c r="B1664" s="2">
        <v>47320</v>
      </c>
      <c r="C1664" t="s">
        <v>2092</v>
      </c>
      <c r="D1664" t="s">
        <v>2093</v>
      </c>
      <c r="E1664" t="s">
        <v>26</v>
      </c>
      <c r="F1664" t="s">
        <v>34</v>
      </c>
      <c r="G1664" t="s">
        <v>51</v>
      </c>
      <c r="H1664" t="s">
        <v>21</v>
      </c>
      <c r="I1664" t="s">
        <v>80</v>
      </c>
      <c r="J1664">
        <v>1</v>
      </c>
      <c r="K1664">
        <v>850</v>
      </c>
      <c r="L1664">
        <v>0.15</v>
      </c>
      <c r="M1664">
        <v>722.5</v>
      </c>
      <c r="N1664">
        <v>560</v>
      </c>
      <c r="O1664">
        <v>162.5</v>
      </c>
    </row>
    <row r="1665" spans="1:15" x14ac:dyDescent="0.25">
      <c r="A1665" t="s">
        <v>2702</v>
      </c>
      <c r="B1665" s="2">
        <v>47321</v>
      </c>
      <c r="C1665" t="s">
        <v>938</v>
      </c>
      <c r="D1665" t="s">
        <v>939</v>
      </c>
      <c r="E1665" t="s">
        <v>18</v>
      </c>
      <c r="F1665" t="s">
        <v>227</v>
      </c>
      <c r="G1665" t="s">
        <v>57</v>
      </c>
      <c r="H1665" t="s">
        <v>104</v>
      </c>
      <c r="I1665" t="s">
        <v>105</v>
      </c>
      <c r="J1665">
        <v>5</v>
      </c>
      <c r="K1665">
        <v>7500</v>
      </c>
      <c r="L1665">
        <v>0.1</v>
      </c>
      <c r="M1665">
        <v>33750</v>
      </c>
      <c r="N1665">
        <v>26000</v>
      </c>
      <c r="O1665">
        <v>7750</v>
      </c>
    </row>
    <row r="1666" spans="1:15" x14ac:dyDescent="0.25">
      <c r="A1666" t="s">
        <v>2703</v>
      </c>
      <c r="B1666" s="2">
        <v>47322</v>
      </c>
      <c r="C1666" t="s">
        <v>846</v>
      </c>
      <c r="D1666" t="s">
        <v>847</v>
      </c>
      <c r="E1666" t="s">
        <v>96</v>
      </c>
      <c r="F1666" t="s">
        <v>196</v>
      </c>
      <c r="G1666" t="s">
        <v>28</v>
      </c>
      <c r="H1666" t="s">
        <v>29</v>
      </c>
      <c r="I1666" t="s">
        <v>30</v>
      </c>
      <c r="J1666">
        <v>5</v>
      </c>
      <c r="K1666">
        <v>1900</v>
      </c>
      <c r="L1666">
        <v>0.15</v>
      </c>
      <c r="M1666">
        <v>8075</v>
      </c>
      <c r="N1666">
        <v>6250</v>
      </c>
      <c r="O1666">
        <v>1825</v>
      </c>
    </row>
    <row r="1667" spans="1:15" x14ac:dyDescent="0.25">
      <c r="A1667" t="s">
        <v>2704</v>
      </c>
      <c r="B1667" s="2">
        <v>47323</v>
      </c>
      <c r="C1667" t="s">
        <v>588</v>
      </c>
      <c r="D1667" t="s">
        <v>589</v>
      </c>
      <c r="E1667" t="s">
        <v>26</v>
      </c>
      <c r="F1667" t="s">
        <v>34</v>
      </c>
      <c r="G1667" t="s">
        <v>28</v>
      </c>
      <c r="H1667" t="s">
        <v>29</v>
      </c>
      <c r="I1667" t="s">
        <v>47</v>
      </c>
      <c r="J1667">
        <v>1</v>
      </c>
      <c r="K1667">
        <v>6800</v>
      </c>
      <c r="L1667">
        <v>0.15</v>
      </c>
      <c r="M1667">
        <v>5780</v>
      </c>
      <c r="N1667">
        <v>4700</v>
      </c>
      <c r="O1667">
        <v>1080</v>
      </c>
    </row>
    <row r="1668" spans="1:15" x14ac:dyDescent="0.25">
      <c r="A1668" t="s">
        <v>2705</v>
      </c>
      <c r="B1668" s="2">
        <v>47324</v>
      </c>
      <c r="C1668" t="s">
        <v>1915</v>
      </c>
      <c r="D1668" t="s">
        <v>1916</v>
      </c>
      <c r="E1668" t="s">
        <v>39</v>
      </c>
      <c r="F1668" t="s">
        <v>40</v>
      </c>
      <c r="G1668" t="s">
        <v>51</v>
      </c>
      <c r="H1668" t="s">
        <v>21</v>
      </c>
      <c r="I1668" t="s">
        <v>80</v>
      </c>
      <c r="J1668">
        <v>1</v>
      </c>
      <c r="K1668">
        <v>850</v>
      </c>
      <c r="L1668">
        <v>0.15</v>
      </c>
      <c r="M1668">
        <v>722.5</v>
      </c>
      <c r="N1668">
        <v>560</v>
      </c>
      <c r="O1668">
        <v>162.5</v>
      </c>
    </row>
    <row r="1669" spans="1:15" x14ac:dyDescent="0.25">
      <c r="A1669" t="s">
        <v>2706</v>
      </c>
      <c r="B1669" s="2">
        <v>47325</v>
      </c>
      <c r="C1669" t="s">
        <v>1629</v>
      </c>
      <c r="D1669" t="s">
        <v>1630</v>
      </c>
      <c r="E1669" t="s">
        <v>26</v>
      </c>
      <c r="F1669" t="s">
        <v>46</v>
      </c>
      <c r="G1669" t="s">
        <v>57</v>
      </c>
      <c r="H1669" t="s">
        <v>188</v>
      </c>
      <c r="I1669" t="s">
        <v>189</v>
      </c>
      <c r="J1669">
        <v>5</v>
      </c>
      <c r="K1669">
        <v>6200</v>
      </c>
      <c r="L1669">
        <v>0.25</v>
      </c>
      <c r="M1669">
        <v>23250</v>
      </c>
      <c r="N1669">
        <v>21500</v>
      </c>
      <c r="O1669">
        <v>1750</v>
      </c>
    </row>
    <row r="1670" spans="1:15" x14ac:dyDescent="0.25">
      <c r="A1670" t="s">
        <v>2707</v>
      </c>
      <c r="B1670" s="2">
        <v>47326</v>
      </c>
      <c r="C1670" t="s">
        <v>871</v>
      </c>
      <c r="D1670" t="s">
        <v>872</v>
      </c>
      <c r="E1670" t="s">
        <v>26</v>
      </c>
      <c r="F1670" t="s">
        <v>27</v>
      </c>
      <c r="G1670" t="s">
        <v>20</v>
      </c>
      <c r="H1670" t="s">
        <v>21</v>
      </c>
      <c r="I1670" t="s">
        <v>22</v>
      </c>
      <c r="J1670">
        <v>1</v>
      </c>
      <c r="K1670">
        <v>650</v>
      </c>
      <c r="L1670">
        <v>0.15</v>
      </c>
      <c r="M1670">
        <v>552.5</v>
      </c>
      <c r="N1670">
        <v>390</v>
      </c>
      <c r="O1670">
        <v>162.5</v>
      </c>
    </row>
    <row r="1671" spans="1:15" x14ac:dyDescent="0.25">
      <c r="A1671" t="s">
        <v>2708</v>
      </c>
      <c r="B1671" s="2">
        <v>47327</v>
      </c>
      <c r="C1671" t="s">
        <v>55</v>
      </c>
      <c r="D1671" t="s">
        <v>56</v>
      </c>
      <c r="E1671" t="s">
        <v>26</v>
      </c>
      <c r="F1671" t="s">
        <v>128</v>
      </c>
      <c r="G1671" t="s">
        <v>51</v>
      </c>
      <c r="H1671" t="s">
        <v>52</v>
      </c>
      <c r="I1671" t="s">
        <v>208</v>
      </c>
      <c r="J1671">
        <v>2</v>
      </c>
      <c r="K1671">
        <v>2800</v>
      </c>
      <c r="L1671">
        <v>0.1</v>
      </c>
      <c r="M1671">
        <v>5040</v>
      </c>
      <c r="N1671">
        <v>3600</v>
      </c>
      <c r="O1671">
        <v>1440</v>
      </c>
    </row>
    <row r="1672" spans="1:15" x14ac:dyDescent="0.25">
      <c r="A1672" t="s">
        <v>2709</v>
      </c>
      <c r="B1672" s="2">
        <v>47328</v>
      </c>
      <c r="C1672" t="s">
        <v>375</v>
      </c>
      <c r="D1672" t="s">
        <v>376</v>
      </c>
      <c r="E1672" t="s">
        <v>39</v>
      </c>
      <c r="F1672" t="s">
        <v>124</v>
      </c>
      <c r="G1672" t="s">
        <v>28</v>
      </c>
      <c r="H1672" t="s">
        <v>29</v>
      </c>
      <c r="I1672" t="s">
        <v>30</v>
      </c>
      <c r="J1672">
        <v>1</v>
      </c>
      <c r="K1672">
        <v>1900</v>
      </c>
      <c r="L1672">
        <v>0.1</v>
      </c>
      <c r="M1672">
        <v>1710</v>
      </c>
      <c r="N1672">
        <v>1250</v>
      </c>
      <c r="O1672">
        <v>460</v>
      </c>
    </row>
    <row r="1673" spans="1:15" x14ac:dyDescent="0.25">
      <c r="A1673" t="s">
        <v>2710</v>
      </c>
      <c r="B1673" s="2">
        <v>47329</v>
      </c>
      <c r="C1673" t="s">
        <v>1780</v>
      </c>
      <c r="D1673" t="s">
        <v>1781</v>
      </c>
      <c r="E1673" t="s">
        <v>26</v>
      </c>
      <c r="F1673" t="s">
        <v>34</v>
      </c>
      <c r="G1673" t="s">
        <v>28</v>
      </c>
      <c r="H1673" t="s">
        <v>29</v>
      </c>
      <c r="I1673" t="s">
        <v>47</v>
      </c>
      <c r="J1673">
        <v>4</v>
      </c>
      <c r="K1673">
        <v>6800</v>
      </c>
      <c r="L1673">
        <v>0.25</v>
      </c>
      <c r="M1673">
        <v>20400</v>
      </c>
      <c r="N1673">
        <v>18800</v>
      </c>
      <c r="O1673">
        <v>1600</v>
      </c>
    </row>
    <row r="1674" spans="1:15" x14ac:dyDescent="0.25">
      <c r="A1674" t="s">
        <v>2711</v>
      </c>
      <c r="B1674" s="2">
        <v>47330</v>
      </c>
      <c r="C1674" t="s">
        <v>427</v>
      </c>
      <c r="D1674" t="s">
        <v>428</v>
      </c>
      <c r="E1674" t="s">
        <v>39</v>
      </c>
      <c r="F1674" t="s">
        <v>124</v>
      </c>
      <c r="G1674" t="s">
        <v>51</v>
      </c>
      <c r="H1674" t="s">
        <v>89</v>
      </c>
      <c r="I1674" t="s">
        <v>90</v>
      </c>
      <c r="J1674">
        <v>1</v>
      </c>
      <c r="K1674">
        <v>10500</v>
      </c>
      <c r="L1674">
        <v>0.2</v>
      </c>
      <c r="M1674">
        <v>8400</v>
      </c>
      <c r="N1674">
        <v>7600</v>
      </c>
      <c r="O1674">
        <v>800</v>
      </c>
    </row>
    <row r="1675" spans="1:15" x14ac:dyDescent="0.25">
      <c r="A1675" t="s">
        <v>2712</v>
      </c>
      <c r="B1675" s="2">
        <v>47331</v>
      </c>
      <c r="C1675" t="s">
        <v>444</v>
      </c>
      <c r="D1675" t="s">
        <v>445</v>
      </c>
      <c r="E1675" t="s">
        <v>39</v>
      </c>
      <c r="F1675" t="s">
        <v>71</v>
      </c>
      <c r="G1675" t="s">
        <v>51</v>
      </c>
      <c r="H1675" t="s">
        <v>21</v>
      </c>
      <c r="I1675" t="s">
        <v>80</v>
      </c>
      <c r="J1675">
        <v>1</v>
      </c>
      <c r="K1675">
        <v>850</v>
      </c>
      <c r="L1675">
        <v>0.15</v>
      </c>
      <c r="M1675">
        <v>722.5</v>
      </c>
      <c r="N1675">
        <v>560</v>
      </c>
      <c r="O1675">
        <v>162.5</v>
      </c>
    </row>
    <row r="1676" spans="1:15" x14ac:dyDescent="0.25">
      <c r="A1676" t="s">
        <v>2713</v>
      </c>
      <c r="B1676" s="2">
        <v>47332</v>
      </c>
      <c r="C1676" t="s">
        <v>2580</v>
      </c>
      <c r="D1676" t="s">
        <v>2581</v>
      </c>
      <c r="E1676" t="s">
        <v>39</v>
      </c>
      <c r="F1676" t="s">
        <v>71</v>
      </c>
      <c r="G1676" t="s">
        <v>57</v>
      </c>
      <c r="H1676" t="s">
        <v>58</v>
      </c>
      <c r="I1676" t="s">
        <v>129</v>
      </c>
      <c r="J1676">
        <v>5</v>
      </c>
      <c r="K1676">
        <v>4800</v>
      </c>
      <c r="L1676">
        <v>0.1</v>
      </c>
      <c r="M1676">
        <v>21600</v>
      </c>
      <c r="N1676">
        <v>16500</v>
      </c>
      <c r="O1676">
        <v>5100</v>
      </c>
    </row>
    <row r="1677" spans="1:15" x14ac:dyDescent="0.25">
      <c r="A1677" t="s">
        <v>2714</v>
      </c>
      <c r="B1677" s="2">
        <v>47333</v>
      </c>
      <c r="C1677" t="s">
        <v>238</v>
      </c>
      <c r="D1677" t="s">
        <v>239</v>
      </c>
      <c r="E1677" t="s">
        <v>39</v>
      </c>
      <c r="F1677" t="s">
        <v>40</v>
      </c>
      <c r="G1677" t="s">
        <v>28</v>
      </c>
      <c r="H1677" t="s">
        <v>63</v>
      </c>
      <c r="I1677" t="s">
        <v>64</v>
      </c>
      <c r="J1677">
        <v>2</v>
      </c>
      <c r="K1677">
        <v>2400</v>
      </c>
      <c r="L1677">
        <v>0.15</v>
      </c>
      <c r="M1677">
        <v>4080</v>
      </c>
      <c r="N1677">
        <v>3300</v>
      </c>
      <c r="O1677">
        <v>780</v>
      </c>
    </row>
    <row r="1678" spans="1:15" x14ac:dyDescent="0.25">
      <c r="A1678" t="s">
        <v>2715</v>
      </c>
      <c r="B1678" s="2">
        <v>47334</v>
      </c>
      <c r="C1678" t="s">
        <v>99</v>
      </c>
      <c r="D1678" t="s">
        <v>100</v>
      </c>
      <c r="E1678" t="s">
        <v>39</v>
      </c>
      <c r="F1678" t="s">
        <v>76</v>
      </c>
      <c r="G1678" t="s">
        <v>57</v>
      </c>
      <c r="H1678" t="s">
        <v>104</v>
      </c>
      <c r="I1678" t="s">
        <v>105</v>
      </c>
      <c r="J1678">
        <v>4</v>
      </c>
      <c r="K1678">
        <v>7500</v>
      </c>
      <c r="L1678">
        <v>0.2</v>
      </c>
      <c r="M1678">
        <v>24000</v>
      </c>
      <c r="N1678">
        <v>20800</v>
      </c>
      <c r="O1678">
        <v>3200</v>
      </c>
    </row>
    <row r="1679" spans="1:15" x14ac:dyDescent="0.25">
      <c r="A1679" t="s">
        <v>2716</v>
      </c>
      <c r="B1679" s="2">
        <v>47335</v>
      </c>
      <c r="C1679" t="s">
        <v>2008</v>
      </c>
      <c r="D1679" t="s">
        <v>2009</v>
      </c>
      <c r="E1679" t="s">
        <v>96</v>
      </c>
      <c r="F1679" t="s">
        <v>200</v>
      </c>
      <c r="G1679" t="s">
        <v>20</v>
      </c>
      <c r="H1679" t="s">
        <v>84</v>
      </c>
      <c r="I1679" t="s">
        <v>210</v>
      </c>
      <c r="J1679">
        <v>1</v>
      </c>
      <c r="K1679">
        <v>300</v>
      </c>
      <c r="L1679">
        <v>0.1</v>
      </c>
      <c r="M1679">
        <v>270</v>
      </c>
      <c r="N1679">
        <v>170</v>
      </c>
      <c r="O1679">
        <v>100</v>
      </c>
    </row>
    <row r="1680" spans="1:15" x14ac:dyDescent="0.25">
      <c r="A1680" t="s">
        <v>2717</v>
      </c>
      <c r="B1680" s="2">
        <v>47336</v>
      </c>
      <c r="C1680" t="s">
        <v>1948</v>
      </c>
      <c r="D1680" t="s">
        <v>1949</v>
      </c>
      <c r="E1680" t="s">
        <v>39</v>
      </c>
      <c r="F1680" t="s">
        <v>124</v>
      </c>
      <c r="G1680" t="s">
        <v>57</v>
      </c>
      <c r="H1680" t="s">
        <v>188</v>
      </c>
      <c r="I1680" t="s">
        <v>189</v>
      </c>
      <c r="J1680">
        <v>1</v>
      </c>
      <c r="K1680">
        <v>6200</v>
      </c>
      <c r="L1680">
        <v>0</v>
      </c>
      <c r="M1680">
        <v>6200</v>
      </c>
      <c r="N1680">
        <v>4300</v>
      </c>
      <c r="O1680">
        <v>1900</v>
      </c>
    </row>
    <row r="1681" spans="1:15" x14ac:dyDescent="0.25">
      <c r="A1681" t="s">
        <v>2718</v>
      </c>
      <c r="B1681" s="2">
        <v>47337</v>
      </c>
      <c r="C1681" t="s">
        <v>977</v>
      </c>
      <c r="D1681" t="s">
        <v>978</v>
      </c>
      <c r="E1681" t="s">
        <v>26</v>
      </c>
      <c r="F1681" t="s">
        <v>204</v>
      </c>
      <c r="G1681" t="s">
        <v>28</v>
      </c>
      <c r="H1681" t="s">
        <v>63</v>
      </c>
      <c r="I1681" t="s">
        <v>64</v>
      </c>
      <c r="J1681">
        <v>1</v>
      </c>
      <c r="K1681">
        <v>2400</v>
      </c>
      <c r="L1681">
        <v>0.05</v>
      </c>
      <c r="M1681">
        <v>2280</v>
      </c>
      <c r="N1681">
        <v>1650</v>
      </c>
      <c r="O1681">
        <v>630</v>
      </c>
    </row>
    <row r="1682" spans="1:15" x14ac:dyDescent="0.25">
      <c r="A1682" t="s">
        <v>2719</v>
      </c>
      <c r="B1682" s="2">
        <v>47338</v>
      </c>
      <c r="C1682" t="s">
        <v>357</v>
      </c>
      <c r="D1682" t="s">
        <v>358</v>
      </c>
      <c r="E1682" t="s">
        <v>39</v>
      </c>
      <c r="F1682" t="s">
        <v>71</v>
      </c>
      <c r="G1682" t="s">
        <v>51</v>
      </c>
      <c r="H1682" t="s">
        <v>21</v>
      </c>
      <c r="I1682" t="s">
        <v>80</v>
      </c>
      <c r="J1682">
        <v>3</v>
      </c>
      <c r="K1682">
        <v>850</v>
      </c>
      <c r="L1682">
        <v>0.15</v>
      </c>
      <c r="M1682">
        <v>2167.5</v>
      </c>
      <c r="N1682">
        <v>1680</v>
      </c>
      <c r="O1682">
        <v>487.5</v>
      </c>
    </row>
    <row r="1683" spans="1:15" x14ac:dyDescent="0.25">
      <c r="A1683" t="s">
        <v>2720</v>
      </c>
      <c r="B1683" s="2">
        <v>47339</v>
      </c>
      <c r="C1683" t="s">
        <v>32</v>
      </c>
      <c r="D1683" t="s">
        <v>33</v>
      </c>
      <c r="E1683" t="s">
        <v>39</v>
      </c>
      <c r="F1683" t="s">
        <v>76</v>
      </c>
      <c r="G1683" t="s">
        <v>51</v>
      </c>
      <c r="H1683" t="s">
        <v>21</v>
      </c>
      <c r="I1683" t="s">
        <v>116</v>
      </c>
      <c r="J1683">
        <v>1</v>
      </c>
      <c r="K1683">
        <v>1400</v>
      </c>
      <c r="L1683">
        <v>0.2</v>
      </c>
      <c r="M1683">
        <v>1120</v>
      </c>
      <c r="N1683">
        <v>900</v>
      </c>
      <c r="O1683">
        <v>220</v>
      </c>
    </row>
    <row r="1684" spans="1:15" x14ac:dyDescent="0.25">
      <c r="A1684" t="s">
        <v>2721</v>
      </c>
      <c r="B1684" s="2">
        <v>47340</v>
      </c>
      <c r="C1684" t="s">
        <v>137</v>
      </c>
      <c r="D1684" t="s">
        <v>138</v>
      </c>
      <c r="E1684" t="s">
        <v>18</v>
      </c>
      <c r="F1684" t="s">
        <v>94</v>
      </c>
      <c r="G1684" t="s">
        <v>51</v>
      </c>
      <c r="H1684" t="s">
        <v>89</v>
      </c>
      <c r="I1684" t="s">
        <v>90</v>
      </c>
      <c r="J1684">
        <v>4</v>
      </c>
      <c r="K1684">
        <v>10500</v>
      </c>
      <c r="L1684">
        <v>0.05</v>
      </c>
      <c r="M1684">
        <v>39900</v>
      </c>
      <c r="N1684">
        <v>30400</v>
      </c>
      <c r="O1684">
        <v>9500</v>
      </c>
    </row>
    <row r="1685" spans="1:15" x14ac:dyDescent="0.25">
      <c r="A1685" t="s">
        <v>2722</v>
      </c>
      <c r="B1685" s="2">
        <v>47341</v>
      </c>
      <c r="C1685" t="s">
        <v>2084</v>
      </c>
      <c r="D1685" t="s">
        <v>2085</v>
      </c>
      <c r="E1685" t="s">
        <v>96</v>
      </c>
      <c r="F1685" t="s">
        <v>196</v>
      </c>
      <c r="G1685" t="s">
        <v>51</v>
      </c>
      <c r="H1685" t="s">
        <v>21</v>
      </c>
      <c r="I1685" t="s">
        <v>72</v>
      </c>
      <c r="J1685">
        <v>5</v>
      </c>
      <c r="K1685">
        <v>1800</v>
      </c>
      <c r="L1685">
        <v>0.05</v>
      </c>
      <c r="M1685">
        <v>8550</v>
      </c>
      <c r="N1685">
        <v>5500</v>
      </c>
      <c r="O1685">
        <v>3050</v>
      </c>
    </row>
    <row r="1686" spans="1:15" x14ac:dyDescent="0.25">
      <c r="A1686" t="s">
        <v>2723</v>
      </c>
      <c r="B1686" s="2">
        <v>47342</v>
      </c>
      <c r="C1686" t="s">
        <v>1294</v>
      </c>
      <c r="D1686" t="s">
        <v>1295</v>
      </c>
      <c r="E1686" t="s">
        <v>18</v>
      </c>
      <c r="F1686" t="s">
        <v>94</v>
      </c>
      <c r="G1686" t="s">
        <v>51</v>
      </c>
      <c r="H1686" t="s">
        <v>89</v>
      </c>
      <c r="I1686" t="s">
        <v>90</v>
      </c>
      <c r="J1686">
        <v>5</v>
      </c>
      <c r="K1686">
        <v>10500</v>
      </c>
      <c r="L1686">
        <v>0.15</v>
      </c>
      <c r="M1686">
        <v>44625</v>
      </c>
      <c r="N1686">
        <v>38000</v>
      </c>
      <c r="O1686">
        <v>6625</v>
      </c>
    </row>
    <row r="1687" spans="1:15" x14ac:dyDescent="0.25">
      <c r="A1687" t="s">
        <v>2724</v>
      </c>
      <c r="B1687" s="2">
        <v>47343</v>
      </c>
      <c r="C1687" t="s">
        <v>1092</v>
      </c>
      <c r="D1687" t="s">
        <v>1093</v>
      </c>
      <c r="E1687" t="s">
        <v>39</v>
      </c>
      <c r="F1687" t="s">
        <v>71</v>
      </c>
      <c r="G1687" t="s">
        <v>20</v>
      </c>
      <c r="H1687" t="s">
        <v>84</v>
      </c>
      <c r="I1687" t="s">
        <v>210</v>
      </c>
      <c r="J1687">
        <v>5</v>
      </c>
      <c r="K1687">
        <v>300</v>
      </c>
      <c r="L1687">
        <v>0.1</v>
      </c>
      <c r="M1687">
        <v>1350</v>
      </c>
      <c r="N1687">
        <v>850</v>
      </c>
      <c r="O1687">
        <v>500</v>
      </c>
    </row>
    <row r="1688" spans="1:15" x14ac:dyDescent="0.25">
      <c r="A1688" t="s">
        <v>2725</v>
      </c>
      <c r="B1688" s="2">
        <v>47344</v>
      </c>
      <c r="C1688" t="s">
        <v>600</v>
      </c>
      <c r="D1688" t="s">
        <v>601</v>
      </c>
      <c r="E1688" t="s">
        <v>39</v>
      </c>
      <c r="F1688" t="s">
        <v>71</v>
      </c>
      <c r="G1688" t="s">
        <v>28</v>
      </c>
      <c r="H1688" t="s">
        <v>63</v>
      </c>
      <c r="I1688" t="s">
        <v>64</v>
      </c>
      <c r="J1688">
        <v>4</v>
      </c>
      <c r="K1688">
        <v>2400</v>
      </c>
      <c r="L1688">
        <v>0.15</v>
      </c>
      <c r="M1688">
        <v>8160</v>
      </c>
      <c r="N1688">
        <v>6600</v>
      </c>
      <c r="O1688">
        <v>1560</v>
      </c>
    </row>
    <row r="1689" spans="1:15" x14ac:dyDescent="0.25">
      <c r="A1689" t="s">
        <v>2726</v>
      </c>
      <c r="B1689" s="2">
        <v>47345</v>
      </c>
      <c r="C1689" t="s">
        <v>582</v>
      </c>
      <c r="D1689" t="s">
        <v>583</v>
      </c>
      <c r="E1689" t="s">
        <v>39</v>
      </c>
      <c r="F1689" t="s">
        <v>76</v>
      </c>
      <c r="G1689" t="s">
        <v>20</v>
      </c>
      <c r="H1689" t="s">
        <v>21</v>
      </c>
      <c r="I1689" t="s">
        <v>22</v>
      </c>
      <c r="J1689">
        <v>4</v>
      </c>
      <c r="K1689">
        <v>650</v>
      </c>
      <c r="L1689">
        <v>0.1</v>
      </c>
      <c r="M1689">
        <v>2340</v>
      </c>
      <c r="N1689">
        <v>1560</v>
      </c>
      <c r="O1689">
        <v>780</v>
      </c>
    </row>
    <row r="1690" spans="1:15" x14ac:dyDescent="0.25">
      <c r="A1690" t="s">
        <v>2727</v>
      </c>
      <c r="B1690" s="2">
        <v>47346</v>
      </c>
      <c r="C1690" t="s">
        <v>737</v>
      </c>
      <c r="D1690" t="s">
        <v>738</v>
      </c>
      <c r="E1690" t="s">
        <v>39</v>
      </c>
      <c r="F1690" t="s">
        <v>71</v>
      </c>
      <c r="G1690" t="s">
        <v>20</v>
      </c>
      <c r="H1690" t="s">
        <v>84</v>
      </c>
      <c r="I1690" t="s">
        <v>210</v>
      </c>
      <c r="J1690">
        <v>4</v>
      </c>
      <c r="K1690">
        <v>300</v>
      </c>
      <c r="L1690">
        <v>0.05</v>
      </c>
      <c r="M1690">
        <v>1140</v>
      </c>
      <c r="N1690">
        <v>680</v>
      </c>
      <c r="O1690">
        <v>460</v>
      </c>
    </row>
    <row r="1691" spans="1:15" x14ac:dyDescent="0.25">
      <c r="A1691" t="s">
        <v>2728</v>
      </c>
      <c r="B1691" s="2">
        <v>47347</v>
      </c>
      <c r="C1691" t="s">
        <v>2729</v>
      </c>
      <c r="D1691" t="s">
        <v>2730</v>
      </c>
      <c r="E1691" t="s">
        <v>18</v>
      </c>
      <c r="F1691" t="s">
        <v>115</v>
      </c>
      <c r="G1691" t="s">
        <v>51</v>
      </c>
      <c r="H1691" t="s">
        <v>52</v>
      </c>
      <c r="I1691" t="s">
        <v>208</v>
      </c>
      <c r="J1691">
        <v>1</v>
      </c>
      <c r="K1691">
        <v>2800</v>
      </c>
      <c r="L1691">
        <v>0.2</v>
      </c>
      <c r="M1691">
        <v>2240</v>
      </c>
      <c r="N1691">
        <v>1800</v>
      </c>
      <c r="O1691">
        <v>440</v>
      </c>
    </row>
    <row r="1692" spans="1:15" x14ac:dyDescent="0.25">
      <c r="A1692" t="s">
        <v>2731</v>
      </c>
      <c r="B1692" s="2">
        <v>47348</v>
      </c>
      <c r="C1692" t="s">
        <v>1037</v>
      </c>
      <c r="D1692" t="s">
        <v>1038</v>
      </c>
      <c r="E1692" t="s">
        <v>26</v>
      </c>
      <c r="F1692" t="s">
        <v>27</v>
      </c>
      <c r="G1692" t="s">
        <v>20</v>
      </c>
      <c r="H1692" t="s">
        <v>84</v>
      </c>
      <c r="I1692" t="s">
        <v>85</v>
      </c>
      <c r="J1692">
        <v>1</v>
      </c>
      <c r="K1692">
        <v>280</v>
      </c>
      <c r="L1692">
        <v>0.1</v>
      </c>
      <c r="M1692">
        <v>252</v>
      </c>
      <c r="N1692">
        <v>160</v>
      </c>
      <c r="O1692">
        <v>92</v>
      </c>
    </row>
    <row r="1693" spans="1:15" x14ac:dyDescent="0.25">
      <c r="A1693" t="s">
        <v>2732</v>
      </c>
      <c r="B1693" s="2">
        <v>47349</v>
      </c>
      <c r="C1693" t="s">
        <v>1164</v>
      </c>
      <c r="D1693" t="s">
        <v>1165</v>
      </c>
      <c r="E1693" t="s">
        <v>26</v>
      </c>
      <c r="F1693" t="s">
        <v>34</v>
      </c>
      <c r="G1693" t="s">
        <v>51</v>
      </c>
      <c r="H1693" t="s">
        <v>21</v>
      </c>
      <c r="I1693" t="s">
        <v>80</v>
      </c>
      <c r="J1693">
        <v>2</v>
      </c>
      <c r="K1693">
        <v>850</v>
      </c>
      <c r="L1693">
        <v>0.1</v>
      </c>
      <c r="M1693">
        <v>1530</v>
      </c>
      <c r="N1693">
        <v>1120</v>
      </c>
      <c r="O1693">
        <v>410</v>
      </c>
    </row>
    <row r="1694" spans="1:15" x14ac:dyDescent="0.25">
      <c r="A1694" t="s">
        <v>2733</v>
      </c>
      <c r="B1694" s="2">
        <v>47350</v>
      </c>
      <c r="C1694" t="s">
        <v>369</v>
      </c>
      <c r="D1694" t="s">
        <v>370</v>
      </c>
      <c r="E1694" t="s">
        <v>26</v>
      </c>
      <c r="F1694" t="s">
        <v>204</v>
      </c>
      <c r="G1694" t="s">
        <v>57</v>
      </c>
      <c r="H1694" t="s">
        <v>58</v>
      </c>
      <c r="I1694" t="s">
        <v>129</v>
      </c>
      <c r="J1694">
        <v>2</v>
      </c>
      <c r="K1694">
        <v>4800</v>
      </c>
      <c r="L1694">
        <v>0</v>
      </c>
      <c r="M1694">
        <v>9600</v>
      </c>
      <c r="N1694">
        <v>6600</v>
      </c>
      <c r="O1694">
        <v>3000</v>
      </c>
    </row>
    <row r="1695" spans="1:15" x14ac:dyDescent="0.25">
      <c r="A1695" t="s">
        <v>2734</v>
      </c>
      <c r="B1695" s="2">
        <v>47351</v>
      </c>
      <c r="C1695" t="s">
        <v>694</v>
      </c>
      <c r="D1695" t="s">
        <v>695</v>
      </c>
      <c r="E1695" t="s">
        <v>26</v>
      </c>
      <c r="F1695" t="s">
        <v>27</v>
      </c>
      <c r="G1695" t="s">
        <v>51</v>
      </c>
      <c r="H1695" t="s">
        <v>89</v>
      </c>
      <c r="I1695" t="s">
        <v>90</v>
      </c>
      <c r="J1695">
        <v>1</v>
      </c>
      <c r="K1695">
        <v>10500</v>
      </c>
      <c r="L1695">
        <v>0.15</v>
      </c>
      <c r="M1695">
        <v>8925</v>
      </c>
      <c r="N1695">
        <v>7600</v>
      </c>
      <c r="O1695">
        <v>1325</v>
      </c>
    </row>
    <row r="1696" spans="1:15" x14ac:dyDescent="0.25">
      <c r="A1696" t="s">
        <v>2735</v>
      </c>
      <c r="B1696" s="2">
        <v>47352</v>
      </c>
      <c r="C1696" t="s">
        <v>703</v>
      </c>
      <c r="D1696" t="s">
        <v>704</v>
      </c>
      <c r="E1696" t="s">
        <v>96</v>
      </c>
      <c r="F1696" t="s">
        <v>97</v>
      </c>
      <c r="G1696" t="s">
        <v>51</v>
      </c>
      <c r="H1696" t="s">
        <v>21</v>
      </c>
      <c r="I1696" t="s">
        <v>80</v>
      </c>
      <c r="J1696">
        <v>2</v>
      </c>
      <c r="K1696">
        <v>850</v>
      </c>
      <c r="L1696">
        <v>0.05</v>
      </c>
      <c r="M1696">
        <v>1615</v>
      </c>
      <c r="N1696">
        <v>1120</v>
      </c>
      <c r="O1696">
        <v>495</v>
      </c>
    </row>
    <row r="1697" spans="1:15" x14ac:dyDescent="0.25">
      <c r="A1697" t="s">
        <v>2736</v>
      </c>
      <c r="B1697" s="2">
        <v>47353</v>
      </c>
      <c r="C1697" t="s">
        <v>1693</v>
      </c>
      <c r="D1697" t="s">
        <v>1694</v>
      </c>
      <c r="E1697" t="s">
        <v>39</v>
      </c>
      <c r="F1697" t="s">
        <v>124</v>
      </c>
      <c r="G1697" t="s">
        <v>28</v>
      </c>
      <c r="H1697" t="s">
        <v>29</v>
      </c>
      <c r="I1697" t="s">
        <v>47</v>
      </c>
      <c r="J1697">
        <v>1</v>
      </c>
      <c r="K1697">
        <v>6800</v>
      </c>
      <c r="L1697">
        <v>0.15</v>
      </c>
      <c r="M1697">
        <v>5780</v>
      </c>
      <c r="N1697">
        <v>4700</v>
      </c>
      <c r="O1697">
        <v>1080</v>
      </c>
    </row>
    <row r="1698" spans="1:15" x14ac:dyDescent="0.25">
      <c r="A1698" t="s">
        <v>2737</v>
      </c>
      <c r="B1698" s="2">
        <v>47354</v>
      </c>
      <c r="C1698" t="s">
        <v>229</v>
      </c>
      <c r="D1698" t="s">
        <v>230</v>
      </c>
      <c r="E1698" t="s">
        <v>96</v>
      </c>
      <c r="F1698" t="s">
        <v>200</v>
      </c>
      <c r="G1698" t="s">
        <v>28</v>
      </c>
      <c r="H1698" t="s">
        <v>29</v>
      </c>
      <c r="I1698" t="s">
        <v>30</v>
      </c>
      <c r="J1698">
        <v>2</v>
      </c>
      <c r="K1698">
        <v>1900</v>
      </c>
      <c r="L1698">
        <v>0.1</v>
      </c>
      <c r="M1698">
        <v>3420</v>
      </c>
      <c r="N1698">
        <v>2500</v>
      </c>
      <c r="O1698">
        <v>920</v>
      </c>
    </row>
    <row r="1699" spans="1:15" x14ac:dyDescent="0.25">
      <c r="A1699" t="s">
        <v>2738</v>
      </c>
      <c r="B1699" s="2">
        <v>47355</v>
      </c>
      <c r="C1699" t="s">
        <v>570</v>
      </c>
      <c r="D1699" t="s">
        <v>571</v>
      </c>
      <c r="E1699" t="s">
        <v>96</v>
      </c>
      <c r="F1699" t="s">
        <v>200</v>
      </c>
      <c r="G1699" t="s">
        <v>51</v>
      </c>
      <c r="H1699" t="s">
        <v>52</v>
      </c>
      <c r="I1699" t="s">
        <v>53</v>
      </c>
      <c r="J1699">
        <v>5</v>
      </c>
      <c r="K1699">
        <v>2200</v>
      </c>
      <c r="L1699">
        <v>0.1</v>
      </c>
      <c r="M1699">
        <v>9900</v>
      </c>
      <c r="N1699">
        <v>7250</v>
      </c>
      <c r="O1699">
        <v>2650</v>
      </c>
    </row>
    <row r="1700" spans="1:15" x14ac:dyDescent="0.25">
      <c r="A1700" t="s">
        <v>2739</v>
      </c>
      <c r="B1700" s="2">
        <v>47356</v>
      </c>
      <c r="C1700" t="s">
        <v>1240</v>
      </c>
      <c r="D1700" t="s">
        <v>1241</v>
      </c>
      <c r="E1700" t="s">
        <v>96</v>
      </c>
      <c r="F1700" t="s">
        <v>196</v>
      </c>
      <c r="G1700" t="s">
        <v>51</v>
      </c>
      <c r="H1700" t="s">
        <v>89</v>
      </c>
      <c r="I1700" t="s">
        <v>90</v>
      </c>
      <c r="J1700">
        <v>2</v>
      </c>
      <c r="K1700">
        <v>10500</v>
      </c>
      <c r="L1700">
        <v>0.05</v>
      </c>
      <c r="M1700">
        <v>19950</v>
      </c>
      <c r="N1700">
        <v>15200</v>
      </c>
      <c r="O1700">
        <v>4750</v>
      </c>
    </row>
    <row r="1701" spans="1:15" x14ac:dyDescent="0.25">
      <c r="A1701" t="s">
        <v>2740</v>
      </c>
      <c r="B1701" s="2">
        <v>47357</v>
      </c>
      <c r="C1701" t="s">
        <v>1333</v>
      </c>
      <c r="D1701" t="s">
        <v>1334</v>
      </c>
      <c r="E1701" t="s">
        <v>96</v>
      </c>
      <c r="F1701" t="s">
        <v>200</v>
      </c>
      <c r="G1701" t="s">
        <v>57</v>
      </c>
      <c r="H1701" t="s">
        <v>104</v>
      </c>
      <c r="I1701" t="s">
        <v>105</v>
      </c>
      <c r="J1701">
        <v>5</v>
      </c>
      <c r="K1701">
        <v>7500</v>
      </c>
      <c r="L1701">
        <v>0.2</v>
      </c>
      <c r="M1701">
        <v>30000</v>
      </c>
      <c r="N1701">
        <v>26000</v>
      </c>
      <c r="O1701">
        <v>4000</v>
      </c>
    </row>
    <row r="1702" spans="1:15" x14ac:dyDescent="0.25">
      <c r="A1702" t="s">
        <v>2741</v>
      </c>
      <c r="B1702" s="2">
        <v>47358</v>
      </c>
      <c r="C1702" t="s">
        <v>1393</v>
      </c>
      <c r="D1702" t="s">
        <v>1394</v>
      </c>
      <c r="E1702" t="s">
        <v>26</v>
      </c>
      <c r="F1702" t="s">
        <v>204</v>
      </c>
      <c r="G1702" t="s">
        <v>28</v>
      </c>
      <c r="H1702" t="s">
        <v>29</v>
      </c>
      <c r="I1702" t="s">
        <v>30</v>
      </c>
      <c r="J1702">
        <v>1</v>
      </c>
      <c r="K1702">
        <v>1900</v>
      </c>
      <c r="L1702">
        <v>0</v>
      </c>
      <c r="M1702">
        <v>1900</v>
      </c>
      <c r="N1702">
        <v>1250</v>
      </c>
      <c r="O1702">
        <v>650</v>
      </c>
    </row>
    <row r="1703" spans="1:15" x14ac:dyDescent="0.25">
      <c r="A1703" t="s">
        <v>2742</v>
      </c>
      <c r="B1703" s="2">
        <v>47359</v>
      </c>
      <c r="C1703" t="s">
        <v>1259</v>
      </c>
      <c r="D1703" t="s">
        <v>1260</v>
      </c>
      <c r="E1703" t="s">
        <v>39</v>
      </c>
      <c r="F1703" t="s">
        <v>40</v>
      </c>
      <c r="G1703" t="s">
        <v>51</v>
      </c>
      <c r="H1703" t="s">
        <v>21</v>
      </c>
      <c r="I1703" t="s">
        <v>116</v>
      </c>
      <c r="J1703">
        <v>5</v>
      </c>
      <c r="K1703">
        <v>1400</v>
      </c>
      <c r="L1703">
        <v>0.25</v>
      </c>
      <c r="M1703">
        <v>5250</v>
      </c>
      <c r="N1703">
        <v>4500</v>
      </c>
      <c r="O1703">
        <v>750</v>
      </c>
    </row>
    <row r="1704" spans="1:15" x14ac:dyDescent="0.25">
      <c r="A1704" t="s">
        <v>2743</v>
      </c>
      <c r="B1704" s="2">
        <v>47360</v>
      </c>
      <c r="C1704" t="s">
        <v>1040</v>
      </c>
      <c r="D1704" t="s">
        <v>1041</v>
      </c>
      <c r="E1704" t="s">
        <v>26</v>
      </c>
      <c r="F1704" t="s">
        <v>204</v>
      </c>
      <c r="G1704" t="s">
        <v>28</v>
      </c>
      <c r="H1704" t="s">
        <v>29</v>
      </c>
      <c r="I1704" t="s">
        <v>47</v>
      </c>
      <c r="J1704">
        <v>3</v>
      </c>
      <c r="K1704">
        <v>6800</v>
      </c>
      <c r="L1704">
        <v>0.1</v>
      </c>
      <c r="M1704">
        <v>18360</v>
      </c>
      <c r="N1704">
        <v>14100</v>
      </c>
      <c r="O1704">
        <v>4260</v>
      </c>
    </row>
    <row r="1705" spans="1:15" x14ac:dyDescent="0.25">
      <c r="A1705" t="s">
        <v>2744</v>
      </c>
      <c r="B1705" s="2">
        <v>47361</v>
      </c>
      <c r="C1705" t="s">
        <v>1167</v>
      </c>
      <c r="D1705" t="s">
        <v>1168</v>
      </c>
      <c r="E1705" t="s">
        <v>26</v>
      </c>
      <c r="F1705" t="s">
        <v>27</v>
      </c>
      <c r="G1705" t="s">
        <v>57</v>
      </c>
      <c r="H1705" t="s">
        <v>58</v>
      </c>
      <c r="I1705" t="s">
        <v>59</v>
      </c>
      <c r="J1705">
        <v>2</v>
      </c>
      <c r="K1705">
        <v>5600</v>
      </c>
      <c r="L1705">
        <v>0.2</v>
      </c>
      <c r="M1705">
        <v>8960</v>
      </c>
      <c r="N1705">
        <v>7800</v>
      </c>
      <c r="O1705">
        <v>1160</v>
      </c>
    </row>
    <row r="1706" spans="1:15" x14ac:dyDescent="0.25">
      <c r="A1706" t="s">
        <v>2745</v>
      </c>
      <c r="B1706" s="2">
        <v>47362</v>
      </c>
      <c r="C1706" t="s">
        <v>2230</v>
      </c>
      <c r="D1706" t="s">
        <v>2231</v>
      </c>
      <c r="E1706" t="s">
        <v>26</v>
      </c>
      <c r="F1706" t="s">
        <v>204</v>
      </c>
      <c r="G1706" t="s">
        <v>51</v>
      </c>
      <c r="H1706" t="s">
        <v>52</v>
      </c>
      <c r="I1706" t="s">
        <v>208</v>
      </c>
      <c r="J1706">
        <v>5</v>
      </c>
      <c r="K1706">
        <v>2800</v>
      </c>
      <c r="L1706">
        <v>0.1</v>
      </c>
      <c r="M1706">
        <v>12600</v>
      </c>
      <c r="N1706">
        <v>9000</v>
      </c>
      <c r="O1706">
        <v>3600</v>
      </c>
    </row>
    <row r="1707" spans="1:15" x14ac:dyDescent="0.25">
      <c r="A1707" t="s">
        <v>2746</v>
      </c>
      <c r="B1707" s="2">
        <v>47363</v>
      </c>
      <c r="C1707" t="s">
        <v>229</v>
      </c>
      <c r="D1707" t="s">
        <v>230</v>
      </c>
      <c r="E1707" t="s">
        <v>18</v>
      </c>
      <c r="F1707" t="s">
        <v>94</v>
      </c>
      <c r="G1707" t="s">
        <v>20</v>
      </c>
      <c r="H1707" t="s">
        <v>41</v>
      </c>
      <c r="I1707" t="s">
        <v>42</v>
      </c>
      <c r="J1707">
        <v>5</v>
      </c>
      <c r="K1707">
        <v>520</v>
      </c>
      <c r="L1707">
        <v>0.05</v>
      </c>
      <c r="M1707">
        <v>2470</v>
      </c>
      <c r="N1707">
        <v>1650</v>
      </c>
      <c r="O1707">
        <v>820</v>
      </c>
    </row>
    <row r="1708" spans="1:15" x14ac:dyDescent="0.25">
      <c r="A1708" t="s">
        <v>2747</v>
      </c>
      <c r="B1708" s="2">
        <v>47364</v>
      </c>
      <c r="C1708" t="s">
        <v>562</v>
      </c>
      <c r="D1708" t="s">
        <v>563</v>
      </c>
      <c r="E1708" t="s">
        <v>26</v>
      </c>
      <c r="F1708" t="s">
        <v>27</v>
      </c>
      <c r="G1708" t="s">
        <v>20</v>
      </c>
      <c r="H1708" t="s">
        <v>41</v>
      </c>
      <c r="I1708" t="s">
        <v>42</v>
      </c>
      <c r="J1708">
        <v>2</v>
      </c>
      <c r="K1708">
        <v>520</v>
      </c>
      <c r="L1708">
        <v>0.2</v>
      </c>
      <c r="M1708">
        <v>832</v>
      </c>
      <c r="N1708">
        <v>660</v>
      </c>
      <c r="O1708">
        <v>172</v>
      </c>
    </row>
    <row r="1709" spans="1:15" x14ac:dyDescent="0.25">
      <c r="A1709" t="s">
        <v>2748</v>
      </c>
      <c r="B1709" s="2">
        <v>47365</v>
      </c>
      <c r="C1709" t="s">
        <v>1626</v>
      </c>
      <c r="D1709" t="s">
        <v>1627</v>
      </c>
      <c r="E1709" t="s">
        <v>39</v>
      </c>
      <c r="F1709" t="s">
        <v>76</v>
      </c>
      <c r="G1709" t="s">
        <v>20</v>
      </c>
      <c r="H1709" t="s">
        <v>41</v>
      </c>
      <c r="I1709" t="s">
        <v>42</v>
      </c>
      <c r="J1709">
        <v>4</v>
      </c>
      <c r="K1709">
        <v>520</v>
      </c>
      <c r="L1709">
        <v>0.1</v>
      </c>
      <c r="M1709">
        <v>1872</v>
      </c>
      <c r="N1709">
        <v>1320</v>
      </c>
      <c r="O1709">
        <v>552</v>
      </c>
    </row>
    <row r="1710" spans="1:15" x14ac:dyDescent="0.25">
      <c r="A1710" t="s">
        <v>2749</v>
      </c>
      <c r="B1710" s="2">
        <v>47366</v>
      </c>
      <c r="C1710" t="s">
        <v>550</v>
      </c>
      <c r="D1710" t="s">
        <v>551</v>
      </c>
      <c r="E1710" t="s">
        <v>26</v>
      </c>
      <c r="F1710" t="s">
        <v>46</v>
      </c>
      <c r="G1710" t="s">
        <v>57</v>
      </c>
      <c r="H1710" t="s">
        <v>188</v>
      </c>
      <c r="I1710" t="s">
        <v>189</v>
      </c>
      <c r="J1710">
        <v>2</v>
      </c>
      <c r="K1710">
        <v>6200</v>
      </c>
      <c r="L1710">
        <v>0.1</v>
      </c>
      <c r="M1710">
        <v>11160</v>
      </c>
      <c r="N1710">
        <v>8600</v>
      </c>
      <c r="O1710">
        <v>2560</v>
      </c>
    </row>
    <row r="1711" spans="1:15" x14ac:dyDescent="0.25">
      <c r="A1711" t="s">
        <v>2750</v>
      </c>
      <c r="B1711" s="2">
        <v>47367</v>
      </c>
      <c r="C1711" t="s">
        <v>1720</v>
      </c>
      <c r="D1711" t="s">
        <v>1721</v>
      </c>
      <c r="E1711" t="s">
        <v>96</v>
      </c>
      <c r="F1711" t="s">
        <v>196</v>
      </c>
      <c r="G1711" t="s">
        <v>51</v>
      </c>
      <c r="H1711" t="s">
        <v>21</v>
      </c>
      <c r="I1711" t="s">
        <v>80</v>
      </c>
      <c r="J1711">
        <v>1</v>
      </c>
      <c r="K1711">
        <v>850</v>
      </c>
      <c r="L1711">
        <v>0</v>
      </c>
      <c r="M1711">
        <v>850</v>
      </c>
      <c r="N1711">
        <v>560</v>
      </c>
      <c r="O1711">
        <v>290</v>
      </c>
    </row>
    <row r="1712" spans="1:15" x14ac:dyDescent="0.25">
      <c r="A1712" t="s">
        <v>2751</v>
      </c>
      <c r="B1712" s="2">
        <v>47368</v>
      </c>
      <c r="C1712" t="s">
        <v>444</v>
      </c>
      <c r="D1712" t="s">
        <v>445</v>
      </c>
      <c r="E1712" t="s">
        <v>26</v>
      </c>
      <c r="F1712" t="s">
        <v>46</v>
      </c>
      <c r="G1712" t="s">
        <v>20</v>
      </c>
      <c r="H1712" t="s">
        <v>84</v>
      </c>
      <c r="I1712" t="s">
        <v>169</v>
      </c>
      <c r="J1712">
        <v>4</v>
      </c>
      <c r="K1712">
        <v>450</v>
      </c>
      <c r="L1712">
        <v>0.1</v>
      </c>
      <c r="M1712">
        <v>1620</v>
      </c>
      <c r="N1712">
        <v>1040</v>
      </c>
      <c r="O1712">
        <v>580</v>
      </c>
    </row>
    <row r="1713" spans="1:15" x14ac:dyDescent="0.25">
      <c r="A1713" t="s">
        <v>2752</v>
      </c>
      <c r="B1713" s="2">
        <v>47369</v>
      </c>
      <c r="C1713" t="s">
        <v>1803</v>
      </c>
      <c r="D1713" t="s">
        <v>1804</v>
      </c>
      <c r="E1713" t="s">
        <v>39</v>
      </c>
      <c r="F1713" t="s">
        <v>124</v>
      </c>
      <c r="G1713" t="s">
        <v>57</v>
      </c>
      <c r="H1713" t="s">
        <v>58</v>
      </c>
      <c r="I1713" t="s">
        <v>59</v>
      </c>
      <c r="J1713">
        <v>4</v>
      </c>
      <c r="K1713">
        <v>5600</v>
      </c>
      <c r="L1713">
        <v>0.05</v>
      </c>
      <c r="M1713">
        <v>21280</v>
      </c>
      <c r="N1713">
        <v>15600</v>
      </c>
      <c r="O1713">
        <v>5680</v>
      </c>
    </row>
    <row r="1714" spans="1:15" x14ac:dyDescent="0.25">
      <c r="A1714" t="s">
        <v>2753</v>
      </c>
      <c r="B1714" s="2">
        <v>47370</v>
      </c>
      <c r="C1714" t="s">
        <v>317</v>
      </c>
      <c r="D1714" t="s">
        <v>318</v>
      </c>
      <c r="E1714" t="s">
        <v>26</v>
      </c>
      <c r="F1714" t="s">
        <v>27</v>
      </c>
      <c r="G1714" t="s">
        <v>57</v>
      </c>
      <c r="H1714" t="s">
        <v>104</v>
      </c>
      <c r="I1714" t="s">
        <v>105</v>
      </c>
      <c r="J1714">
        <v>5</v>
      </c>
      <c r="K1714">
        <v>7500</v>
      </c>
      <c r="L1714">
        <v>0.05</v>
      </c>
      <c r="M1714">
        <v>35625</v>
      </c>
      <c r="N1714">
        <v>26000</v>
      </c>
      <c r="O1714">
        <v>9625</v>
      </c>
    </row>
    <row r="1715" spans="1:15" x14ac:dyDescent="0.25">
      <c r="A1715" t="s">
        <v>2754</v>
      </c>
      <c r="B1715" s="2">
        <v>47371</v>
      </c>
      <c r="C1715" t="s">
        <v>1780</v>
      </c>
      <c r="D1715" t="s">
        <v>1781</v>
      </c>
      <c r="E1715" t="s">
        <v>39</v>
      </c>
      <c r="F1715" t="s">
        <v>76</v>
      </c>
      <c r="G1715" t="s">
        <v>20</v>
      </c>
      <c r="H1715" t="s">
        <v>84</v>
      </c>
      <c r="I1715" t="s">
        <v>210</v>
      </c>
      <c r="J1715">
        <v>5</v>
      </c>
      <c r="K1715">
        <v>300</v>
      </c>
      <c r="L1715">
        <v>0.15</v>
      </c>
      <c r="M1715">
        <v>1275</v>
      </c>
      <c r="N1715">
        <v>850</v>
      </c>
      <c r="O1715">
        <v>425</v>
      </c>
    </row>
    <row r="1716" spans="1:15" x14ac:dyDescent="0.25">
      <c r="A1716" t="s">
        <v>2755</v>
      </c>
      <c r="B1716" s="2">
        <v>47372</v>
      </c>
      <c r="C1716" t="s">
        <v>126</v>
      </c>
      <c r="D1716" t="s">
        <v>127</v>
      </c>
      <c r="E1716" t="s">
        <v>26</v>
      </c>
      <c r="F1716" t="s">
        <v>46</v>
      </c>
      <c r="G1716" t="s">
        <v>28</v>
      </c>
      <c r="H1716" t="s">
        <v>29</v>
      </c>
      <c r="I1716" t="s">
        <v>35</v>
      </c>
      <c r="J1716">
        <v>3</v>
      </c>
      <c r="K1716">
        <v>4200</v>
      </c>
      <c r="L1716">
        <v>0.2</v>
      </c>
      <c r="M1716">
        <v>10080</v>
      </c>
      <c r="N1716">
        <v>8700</v>
      </c>
      <c r="O1716">
        <v>1380</v>
      </c>
    </row>
    <row r="1717" spans="1:15" x14ac:dyDescent="0.25">
      <c r="A1717" t="s">
        <v>2756</v>
      </c>
      <c r="B1717" s="2">
        <v>47373</v>
      </c>
      <c r="C1717" t="s">
        <v>750</v>
      </c>
      <c r="D1717" t="s">
        <v>751</v>
      </c>
      <c r="E1717" t="s">
        <v>39</v>
      </c>
      <c r="F1717" t="s">
        <v>40</v>
      </c>
      <c r="G1717" t="s">
        <v>51</v>
      </c>
      <c r="H1717" t="s">
        <v>21</v>
      </c>
      <c r="I1717" t="s">
        <v>72</v>
      </c>
      <c r="J1717">
        <v>1</v>
      </c>
      <c r="K1717">
        <v>1800</v>
      </c>
      <c r="L1717">
        <v>0.1</v>
      </c>
      <c r="M1717">
        <v>1620</v>
      </c>
      <c r="N1717">
        <v>1100</v>
      </c>
      <c r="O1717">
        <v>520</v>
      </c>
    </row>
    <row r="1718" spans="1:15" x14ac:dyDescent="0.25">
      <c r="A1718" t="s">
        <v>2757</v>
      </c>
      <c r="B1718" s="2">
        <v>47374</v>
      </c>
      <c r="C1718" t="s">
        <v>1268</v>
      </c>
      <c r="D1718" t="s">
        <v>1269</v>
      </c>
      <c r="E1718" t="s">
        <v>39</v>
      </c>
      <c r="F1718" t="s">
        <v>40</v>
      </c>
      <c r="G1718" t="s">
        <v>57</v>
      </c>
      <c r="H1718" t="s">
        <v>58</v>
      </c>
      <c r="I1718" t="s">
        <v>59</v>
      </c>
      <c r="J1718">
        <v>1</v>
      </c>
      <c r="K1718">
        <v>5600</v>
      </c>
      <c r="L1718">
        <v>0.1</v>
      </c>
      <c r="M1718">
        <v>5040</v>
      </c>
      <c r="N1718">
        <v>3900</v>
      </c>
      <c r="O1718">
        <v>1140</v>
      </c>
    </row>
    <row r="1719" spans="1:15" x14ac:dyDescent="0.25">
      <c r="A1719" t="s">
        <v>2758</v>
      </c>
      <c r="B1719" s="2">
        <v>47375</v>
      </c>
      <c r="C1719" t="s">
        <v>235</v>
      </c>
      <c r="D1719" t="s">
        <v>236</v>
      </c>
      <c r="E1719" t="s">
        <v>96</v>
      </c>
      <c r="F1719" t="s">
        <v>120</v>
      </c>
      <c r="G1719" t="s">
        <v>51</v>
      </c>
      <c r="H1719" t="s">
        <v>21</v>
      </c>
      <c r="I1719" t="s">
        <v>80</v>
      </c>
      <c r="J1719">
        <v>5</v>
      </c>
      <c r="K1719">
        <v>850</v>
      </c>
      <c r="L1719">
        <v>0.05</v>
      </c>
      <c r="M1719">
        <v>4037.5</v>
      </c>
      <c r="N1719">
        <v>2800</v>
      </c>
      <c r="O1719">
        <v>1237.5</v>
      </c>
    </row>
    <row r="1720" spans="1:15" x14ac:dyDescent="0.25">
      <c r="A1720" t="s">
        <v>2759</v>
      </c>
      <c r="B1720" s="2">
        <v>47376</v>
      </c>
      <c r="C1720" t="s">
        <v>2760</v>
      </c>
      <c r="D1720" t="s">
        <v>2761</v>
      </c>
      <c r="E1720" t="s">
        <v>26</v>
      </c>
      <c r="F1720" t="s">
        <v>27</v>
      </c>
      <c r="G1720" t="s">
        <v>51</v>
      </c>
      <c r="H1720" t="s">
        <v>89</v>
      </c>
      <c r="I1720" t="s">
        <v>90</v>
      </c>
      <c r="J1720">
        <v>4</v>
      </c>
      <c r="K1720">
        <v>10500</v>
      </c>
      <c r="L1720">
        <v>0.05</v>
      </c>
      <c r="M1720">
        <v>39900</v>
      </c>
      <c r="N1720">
        <v>30400</v>
      </c>
      <c r="O1720">
        <v>9500</v>
      </c>
    </row>
    <row r="1721" spans="1:15" x14ac:dyDescent="0.25">
      <c r="A1721" t="s">
        <v>2762</v>
      </c>
      <c r="B1721" s="2">
        <v>47377</v>
      </c>
      <c r="C1721" t="s">
        <v>2763</v>
      </c>
      <c r="D1721" t="s">
        <v>2764</v>
      </c>
      <c r="E1721" t="s">
        <v>26</v>
      </c>
      <c r="F1721" t="s">
        <v>27</v>
      </c>
      <c r="G1721" t="s">
        <v>57</v>
      </c>
      <c r="H1721" t="s">
        <v>58</v>
      </c>
      <c r="I1721" t="s">
        <v>129</v>
      </c>
      <c r="J1721">
        <v>5</v>
      </c>
      <c r="K1721">
        <v>4800</v>
      </c>
      <c r="L1721">
        <v>0.15</v>
      </c>
      <c r="M1721">
        <v>20400</v>
      </c>
      <c r="N1721">
        <v>16500</v>
      </c>
      <c r="O1721">
        <v>3900</v>
      </c>
    </row>
    <row r="1722" spans="1:15" x14ac:dyDescent="0.25">
      <c r="A1722" t="s">
        <v>2765</v>
      </c>
      <c r="B1722" s="2">
        <v>47378</v>
      </c>
      <c r="C1722" t="s">
        <v>1012</v>
      </c>
      <c r="D1722" t="s">
        <v>1013</v>
      </c>
      <c r="E1722" t="s">
        <v>39</v>
      </c>
      <c r="F1722" t="s">
        <v>124</v>
      </c>
      <c r="G1722" t="s">
        <v>51</v>
      </c>
      <c r="H1722" t="s">
        <v>21</v>
      </c>
      <c r="I1722" t="s">
        <v>116</v>
      </c>
      <c r="J1722">
        <v>2</v>
      </c>
      <c r="K1722">
        <v>1400</v>
      </c>
      <c r="L1722">
        <v>0.25</v>
      </c>
      <c r="M1722">
        <v>2100</v>
      </c>
      <c r="N1722">
        <v>1800</v>
      </c>
      <c r="O1722">
        <v>300</v>
      </c>
    </row>
    <row r="1723" spans="1:15" x14ac:dyDescent="0.25">
      <c r="A1723" t="s">
        <v>2766</v>
      </c>
      <c r="B1723" s="2">
        <v>47379</v>
      </c>
      <c r="C1723" t="s">
        <v>1494</v>
      </c>
      <c r="D1723" t="s">
        <v>1495</v>
      </c>
      <c r="E1723" t="s">
        <v>26</v>
      </c>
      <c r="F1723" t="s">
        <v>128</v>
      </c>
      <c r="G1723" t="s">
        <v>51</v>
      </c>
      <c r="H1723" t="s">
        <v>89</v>
      </c>
      <c r="I1723" t="s">
        <v>90</v>
      </c>
      <c r="J1723">
        <v>4</v>
      </c>
      <c r="K1723">
        <v>10500</v>
      </c>
      <c r="L1723">
        <v>0.15</v>
      </c>
      <c r="M1723">
        <v>35700</v>
      </c>
      <c r="N1723">
        <v>30400</v>
      </c>
      <c r="O1723">
        <v>5300</v>
      </c>
    </row>
    <row r="1724" spans="1:15" x14ac:dyDescent="0.25">
      <c r="A1724" t="s">
        <v>2767</v>
      </c>
      <c r="B1724" s="2">
        <v>47380</v>
      </c>
      <c r="C1724" t="s">
        <v>541</v>
      </c>
      <c r="D1724" t="s">
        <v>542</v>
      </c>
      <c r="E1724" t="s">
        <v>39</v>
      </c>
      <c r="F1724" t="s">
        <v>76</v>
      </c>
      <c r="G1724" t="s">
        <v>57</v>
      </c>
      <c r="H1724" t="s">
        <v>188</v>
      </c>
      <c r="I1724" t="s">
        <v>189</v>
      </c>
      <c r="J1724">
        <v>3</v>
      </c>
      <c r="K1724">
        <v>6200</v>
      </c>
      <c r="L1724">
        <v>0.15</v>
      </c>
      <c r="M1724">
        <v>15810</v>
      </c>
      <c r="N1724">
        <v>12900</v>
      </c>
      <c r="O1724">
        <v>2910</v>
      </c>
    </row>
    <row r="1725" spans="1:15" x14ac:dyDescent="0.25">
      <c r="A1725" t="s">
        <v>2768</v>
      </c>
      <c r="B1725" s="2">
        <v>47381</v>
      </c>
      <c r="C1725" t="s">
        <v>2580</v>
      </c>
      <c r="D1725" t="s">
        <v>2581</v>
      </c>
      <c r="E1725" t="s">
        <v>39</v>
      </c>
      <c r="F1725" t="s">
        <v>71</v>
      </c>
      <c r="G1725" t="s">
        <v>57</v>
      </c>
      <c r="H1725" t="s">
        <v>58</v>
      </c>
      <c r="I1725" t="s">
        <v>59</v>
      </c>
      <c r="J1725">
        <v>1</v>
      </c>
      <c r="K1725">
        <v>5600</v>
      </c>
      <c r="L1725">
        <v>0.05</v>
      </c>
      <c r="M1725">
        <v>5320</v>
      </c>
      <c r="N1725">
        <v>3900</v>
      </c>
      <c r="O1725">
        <v>1420</v>
      </c>
    </row>
    <row r="1726" spans="1:15" x14ac:dyDescent="0.25">
      <c r="A1726" t="s">
        <v>2769</v>
      </c>
      <c r="B1726" s="2">
        <v>47382</v>
      </c>
      <c r="C1726" t="s">
        <v>2084</v>
      </c>
      <c r="D1726" t="s">
        <v>2085</v>
      </c>
      <c r="E1726" t="s">
        <v>39</v>
      </c>
      <c r="F1726" t="s">
        <v>40</v>
      </c>
      <c r="G1726" t="s">
        <v>57</v>
      </c>
      <c r="H1726" t="s">
        <v>188</v>
      </c>
      <c r="I1726" t="s">
        <v>189</v>
      </c>
      <c r="J1726">
        <v>5</v>
      </c>
      <c r="K1726">
        <v>6200</v>
      </c>
      <c r="L1726">
        <v>0.15</v>
      </c>
      <c r="M1726">
        <v>26350</v>
      </c>
      <c r="N1726">
        <v>21500</v>
      </c>
      <c r="O1726">
        <v>4850</v>
      </c>
    </row>
    <row r="1727" spans="1:15" x14ac:dyDescent="0.25">
      <c r="A1727" t="s">
        <v>2770</v>
      </c>
      <c r="B1727" s="2">
        <v>47383</v>
      </c>
      <c r="C1727" t="s">
        <v>2233</v>
      </c>
      <c r="D1727" t="s">
        <v>2234</v>
      </c>
      <c r="E1727" t="s">
        <v>26</v>
      </c>
      <c r="F1727" t="s">
        <v>46</v>
      </c>
      <c r="G1727" t="s">
        <v>20</v>
      </c>
      <c r="H1727" t="s">
        <v>41</v>
      </c>
      <c r="I1727" t="s">
        <v>42</v>
      </c>
      <c r="J1727">
        <v>1</v>
      </c>
      <c r="K1727">
        <v>520</v>
      </c>
      <c r="L1727">
        <v>0.2</v>
      </c>
      <c r="M1727">
        <v>416</v>
      </c>
      <c r="N1727">
        <v>330</v>
      </c>
      <c r="O1727">
        <v>86</v>
      </c>
    </row>
    <row r="1728" spans="1:15" x14ac:dyDescent="0.25">
      <c r="A1728" t="s">
        <v>2771</v>
      </c>
      <c r="B1728" s="2">
        <v>47384</v>
      </c>
      <c r="C1728" t="s">
        <v>703</v>
      </c>
      <c r="D1728" t="s">
        <v>704</v>
      </c>
      <c r="E1728" t="s">
        <v>39</v>
      </c>
      <c r="F1728" t="s">
        <v>76</v>
      </c>
      <c r="G1728" t="s">
        <v>51</v>
      </c>
      <c r="H1728" t="s">
        <v>21</v>
      </c>
      <c r="I1728" t="s">
        <v>80</v>
      </c>
      <c r="J1728">
        <v>1</v>
      </c>
      <c r="K1728">
        <v>850</v>
      </c>
      <c r="L1728">
        <v>0.1</v>
      </c>
      <c r="M1728">
        <v>765</v>
      </c>
      <c r="N1728">
        <v>560</v>
      </c>
      <c r="O1728">
        <v>205</v>
      </c>
    </row>
    <row r="1729" spans="1:15" x14ac:dyDescent="0.25">
      <c r="A1729" t="s">
        <v>2772</v>
      </c>
      <c r="B1729" s="2">
        <v>47385</v>
      </c>
      <c r="C1729" t="s">
        <v>1858</v>
      </c>
      <c r="D1729" t="s">
        <v>1859</v>
      </c>
      <c r="E1729" t="s">
        <v>39</v>
      </c>
      <c r="F1729" t="s">
        <v>76</v>
      </c>
      <c r="G1729" t="s">
        <v>51</v>
      </c>
      <c r="H1729" t="s">
        <v>89</v>
      </c>
      <c r="I1729" t="s">
        <v>90</v>
      </c>
      <c r="J1729">
        <v>1</v>
      </c>
      <c r="K1729">
        <v>10500</v>
      </c>
      <c r="L1729">
        <v>0.15</v>
      </c>
      <c r="M1729">
        <v>8925</v>
      </c>
      <c r="N1729">
        <v>7600</v>
      </c>
      <c r="O1729">
        <v>1325</v>
      </c>
    </row>
    <row r="1730" spans="1:15" x14ac:dyDescent="0.25">
      <c r="A1730" t="s">
        <v>2773</v>
      </c>
      <c r="B1730" s="2">
        <v>47386</v>
      </c>
      <c r="C1730" t="s">
        <v>1157</v>
      </c>
      <c r="D1730" t="s">
        <v>1158</v>
      </c>
      <c r="E1730" t="s">
        <v>26</v>
      </c>
      <c r="F1730" t="s">
        <v>34</v>
      </c>
      <c r="G1730" t="s">
        <v>51</v>
      </c>
      <c r="H1730" t="s">
        <v>89</v>
      </c>
      <c r="I1730" t="s">
        <v>90</v>
      </c>
      <c r="J1730">
        <v>3</v>
      </c>
      <c r="K1730">
        <v>10500</v>
      </c>
      <c r="L1730">
        <v>0.05</v>
      </c>
      <c r="M1730">
        <v>29925</v>
      </c>
      <c r="N1730">
        <v>22800</v>
      </c>
      <c r="O1730">
        <v>7125</v>
      </c>
    </row>
    <row r="1731" spans="1:15" x14ac:dyDescent="0.25">
      <c r="A1731" t="s">
        <v>2774</v>
      </c>
      <c r="B1731" s="2">
        <v>47387</v>
      </c>
      <c r="C1731" t="s">
        <v>1164</v>
      </c>
      <c r="D1731" t="s">
        <v>1165</v>
      </c>
      <c r="E1731" t="s">
        <v>39</v>
      </c>
      <c r="F1731" t="s">
        <v>71</v>
      </c>
      <c r="G1731" t="s">
        <v>51</v>
      </c>
      <c r="H1731" t="s">
        <v>52</v>
      </c>
      <c r="I1731" t="s">
        <v>53</v>
      </c>
      <c r="J1731">
        <v>3</v>
      </c>
      <c r="K1731">
        <v>2200</v>
      </c>
      <c r="L1731">
        <v>0.05</v>
      </c>
      <c r="M1731">
        <v>6270</v>
      </c>
      <c r="N1731">
        <v>4350</v>
      </c>
      <c r="O1731">
        <v>1920</v>
      </c>
    </row>
    <row r="1732" spans="1:15" x14ac:dyDescent="0.25">
      <c r="A1732" t="s">
        <v>2775</v>
      </c>
      <c r="B1732" s="2">
        <v>47388</v>
      </c>
      <c r="C1732" t="s">
        <v>2031</v>
      </c>
      <c r="D1732" t="s">
        <v>2032</v>
      </c>
      <c r="E1732" t="s">
        <v>96</v>
      </c>
      <c r="F1732" t="s">
        <v>200</v>
      </c>
      <c r="G1732" t="s">
        <v>51</v>
      </c>
      <c r="H1732" t="s">
        <v>52</v>
      </c>
      <c r="I1732" t="s">
        <v>208</v>
      </c>
      <c r="J1732">
        <v>5</v>
      </c>
      <c r="K1732">
        <v>2800</v>
      </c>
      <c r="L1732">
        <v>0.25</v>
      </c>
      <c r="M1732">
        <v>10500</v>
      </c>
      <c r="N1732">
        <v>9000</v>
      </c>
      <c r="O1732">
        <v>1500</v>
      </c>
    </row>
    <row r="1733" spans="1:15" x14ac:dyDescent="0.25">
      <c r="A1733" t="s">
        <v>2776</v>
      </c>
      <c r="B1733" s="2">
        <v>47389</v>
      </c>
      <c r="C1733" t="s">
        <v>1932</v>
      </c>
      <c r="D1733" t="s">
        <v>1933</v>
      </c>
      <c r="E1733" t="s">
        <v>26</v>
      </c>
      <c r="F1733" t="s">
        <v>128</v>
      </c>
      <c r="G1733" t="s">
        <v>28</v>
      </c>
      <c r="H1733" t="s">
        <v>29</v>
      </c>
      <c r="I1733" t="s">
        <v>47</v>
      </c>
      <c r="J1733">
        <v>5</v>
      </c>
      <c r="K1733">
        <v>6800</v>
      </c>
      <c r="L1733">
        <v>0.1</v>
      </c>
      <c r="M1733">
        <v>30600</v>
      </c>
      <c r="N1733">
        <v>23500</v>
      </c>
      <c r="O1733">
        <v>7100</v>
      </c>
    </row>
    <row r="1734" spans="1:15" x14ac:dyDescent="0.25">
      <c r="A1734" t="s">
        <v>2777</v>
      </c>
      <c r="B1734" s="2">
        <v>47390</v>
      </c>
      <c r="C1734" t="s">
        <v>633</v>
      </c>
      <c r="D1734" t="s">
        <v>634</v>
      </c>
      <c r="E1734" t="s">
        <v>96</v>
      </c>
      <c r="F1734" t="s">
        <v>196</v>
      </c>
      <c r="G1734" t="s">
        <v>20</v>
      </c>
      <c r="H1734" t="s">
        <v>41</v>
      </c>
      <c r="I1734" t="s">
        <v>42</v>
      </c>
      <c r="J1734">
        <v>2</v>
      </c>
      <c r="K1734">
        <v>520</v>
      </c>
      <c r="L1734">
        <v>0.15</v>
      </c>
      <c r="M1734">
        <v>884</v>
      </c>
      <c r="N1734">
        <v>660</v>
      </c>
      <c r="O1734">
        <v>224</v>
      </c>
    </row>
    <row r="1735" spans="1:15" x14ac:dyDescent="0.25">
      <c r="A1735" t="s">
        <v>2778</v>
      </c>
      <c r="B1735" s="2">
        <v>47391</v>
      </c>
      <c r="C1735" t="s">
        <v>603</v>
      </c>
      <c r="D1735" t="s">
        <v>604</v>
      </c>
      <c r="E1735" t="s">
        <v>39</v>
      </c>
      <c r="F1735" t="s">
        <v>124</v>
      </c>
      <c r="G1735" t="s">
        <v>51</v>
      </c>
      <c r="H1735" t="s">
        <v>52</v>
      </c>
      <c r="I1735" t="s">
        <v>208</v>
      </c>
      <c r="J1735">
        <v>4</v>
      </c>
      <c r="K1735">
        <v>2800</v>
      </c>
      <c r="L1735">
        <v>0</v>
      </c>
      <c r="M1735">
        <v>11200</v>
      </c>
      <c r="N1735">
        <v>7200</v>
      </c>
      <c r="O1735">
        <v>4000</v>
      </c>
    </row>
    <row r="1736" spans="1:15" x14ac:dyDescent="0.25">
      <c r="A1736" t="s">
        <v>2779</v>
      </c>
      <c r="B1736" s="2">
        <v>47392</v>
      </c>
      <c r="C1736" t="s">
        <v>513</v>
      </c>
      <c r="D1736" t="s">
        <v>514</v>
      </c>
      <c r="E1736" t="s">
        <v>39</v>
      </c>
      <c r="F1736" t="s">
        <v>71</v>
      </c>
      <c r="G1736" t="s">
        <v>51</v>
      </c>
      <c r="H1736" t="s">
        <v>21</v>
      </c>
      <c r="I1736" t="s">
        <v>80</v>
      </c>
      <c r="J1736">
        <v>1</v>
      </c>
      <c r="K1736">
        <v>850</v>
      </c>
      <c r="L1736">
        <v>0</v>
      </c>
      <c r="M1736">
        <v>850</v>
      </c>
      <c r="N1736">
        <v>560</v>
      </c>
      <c r="O1736">
        <v>290</v>
      </c>
    </row>
    <row r="1737" spans="1:15" x14ac:dyDescent="0.25">
      <c r="A1737" t="s">
        <v>2780</v>
      </c>
      <c r="B1737" s="2">
        <v>47393</v>
      </c>
      <c r="C1737" t="s">
        <v>510</v>
      </c>
      <c r="D1737" t="s">
        <v>511</v>
      </c>
      <c r="E1737" t="s">
        <v>26</v>
      </c>
      <c r="F1737" t="s">
        <v>34</v>
      </c>
      <c r="G1737" t="s">
        <v>57</v>
      </c>
      <c r="H1737" t="s">
        <v>104</v>
      </c>
      <c r="I1737" t="s">
        <v>105</v>
      </c>
      <c r="J1737">
        <v>4</v>
      </c>
      <c r="K1737">
        <v>7500</v>
      </c>
      <c r="L1737">
        <v>0</v>
      </c>
      <c r="M1737">
        <v>30000</v>
      </c>
      <c r="N1737">
        <v>20800</v>
      </c>
      <c r="O1737">
        <v>9200</v>
      </c>
    </row>
    <row r="1738" spans="1:15" x14ac:dyDescent="0.25">
      <c r="A1738" t="s">
        <v>2781</v>
      </c>
      <c r="B1738" s="2">
        <v>47394</v>
      </c>
      <c r="C1738" t="s">
        <v>1034</v>
      </c>
      <c r="D1738" t="s">
        <v>1035</v>
      </c>
      <c r="E1738" t="s">
        <v>26</v>
      </c>
      <c r="F1738" t="s">
        <v>34</v>
      </c>
      <c r="G1738" t="s">
        <v>57</v>
      </c>
      <c r="H1738" t="s">
        <v>58</v>
      </c>
      <c r="I1738" t="s">
        <v>59</v>
      </c>
      <c r="J1738">
        <v>3</v>
      </c>
      <c r="K1738">
        <v>5600</v>
      </c>
      <c r="L1738">
        <v>0.05</v>
      </c>
      <c r="M1738">
        <v>15960</v>
      </c>
      <c r="N1738">
        <v>11700</v>
      </c>
      <c r="O1738">
        <v>4260</v>
      </c>
    </row>
    <row r="1739" spans="1:15" x14ac:dyDescent="0.25">
      <c r="A1739" t="s">
        <v>2782</v>
      </c>
      <c r="B1739" s="2">
        <v>47395</v>
      </c>
      <c r="C1739" t="s">
        <v>860</v>
      </c>
      <c r="D1739" t="s">
        <v>861</v>
      </c>
      <c r="E1739" t="s">
        <v>39</v>
      </c>
      <c r="F1739" t="s">
        <v>124</v>
      </c>
      <c r="G1739" t="s">
        <v>57</v>
      </c>
      <c r="H1739" t="s">
        <v>58</v>
      </c>
      <c r="I1739" t="s">
        <v>59</v>
      </c>
      <c r="J1739">
        <v>1</v>
      </c>
      <c r="K1739">
        <v>5600</v>
      </c>
      <c r="L1739">
        <v>0.1</v>
      </c>
      <c r="M1739">
        <v>5040</v>
      </c>
      <c r="N1739">
        <v>3900</v>
      </c>
      <c r="O1739">
        <v>1140</v>
      </c>
    </row>
    <row r="1740" spans="1:15" x14ac:dyDescent="0.25">
      <c r="A1740" t="s">
        <v>2783</v>
      </c>
      <c r="B1740" s="2">
        <v>47396</v>
      </c>
      <c r="C1740" t="s">
        <v>570</v>
      </c>
      <c r="D1740" t="s">
        <v>571</v>
      </c>
      <c r="E1740" t="s">
        <v>96</v>
      </c>
      <c r="F1740" t="s">
        <v>200</v>
      </c>
      <c r="G1740" t="s">
        <v>20</v>
      </c>
      <c r="H1740" t="s">
        <v>84</v>
      </c>
      <c r="I1740" t="s">
        <v>210</v>
      </c>
      <c r="J1740">
        <v>1</v>
      </c>
      <c r="K1740">
        <v>300</v>
      </c>
      <c r="L1740">
        <v>0.15</v>
      </c>
      <c r="M1740">
        <v>255</v>
      </c>
      <c r="N1740">
        <v>170</v>
      </c>
      <c r="O1740">
        <v>85</v>
      </c>
    </row>
    <row r="1741" spans="1:15" x14ac:dyDescent="0.25">
      <c r="A1741" t="s">
        <v>2784</v>
      </c>
      <c r="B1741" s="2">
        <v>47397</v>
      </c>
      <c r="C1741" t="s">
        <v>2785</v>
      </c>
      <c r="D1741" t="s">
        <v>2786</v>
      </c>
      <c r="E1741" t="s">
        <v>96</v>
      </c>
      <c r="F1741" t="s">
        <v>120</v>
      </c>
      <c r="G1741" t="s">
        <v>51</v>
      </c>
      <c r="H1741" t="s">
        <v>89</v>
      </c>
      <c r="I1741" t="s">
        <v>90</v>
      </c>
      <c r="J1741">
        <v>3</v>
      </c>
      <c r="K1741">
        <v>10500</v>
      </c>
      <c r="L1741">
        <v>0.05</v>
      </c>
      <c r="M1741">
        <v>29925</v>
      </c>
      <c r="N1741">
        <v>22800</v>
      </c>
      <c r="O1741">
        <v>7125</v>
      </c>
    </row>
    <row r="1742" spans="1:15" x14ac:dyDescent="0.25">
      <c r="A1742" t="s">
        <v>2787</v>
      </c>
      <c r="B1742" s="2">
        <v>47398</v>
      </c>
      <c r="C1742" t="s">
        <v>113</v>
      </c>
      <c r="D1742" t="s">
        <v>114</v>
      </c>
      <c r="E1742" t="s">
        <v>96</v>
      </c>
      <c r="F1742" t="s">
        <v>97</v>
      </c>
      <c r="G1742" t="s">
        <v>20</v>
      </c>
      <c r="H1742" t="s">
        <v>84</v>
      </c>
      <c r="I1742" t="s">
        <v>85</v>
      </c>
      <c r="J1742">
        <v>2</v>
      </c>
      <c r="K1742">
        <v>280</v>
      </c>
      <c r="L1742">
        <v>0.1</v>
      </c>
      <c r="M1742">
        <v>504</v>
      </c>
      <c r="N1742">
        <v>320</v>
      </c>
      <c r="O1742">
        <v>184</v>
      </c>
    </row>
    <row r="1743" spans="1:15" x14ac:dyDescent="0.25">
      <c r="A1743" t="s">
        <v>2788</v>
      </c>
      <c r="B1743" s="2">
        <v>47399</v>
      </c>
      <c r="C1743" t="s">
        <v>472</v>
      </c>
      <c r="D1743" t="s">
        <v>473</v>
      </c>
      <c r="E1743" t="s">
        <v>26</v>
      </c>
      <c r="F1743" t="s">
        <v>27</v>
      </c>
      <c r="G1743" t="s">
        <v>57</v>
      </c>
      <c r="H1743" t="s">
        <v>104</v>
      </c>
      <c r="I1743" t="s">
        <v>105</v>
      </c>
      <c r="J1743">
        <v>3</v>
      </c>
      <c r="K1743">
        <v>7500</v>
      </c>
      <c r="L1743">
        <v>0.15</v>
      </c>
      <c r="M1743">
        <v>19125</v>
      </c>
      <c r="N1743">
        <v>15600</v>
      </c>
      <c r="O1743">
        <v>3525</v>
      </c>
    </row>
    <row r="1744" spans="1:15" x14ac:dyDescent="0.25">
      <c r="A1744" t="s">
        <v>2789</v>
      </c>
      <c r="B1744" s="2">
        <v>47400</v>
      </c>
      <c r="C1744" t="s">
        <v>1256</v>
      </c>
      <c r="D1744" t="s">
        <v>1257</v>
      </c>
      <c r="E1744" t="s">
        <v>26</v>
      </c>
      <c r="F1744" t="s">
        <v>34</v>
      </c>
      <c r="G1744" t="s">
        <v>28</v>
      </c>
      <c r="H1744" t="s">
        <v>63</v>
      </c>
      <c r="I1744" t="s">
        <v>64</v>
      </c>
      <c r="J1744">
        <v>1</v>
      </c>
      <c r="K1744">
        <v>2400</v>
      </c>
      <c r="L1744">
        <v>0.15</v>
      </c>
      <c r="M1744">
        <v>2040</v>
      </c>
      <c r="N1744">
        <v>1650</v>
      </c>
      <c r="O1744">
        <v>390</v>
      </c>
    </row>
    <row r="1745" spans="1:15" x14ac:dyDescent="0.25">
      <c r="A1745" t="s">
        <v>2790</v>
      </c>
      <c r="B1745" s="2">
        <v>47401</v>
      </c>
      <c r="C1745" t="s">
        <v>1581</v>
      </c>
      <c r="D1745" t="s">
        <v>1582</v>
      </c>
      <c r="E1745" t="s">
        <v>96</v>
      </c>
      <c r="F1745" t="s">
        <v>97</v>
      </c>
      <c r="G1745" t="s">
        <v>51</v>
      </c>
      <c r="H1745" t="s">
        <v>89</v>
      </c>
      <c r="I1745" t="s">
        <v>90</v>
      </c>
      <c r="J1745">
        <v>3</v>
      </c>
      <c r="K1745">
        <v>10500</v>
      </c>
      <c r="L1745">
        <v>0.1</v>
      </c>
      <c r="M1745">
        <v>28350</v>
      </c>
      <c r="N1745">
        <v>22800</v>
      </c>
      <c r="O1745">
        <v>5550</v>
      </c>
    </row>
    <row r="1746" spans="1:15" x14ac:dyDescent="0.25">
      <c r="A1746" t="s">
        <v>2791</v>
      </c>
      <c r="B1746" s="2">
        <v>47402</v>
      </c>
      <c r="C1746" t="s">
        <v>1471</v>
      </c>
      <c r="D1746" t="s">
        <v>1472</v>
      </c>
      <c r="E1746" t="s">
        <v>96</v>
      </c>
      <c r="F1746" t="s">
        <v>120</v>
      </c>
      <c r="G1746" t="s">
        <v>51</v>
      </c>
      <c r="H1746" t="s">
        <v>52</v>
      </c>
      <c r="I1746" t="s">
        <v>208</v>
      </c>
      <c r="J1746">
        <v>1</v>
      </c>
      <c r="K1746">
        <v>2800</v>
      </c>
      <c r="L1746">
        <v>0.1</v>
      </c>
      <c r="M1746">
        <v>2520</v>
      </c>
      <c r="N1746">
        <v>1800</v>
      </c>
      <c r="O1746">
        <v>720</v>
      </c>
    </row>
    <row r="1747" spans="1:15" x14ac:dyDescent="0.25">
      <c r="A1747" t="s">
        <v>2792</v>
      </c>
      <c r="B1747" s="2">
        <v>47403</v>
      </c>
      <c r="C1747" t="s">
        <v>501</v>
      </c>
      <c r="D1747" t="s">
        <v>502</v>
      </c>
      <c r="E1747" t="s">
        <v>39</v>
      </c>
      <c r="F1747" t="s">
        <v>71</v>
      </c>
      <c r="G1747" t="s">
        <v>51</v>
      </c>
      <c r="H1747" t="s">
        <v>52</v>
      </c>
      <c r="I1747" t="s">
        <v>53</v>
      </c>
      <c r="J1747">
        <v>5</v>
      </c>
      <c r="K1747">
        <v>2200</v>
      </c>
      <c r="L1747">
        <v>0.1</v>
      </c>
      <c r="M1747">
        <v>9900</v>
      </c>
      <c r="N1747">
        <v>7250</v>
      </c>
      <c r="O1747">
        <v>2650</v>
      </c>
    </row>
    <row r="1748" spans="1:15" x14ac:dyDescent="0.25">
      <c r="A1748" t="s">
        <v>2793</v>
      </c>
      <c r="B1748" s="2">
        <v>47404</v>
      </c>
      <c r="C1748" t="s">
        <v>760</v>
      </c>
      <c r="D1748" t="s">
        <v>761</v>
      </c>
      <c r="E1748" t="s">
        <v>39</v>
      </c>
      <c r="F1748" t="s">
        <v>40</v>
      </c>
      <c r="G1748" t="s">
        <v>28</v>
      </c>
      <c r="H1748" t="s">
        <v>63</v>
      </c>
      <c r="I1748" t="s">
        <v>64</v>
      </c>
      <c r="J1748">
        <v>2</v>
      </c>
      <c r="K1748">
        <v>2400</v>
      </c>
      <c r="L1748">
        <v>0.15</v>
      </c>
      <c r="M1748">
        <v>4080</v>
      </c>
      <c r="N1748">
        <v>3300</v>
      </c>
      <c r="O1748">
        <v>780</v>
      </c>
    </row>
    <row r="1749" spans="1:15" x14ac:dyDescent="0.25">
      <c r="A1749" t="s">
        <v>2794</v>
      </c>
      <c r="B1749" s="2">
        <v>47405</v>
      </c>
      <c r="C1749" t="s">
        <v>191</v>
      </c>
      <c r="D1749" t="s">
        <v>192</v>
      </c>
      <c r="E1749" t="s">
        <v>26</v>
      </c>
      <c r="F1749" t="s">
        <v>46</v>
      </c>
      <c r="G1749" t="s">
        <v>51</v>
      </c>
      <c r="H1749" t="s">
        <v>52</v>
      </c>
      <c r="I1749" t="s">
        <v>53</v>
      </c>
      <c r="J1749">
        <v>5</v>
      </c>
      <c r="K1749">
        <v>2200</v>
      </c>
      <c r="L1749">
        <v>0</v>
      </c>
      <c r="M1749">
        <v>11000</v>
      </c>
      <c r="N1749">
        <v>7250</v>
      </c>
      <c r="O1749">
        <v>3750</v>
      </c>
    </row>
    <row r="1750" spans="1:15" x14ac:dyDescent="0.25">
      <c r="A1750" t="s">
        <v>2795</v>
      </c>
      <c r="B1750" s="2">
        <v>47406</v>
      </c>
      <c r="C1750" t="s">
        <v>2796</v>
      </c>
      <c r="D1750" t="s">
        <v>2797</v>
      </c>
      <c r="E1750" t="s">
        <v>18</v>
      </c>
      <c r="F1750" t="s">
        <v>19</v>
      </c>
      <c r="G1750" t="s">
        <v>28</v>
      </c>
      <c r="H1750" t="s">
        <v>29</v>
      </c>
      <c r="I1750" t="s">
        <v>47</v>
      </c>
      <c r="J1750">
        <v>5</v>
      </c>
      <c r="K1750">
        <v>6800</v>
      </c>
      <c r="L1750">
        <v>0</v>
      </c>
      <c r="M1750">
        <v>34000</v>
      </c>
      <c r="N1750">
        <v>23500</v>
      </c>
      <c r="O1750">
        <v>10500</v>
      </c>
    </row>
    <row r="1751" spans="1:15" x14ac:dyDescent="0.25">
      <c r="A1751" t="s">
        <v>2798</v>
      </c>
      <c r="B1751" s="2">
        <v>47407</v>
      </c>
      <c r="C1751" t="s">
        <v>929</v>
      </c>
      <c r="D1751" t="s">
        <v>930</v>
      </c>
      <c r="E1751" t="s">
        <v>39</v>
      </c>
      <c r="F1751" t="s">
        <v>124</v>
      </c>
      <c r="G1751" t="s">
        <v>20</v>
      </c>
      <c r="H1751" t="s">
        <v>21</v>
      </c>
      <c r="I1751" t="s">
        <v>22</v>
      </c>
      <c r="J1751">
        <v>5</v>
      </c>
      <c r="K1751">
        <v>650</v>
      </c>
      <c r="L1751">
        <v>0</v>
      </c>
      <c r="M1751">
        <v>3250</v>
      </c>
      <c r="N1751">
        <v>1950</v>
      </c>
      <c r="O1751">
        <v>1300</v>
      </c>
    </row>
    <row r="1752" spans="1:15" x14ac:dyDescent="0.25">
      <c r="A1752" t="s">
        <v>2799</v>
      </c>
      <c r="B1752" s="2">
        <v>47408</v>
      </c>
      <c r="C1752" t="s">
        <v>1323</v>
      </c>
      <c r="D1752" t="s">
        <v>1324</v>
      </c>
      <c r="E1752" t="s">
        <v>26</v>
      </c>
      <c r="F1752" t="s">
        <v>128</v>
      </c>
      <c r="G1752" t="s">
        <v>51</v>
      </c>
      <c r="H1752" t="s">
        <v>89</v>
      </c>
      <c r="I1752" t="s">
        <v>90</v>
      </c>
      <c r="J1752">
        <v>2</v>
      </c>
      <c r="K1752">
        <v>10500</v>
      </c>
      <c r="L1752">
        <v>0.05</v>
      </c>
      <c r="M1752">
        <v>19950</v>
      </c>
      <c r="N1752">
        <v>15200</v>
      </c>
      <c r="O1752">
        <v>4750</v>
      </c>
    </row>
    <row r="1753" spans="1:15" x14ac:dyDescent="0.25">
      <c r="A1753" t="s">
        <v>2800</v>
      </c>
      <c r="B1753" s="2">
        <v>47409</v>
      </c>
      <c r="C1753" t="s">
        <v>980</v>
      </c>
      <c r="D1753" t="s">
        <v>981</v>
      </c>
      <c r="E1753" t="s">
        <v>26</v>
      </c>
      <c r="F1753" t="s">
        <v>204</v>
      </c>
      <c r="G1753" t="s">
        <v>20</v>
      </c>
      <c r="H1753" t="s">
        <v>41</v>
      </c>
      <c r="I1753" t="s">
        <v>42</v>
      </c>
      <c r="J1753">
        <v>2</v>
      </c>
      <c r="K1753">
        <v>520</v>
      </c>
      <c r="L1753">
        <v>0.05</v>
      </c>
      <c r="M1753">
        <v>988</v>
      </c>
      <c r="N1753">
        <v>660</v>
      </c>
      <c r="O1753">
        <v>328</v>
      </c>
    </row>
    <row r="1754" spans="1:15" x14ac:dyDescent="0.25">
      <c r="A1754" t="s">
        <v>2801</v>
      </c>
      <c r="B1754" s="2">
        <v>47410</v>
      </c>
      <c r="C1754" t="s">
        <v>219</v>
      </c>
      <c r="D1754" t="s">
        <v>220</v>
      </c>
      <c r="E1754" t="s">
        <v>39</v>
      </c>
      <c r="F1754" t="s">
        <v>124</v>
      </c>
      <c r="G1754" t="s">
        <v>51</v>
      </c>
      <c r="H1754" t="s">
        <v>89</v>
      </c>
      <c r="I1754" t="s">
        <v>90</v>
      </c>
      <c r="J1754">
        <v>3</v>
      </c>
      <c r="K1754">
        <v>10500</v>
      </c>
      <c r="L1754">
        <v>0.05</v>
      </c>
      <c r="M1754">
        <v>29925</v>
      </c>
      <c r="N1754">
        <v>22800</v>
      </c>
      <c r="O1754">
        <v>7125</v>
      </c>
    </row>
    <row r="1755" spans="1:15" x14ac:dyDescent="0.25">
      <c r="A1755" t="s">
        <v>2802</v>
      </c>
      <c r="B1755" s="2">
        <v>47411</v>
      </c>
      <c r="C1755" t="s">
        <v>393</v>
      </c>
      <c r="D1755" t="s">
        <v>394</v>
      </c>
      <c r="E1755" t="s">
        <v>96</v>
      </c>
      <c r="F1755" t="s">
        <v>200</v>
      </c>
      <c r="G1755" t="s">
        <v>20</v>
      </c>
      <c r="H1755" t="s">
        <v>84</v>
      </c>
      <c r="I1755" t="s">
        <v>210</v>
      </c>
      <c r="J1755">
        <v>5</v>
      </c>
      <c r="K1755">
        <v>300</v>
      </c>
      <c r="L1755">
        <v>0.05</v>
      </c>
      <c r="M1755">
        <v>1425</v>
      </c>
      <c r="N1755">
        <v>850</v>
      </c>
      <c r="O1755">
        <v>575</v>
      </c>
    </row>
    <row r="1756" spans="1:15" x14ac:dyDescent="0.25">
      <c r="A1756" t="s">
        <v>2803</v>
      </c>
      <c r="B1756" s="2">
        <v>47412</v>
      </c>
      <c r="C1756" t="s">
        <v>357</v>
      </c>
      <c r="D1756" t="s">
        <v>358</v>
      </c>
      <c r="E1756" t="s">
        <v>18</v>
      </c>
      <c r="F1756" t="s">
        <v>19</v>
      </c>
      <c r="G1756" t="s">
        <v>57</v>
      </c>
      <c r="H1756" t="s">
        <v>58</v>
      </c>
      <c r="I1756" t="s">
        <v>59</v>
      </c>
      <c r="J1756">
        <v>2</v>
      </c>
      <c r="K1756">
        <v>5600</v>
      </c>
      <c r="L1756">
        <v>0.15</v>
      </c>
      <c r="M1756">
        <v>9520</v>
      </c>
      <c r="N1756">
        <v>7800</v>
      </c>
      <c r="O1756">
        <v>1720</v>
      </c>
    </row>
    <row r="1757" spans="1:15" x14ac:dyDescent="0.25">
      <c r="A1757" t="s">
        <v>2804</v>
      </c>
      <c r="B1757" s="2">
        <v>47413</v>
      </c>
      <c r="C1757" t="s">
        <v>1111</v>
      </c>
      <c r="D1757" t="s">
        <v>1112</v>
      </c>
      <c r="E1757" t="s">
        <v>96</v>
      </c>
      <c r="F1757" t="s">
        <v>120</v>
      </c>
      <c r="G1757" t="s">
        <v>28</v>
      </c>
      <c r="H1757" t="s">
        <v>29</v>
      </c>
      <c r="I1757" t="s">
        <v>47</v>
      </c>
      <c r="J1757">
        <v>1</v>
      </c>
      <c r="K1757">
        <v>6800</v>
      </c>
      <c r="L1757">
        <v>0</v>
      </c>
      <c r="M1757">
        <v>6800</v>
      </c>
      <c r="N1757">
        <v>4700</v>
      </c>
      <c r="O1757">
        <v>2100</v>
      </c>
    </row>
    <row r="1758" spans="1:15" x14ac:dyDescent="0.25">
      <c r="A1758" t="s">
        <v>2805</v>
      </c>
      <c r="B1758" s="2">
        <v>47414</v>
      </c>
      <c r="C1758" t="s">
        <v>860</v>
      </c>
      <c r="D1758" t="s">
        <v>861</v>
      </c>
      <c r="E1758" t="s">
        <v>18</v>
      </c>
      <c r="F1758" t="s">
        <v>94</v>
      </c>
      <c r="G1758" t="s">
        <v>28</v>
      </c>
      <c r="H1758" t="s">
        <v>29</v>
      </c>
      <c r="I1758" t="s">
        <v>35</v>
      </c>
      <c r="J1758">
        <v>4</v>
      </c>
      <c r="K1758">
        <v>4200</v>
      </c>
      <c r="L1758">
        <v>0.25</v>
      </c>
      <c r="M1758">
        <v>12600</v>
      </c>
      <c r="N1758">
        <v>11600</v>
      </c>
      <c r="O1758">
        <v>1000</v>
      </c>
    </row>
    <row r="1759" spans="1:15" x14ac:dyDescent="0.25">
      <c r="A1759" t="s">
        <v>2806</v>
      </c>
      <c r="B1759" s="2">
        <v>47415</v>
      </c>
      <c r="C1759" t="s">
        <v>1358</v>
      </c>
      <c r="D1759" t="s">
        <v>1359</v>
      </c>
      <c r="E1759" t="s">
        <v>96</v>
      </c>
      <c r="F1759" t="s">
        <v>97</v>
      </c>
      <c r="G1759" t="s">
        <v>51</v>
      </c>
      <c r="H1759" t="s">
        <v>21</v>
      </c>
      <c r="I1759" t="s">
        <v>80</v>
      </c>
      <c r="J1759">
        <v>5</v>
      </c>
      <c r="K1759">
        <v>850</v>
      </c>
      <c r="L1759">
        <v>0.15</v>
      </c>
      <c r="M1759">
        <v>3612.5</v>
      </c>
      <c r="N1759">
        <v>2800</v>
      </c>
      <c r="O1759">
        <v>812.5</v>
      </c>
    </row>
    <row r="1760" spans="1:15" x14ac:dyDescent="0.25">
      <c r="A1760" t="s">
        <v>2807</v>
      </c>
      <c r="B1760" s="2">
        <v>47416</v>
      </c>
      <c r="C1760" t="s">
        <v>113</v>
      </c>
      <c r="D1760" t="s">
        <v>114</v>
      </c>
      <c r="E1760" t="s">
        <v>18</v>
      </c>
      <c r="F1760" t="s">
        <v>94</v>
      </c>
      <c r="G1760" t="s">
        <v>20</v>
      </c>
      <c r="H1760" t="s">
        <v>84</v>
      </c>
      <c r="I1760" t="s">
        <v>169</v>
      </c>
      <c r="J1760">
        <v>3</v>
      </c>
      <c r="K1760">
        <v>450</v>
      </c>
      <c r="L1760">
        <v>0.2</v>
      </c>
      <c r="M1760">
        <v>1080</v>
      </c>
      <c r="N1760">
        <v>780</v>
      </c>
      <c r="O1760">
        <v>300</v>
      </c>
    </row>
    <row r="1761" spans="1:15" x14ac:dyDescent="0.25">
      <c r="A1761" t="s">
        <v>2808</v>
      </c>
      <c r="B1761" s="2">
        <v>47417</v>
      </c>
      <c r="C1761" t="s">
        <v>198</v>
      </c>
      <c r="D1761" t="s">
        <v>199</v>
      </c>
      <c r="E1761" t="s">
        <v>26</v>
      </c>
      <c r="F1761" t="s">
        <v>128</v>
      </c>
      <c r="G1761" t="s">
        <v>28</v>
      </c>
      <c r="H1761" t="s">
        <v>29</v>
      </c>
      <c r="I1761" t="s">
        <v>35</v>
      </c>
      <c r="J1761">
        <v>5</v>
      </c>
      <c r="K1761">
        <v>4200</v>
      </c>
      <c r="L1761">
        <v>0.05</v>
      </c>
      <c r="M1761">
        <v>19950</v>
      </c>
      <c r="N1761">
        <v>14500</v>
      </c>
      <c r="O1761">
        <v>5450</v>
      </c>
    </row>
    <row r="1762" spans="1:15" x14ac:dyDescent="0.25">
      <c r="A1762" t="s">
        <v>2809</v>
      </c>
      <c r="B1762" s="2">
        <v>47418</v>
      </c>
      <c r="C1762" t="s">
        <v>408</v>
      </c>
      <c r="D1762" t="s">
        <v>409</v>
      </c>
      <c r="E1762" t="s">
        <v>96</v>
      </c>
      <c r="F1762" t="s">
        <v>200</v>
      </c>
      <c r="G1762" t="s">
        <v>51</v>
      </c>
      <c r="H1762" t="s">
        <v>21</v>
      </c>
      <c r="I1762" t="s">
        <v>80</v>
      </c>
      <c r="J1762">
        <v>2</v>
      </c>
      <c r="K1762">
        <v>850</v>
      </c>
      <c r="L1762">
        <v>0.25</v>
      </c>
      <c r="M1762">
        <v>1275</v>
      </c>
      <c r="N1762">
        <v>1120</v>
      </c>
      <c r="O1762">
        <v>155</v>
      </c>
    </row>
    <row r="1763" spans="1:15" x14ac:dyDescent="0.25">
      <c r="A1763" t="s">
        <v>2810</v>
      </c>
      <c r="B1763" s="2">
        <v>47419</v>
      </c>
      <c r="C1763" t="s">
        <v>1865</v>
      </c>
      <c r="D1763" t="s">
        <v>1866</v>
      </c>
      <c r="E1763" t="s">
        <v>96</v>
      </c>
      <c r="F1763" t="s">
        <v>200</v>
      </c>
      <c r="G1763" t="s">
        <v>20</v>
      </c>
      <c r="H1763" t="s">
        <v>41</v>
      </c>
      <c r="I1763" t="s">
        <v>42</v>
      </c>
      <c r="J1763">
        <v>3</v>
      </c>
      <c r="K1763">
        <v>520</v>
      </c>
      <c r="L1763">
        <v>0</v>
      </c>
      <c r="M1763">
        <v>1560</v>
      </c>
      <c r="N1763">
        <v>990</v>
      </c>
      <c r="O1763">
        <v>570</v>
      </c>
    </row>
    <row r="1764" spans="1:15" x14ac:dyDescent="0.25">
      <c r="A1764" t="s">
        <v>2811</v>
      </c>
      <c r="B1764" s="2">
        <v>47420</v>
      </c>
      <c r="C1764" t="s">
        <v>606</v>
      </c>
      <c r="D1764" t="s">
        <v>607</v>
      </c>
      <c r="E1764" t="s">
        <v>96</v>
      </c>
      <c r="F1764" t="s">
        <v>196</v>
      </c>
      <c r="G1764" t="s">
        <v>51</v>
      </c>
      <c r="H1764" t="s">
        <v>52</v>
      </c>
      <c r="I1764" t="s">
        <v>208</v>
      </c>
      <c r="J1764">
        <v>1</v>
      </c>
      <c r="K1764">
        <v>2800</v>
      </c>
      <c r="L1764">
        <v>0.1</v>
      </c>
      <c r="M1764">
        <v>2520</v>
      </c>
      <c r="N1764">
        <v>1800</v>
      </c>
      <c r="O1764">
        <v>720</v>
      </c>
    </row>
    <row r="1765" spans="1:15" x14ac:dyDescent="0.25">
      <c r="A1765" t="s">
        <v>2812</v>
      </c>
      <c r="B1765" s="2">
        <v>47421</v>
      </c>
      <c r="C1765" t="s">
        <v>1589</v>
      </c>
      <c r="D1765" t="s">
        <v>1590</v>
      </c>
      <c r="E1765" t="s">
        <v>26</v>
      </c>
      <c r="F1765" t="s">
        <v>46</v>
      </c>
      <c r="G1765" t="s">
        <v>28</v>
      </c>
      <c r="H1765" t="s">
        <v>63</v>
      </c>
      <c r="I1765" t="s">
        <v>64</v>
      </c>
      <c r="J1765">
        <v>5</v>
      </c>
      <c r="K1765">
        <v>2400</v>
      </c>
      <c r="L1765">
        <v>0.05</v>
      </c>
      <c r="M1765">
        <v>11400</v>
      </c>
      <c r="N1765">
        <v>8250</v>
      </c>
      <c r="O1765">
        <v>3150</v>
      </c>
    </row>
    <row r="1766" spans="1:15" x14ac:dyDescent="0.25">
      <c r="A1766" t="s">
        <v>2813</v>
      </c>
      <c r="B1766" s="2">
        <v>47422</v>
      </c>
      <c r="C1766" t="s">
        <v>252</v>
      </c>
      <c r="D1766" t="s">
        <v>253</v>
      </c>
      <c r="E1766" t="s">
        <v>96</v>
      </c>
      <c r="F1766" t="s">
        <v>120</v>
      </c>
      <c r="G1766" t="s">
        <v>28</v>
      </c>
      <c r="H1766" t="s">
        <v>63</v>
      </c>
      <c r="I1766" t="s">
        <v>64</v>
      </c>
      <c r="J1766">
        <v>2</v>
      </c>
      <c r="K1766">
        <v>2400</v>
      </c>
      <c r="L1766">
        <v>0</v>
      </c>
      <c r="M1766">
        <v>4800</v>
      </c>
      <c r="N1766">
        <v>3300</v>
      </c>
      <c r="O1766">
        <v>1500</v>
      </c>
    </row>
    <row r="1767" spans="1:15" x14ac:dyDescent="0.25">
      <c r="A1767" t="s">
        <v>2814</v>
      </c>
      <c r="B1767" s="2">
        <v>47423</v>
      </c>
      <c r="C1767" t="s">
        <v>399</v>
      </c>
      <c r="D1767" t="s">
        <v>400</v>
      </c>
      <c r="E1767" t="s">
        <v>26</v>
      </c>
      <c r="F1767" t="s">
        <v>128</v>
      </c>
      <c r="G1767" t="s">
        <v>57</v>
      </c>
      <c r="H1767" t="s">
        <v>104</v>
      </c>
      <c r="I1767" t="s">
        <v>105</v>
      </c>
      <c r="J1767">
        <v>4</v>
      </c>
      <c r="K1767">
        <v>7500</v>
      </c>
      <c r="L1767">
        <v>0</v>
      </c>
      <c r="M1767">
        <v>30000</v>
      </c>
      <c r="N1767">
        <v>20800</v>
      </c>
      <c r="O1767">
        <v>9200</v>
      </c>
    </row>
    <row r="1768" spans="1:15" x14ac:dyDescent="0.25">
      <c r="A1768" t="s">
        <v>2815</v>
      </c>
      <c r="B1768" s="2">
        <v>47424</v>
      </c>
      <c r="C1768" t="s">
        <v>556</v>
      </c>
      <c r="D1768" t="s">
        <v>557</v>
      </c>
      <c r="E1768" t="s">
        <v>18</v>
      </c>
      <c r="F1768" t="s">
        <v>227</v>
      </c>
      <c r="G1768" t="s">
        <v>20</v>
      </c>
      <c r="H1768" t="s">
        <v>84</v>
      </c>
      <c r="I1768" t="s">
        <v>85</v>
      </c>
      <c r="J1768">
        <v>5</v>
      </c>
      <c r="K1768">
        <v>280</v>
      </c>
      <c r="L1768">
        <v>0.05</v>
      </c>
      <c r="M1768">
        <v>1330</v>
      </c>
      <c r="N1768">
        <v>800</v>
      </c>
      <c r="O1768">
        <v>530</v>
      </c>
    </row>
    <row r="1769" spans="1:15" x14ac:dyDescent="0.25">
      <c r="A1769" t="s">
        <v>2816</v>
      </c>
      <c r="B1769" s="2">
        <v>47425</v>
      </c>
      <c r="C1769" t="s">
        <v>497</v>
      </c>
      <c r="D1769" t="s">
        <v>498</v>
      </c>
      <c r="E1769" t="s">
        <v>39</v>
      </c>
      <c r="F1769" t="s">
        <v>40</v>
      </c>
      <c r="G1769" t="s">
        <v>20</v>
      </c>
      <c r="H1769" t="s">
        <v>21</v>
      </c>
      <c r="I1769" t="s">
        <v>22</v>
      </c>
      <c r="J1769">
        <v>3</v>
      </c>
      <c r="K1769">
        <v>650</v>
      </c>
      <c r="L1769">
        <v>0</v>
      </c>
      <c r="M1769">
        <v>1950</v>
      </c>
      <c r="N1769">
        <v>1170</v>
      </c>
      <c r="O1769">
        <v>780</v>
      </c>
    </row>
    <row r="1770" spans="1:15" x14ac:dyDescent="0.25">
      <c r="A1770" t="s">
        <v>2817</v>
      </c>
      <c r="B1770" s="2">
        <v>47426</v>
      </c>
      <c r="C1770" t="s">
        <v>222</v>
      </c>
      <c r="D1770" t="s">
        <v>223</v>
      </c>
      <c r="E1770" t="s">
        <v>39</v>
      </c>
      <c r="F1770" t="s">
        <v>76</v>
      </c>
      <c r="G1770" t="s">
        <v>57</v>
      </c>
      <c r="H1770" t="s">
        <v>188</v>
      </c>
      <c r="I1770" t="s">
        <v>189</v>
      </c>
      <c r="J1770">
        <v>5</v>
      </c>
      <c r="K1770">
        <v>6200</v>
      </c>
      <c r="L1770">
        <v>0.1</v>
      </c>
      <c r="M1770">
        <v>27900</v>
      </c>
      <c r="N1770">
        <v>21500</v>
      </c>
      <c r="O1770">
        <v>6400</v>
      </c>
    </row>
    <row r="1771" spans="1:15" x14ac:dyDescent="0.25">
      <c r="A1771" t="s">
        <v>2818</v>
      </c>
      <c r="B1771" s="2">
        <v>47427</v>
      </c>
      <c r="C1771" t="s">
        <v>287</v>
      </c>
      <c r="D1771" t="s">
        <v>288</v>
      </c>
      <c r="E1771" t="s">
        <v>39</v>
      </c>
      <c r="F1771" t="s">
        <v>71</v>
      </c>
      <c r="G1771" t="s">
        <v>51</v>
      </c>
      <c r="H1771" t="s">
        <v>21</v>
      </c>
      <c r="I1771" t="s">
        <v>72</v>
      </c>
      <c r="J1771">
        <v>5</v>
      </c>
      <c r="K1771">
        <v>1800</v>
      </c>
      <c r="L1771">
        <v>0.05</v>
      </c>
      <c r="M1771">
        <v>8550</v>
      </c>
      <c r="N1771">
        <v>5500</v>
      </c>
      <c r="O1771">
        <v>3050</v>
      </c>
    </row>
    <row r="1772" spans="1:15" x14ac:dyDescent="0.25">
      <c r="A1772" t="s">
        <v>2819</v>
      </c>
      <c r="B1772" s="2">
        <v>47428</v>
      </c>
      <c r="C1772" t="s">
        <v>1152</v>
      </c>
      <c r="D1772" t="s">
        <v>1153</v>
      </c>
      <c r="E1772" t="s">
        <v>39</v>
      </c>
      <c r="F1772" t="s">
        <v>71</v>
      </c>
      <c r="G1772" t="s">
        <v>51</v>
      </c>
      <c r="H1772" t="s">
        <v>89</v>
      </c>
      <c r="I1772" t="s">
        <v>90</v>
      </c>
      <c r="J1772">
        <v>5</v>
      </c>
      <c r="K1772">
        <v>10500</v>
      </c>
      <c r="L1772">
        <v>0.2</v>
      </c>
      <c r="M1772">
        <v>42000</v>
      </c>
      <c r="N1772">
        <v>38000</v>
      </c>
      <c r="O1772">
        <v>4000</v>
      </c>
    </row>
    <row r="1773" spans="1:15" x14ac:dyDescent="0.25">
      <c r="A1773" t="s">
        <v>2820</v>
      </c>
      <c r="B1773" s="2">
        <v>47429</v>
      </c>
      <c r="C1773" t="s">
        <v>688</v>
      </c>
      <c r="D1773" t="s">
        <v>689</v>
      </c>
      <c r="E1773" t="s">
        <v>96</v>
      </c>
      <c r="F1773" t="s">
        <v>200</v>
      </c>
      <c r="G1773" t="s">
        <v>20</v>
      </c>
      <c r="H1773" t="s">
        <v>84</v>
      </c>
      <c r="I1773" t="s">
        <v>169</v>
      </c>
      <c r="J1773">
        <v>1</v>
      </c>
      <c r="K1773">
        <v>450</v>
      </c>
      <c r="L1773">
        <v>0.15</v>
      </c>
      <c r="M1773">
        <v>382.5</v>
      </c>
      <c r="N1773">
        <v>260</v>
      </c>
      <c r="O1773">
        <v>122.5</v>
      </c>
    </row>
    <row r="1774" spans="1:15" x14ac:dyDescent="0.25">
      <c r="A1774" t="s">
        <v>2821</v>
      </c>
      <c r="B1774" s="2">
        <v>47430</v>
      </c>
      <c r="C1774" t="s">
        <v>2084</v>
      </c>
      <c r="D1774" t="s">
        <v>2085</v>
      </c>
      <c r="E1774" t="s">
        <v>39</v>
      </c>
      <c r="F1774" t="s">
        <v>76</v>
      </c>
      <c r="G1774" t="s">
        <v>20</v>
      </c>
      <c r="H1774" t="s">
        <v>41</v>
      </c>
      <c r="I1774" t="s">
        <v>42</v>
      </c>
      <c r="J1774">
        <v>5</v>
      </c>
      <c r="K1774">
        <v>520</v>
      </c>
      <c r="L1774">
        <v>0.25</v>
      </c>
      <c r="M1774">
        <v>1950</v>
      </c>
      <c r="N1774">
        <v>1650</v>
      </c>
      <c r="O1774">
        <v>300</v>
      </c>
    </row>
    <row r="1775" spans="1:15" x14ac:dyDescent="0.25">
      <c r="A1775" t="s">
        <v>2822</v>
      </c>
      <c r="B1775" s="2">
        <v>47431</v>
      </c>
      <c r="C1775" t="s">
        <v>78</v>
      </c>
      <c r="D1775" t="s">
        <v>79</v>
      </c>
      <c r="E1775" t="s">
        <v>39</v>
      </c>
      <c r="F1775" t="s">
        <v>124</v>
      </c>
      <c r="G1775" t="s">
        <v>28</v>
      </c>
      <c r="H1775" t="s">
        <v>63</v>
      </c>
      <c r="I1775" t="s">
        <v>64</v>
      </c>
      <c r="J1775">
        <v>5</v>
      </c>
      <c r="K1775">
        <v>2400</v>
      </c>
      <c r="L1775">
        <v>0</v>
      </c>
      <c r="M1775">
        <v>12000</v>
      </c>
      <c r="N1775">
        <v>8250</v>
      </c>
      <c r="O1775">
        <v>3750</v>
      </c>
    </row>
    <row r="1776" spans="1:15" x14ac:dyDescent="0.25">
      <c r="A1776" t="s">
        <v>2823</v>
      </c>
      <c r="B1776" s="2">
        <v>47432</v>
      </c>
      <c r="C1776" t="s">
        <v>600</v>
      </c>
      <c r="D1776" t="s">
        <v>601</v>
      </c>
      <c r="E1776" t="s">
        <v>96</v>
      </c>
      <c r="F1776" t="s">
        <v>120</v>
      </c>
      <c r="G1776" t="s">
        <v>28</v>
      </c>
      <c r="H1776" t="s">
        <v>29</v>
      </c>
      <c r="I1776" t="s">
        <v>47</v>
      </c>
      <c r="J1776">
        <v>1</v>
      </c>
      <c r="K1776">
        <v>6800</v>
      </c>
      <c r="L1776">
        <v>0</v>
      </c>
      <c r="M1776">
        <v>6800</v>
      </c>
      <c r="N1776">
        <v>4700</v>
      </c>
      <c r="O1776">
        <v>2100</v>
      </c>
    </row>
    <row r="1777" spans="1:15" x14ac:dyDescent="0.25">
      <c r="A1777" t="s">
        <v>2824</v>
      </c>
      <c r="B1777" s="2">
        <v>47433</v>
      </c>
      <c r="C1777" t="s">
        <v>1417</v>
      </c>
      <c r="D1777" t="s">
        <v>1418</v>
      </c>
      <c r="E1777" t="s">
        <v>26</v>
      </c>
      <c r="F1777" t="s">
        <v>27</v>
      </c>
      <c r="G1777" t="s">
        <v>57</v>
      </c>
      <c r="H1777" t="s">
        <v>104</v>
      </c>
      <c r="I1777" t="s">
        <v>105</v>
      </c>
      <c r="J1777">
        <v>5</v>
      </c>
      <c r="K1777">
        <v>7500</v>
      </c>
      <c r="L1777">
        <v>0.1</v>
      </c>
      <c r="M1777">
        <v>33750</v>
      </c>
      <c r="N1777">
        <v>26000</v>
      </c>
      <c r="O1777">
        <v>7750</v>
      </c>
    </row>
    <row r="1778" spans="1:15" x14ac:dyDescent="0.25">
      <c r="A1778" t="s">
        <v>2825</v>
      </c>
      <c r="B1778" s="2">
        <v>47434</v>
      </c>
      <c r="C1778" t="s">
        <v>1616</v>
      </c>
      <c r="D1778" t="s">
        <v>1617</v>
      </c>
      <c r="E1778" t="s">
        <v>18</v>
      </c>
      <c r="F1778" t="s">
        <v>115</v>
      </c>
      <c r="G1778" t="s">
        <v>28</v>
      </c>
      <c r="H1778" t="s">
        <v>29</v>
      </c>
      <c r="I1778" t="s">
        <v>47</v>
      </c>
      <c r="J1778">
        <v>1</v>
      </c>
      <c r="K1778">
        <v>6800</v>
      </c>
      <c r="L1778">
        <v>0.25</v>
      </c>
      <c r="M1778">
        <v>5100</v>
      </c>
      <c r="N1778">
        <v>4700</v>
      </c>
      <c r="O1778">
        <v>400</v>
      </c>
    </row>
    <row r="1779" spans="1:15" x14ac:dyDescent="0.25">
      <c r="A1779" t="s">
        <v>2826</v>
      </c>
      <c r="B1779" s="2">
        <v>47435</v>
      </c>
      <c r="C1779" t="s">
        <v>198</v>
      </c>
      <c r="D1779" t="s">
        <v>199</v>
      </c>
      <c r="E1779" t="s">
        <v>39</v>
      </c>
      <c r="F1779" t="s">
        <v>71</v>
      </c>
      <c r="G1779" t="s">
        <v>20</v>
      </c>
      <c r="H1779" t="s">
        <v>84</v>
      </c>
      <c r="I1779" t="s">
        <v>169</v>
      </c>
      <c r="J1779">
        <v>1</v>
      </c>
      <c r="K1779">
        <v>450</v>
      </c>
      <c r="L1779">
        <v>0.15</v>
      </c>
      <c r="M1779">
        <v>382.5</v>
      </c>
      <c r="N1779">
        <v>260</v>
      </c>
      <c r="O1779">
        <v>122.5</v>
      </c>
    </row>
    <row r="1780" spans="1:15" x14ac:dyDescent="0.25">
      <c r="A1780" t="s">
        <v>2827</v>
      </c>
      <c r="B1780" s="2">
        <v>47436</v>
      </c>
      <c r="C1780" t="s">
        <v>2828</v>
      </c>
      <c r="D1780" t="s">
        <v>2829</v>
      </c>
      <c r="E1780" t="s">
        <v>18</v>
      </c>
      <c r="F1780" t="s">
        <v>115</v>
      </c>
      <c r="G1780" t="s">
        <v>20</v>
      </c>
      <c r="H1780" t="s">
        <v>84</v>
      </c>
      <c r="I1780" t="s">
        <v>85</v>
      </c>
      <c r="J1780">
        <v>4</v>
      </c>
      <c r="K1780">
        <v>280</v>
      </c>
      <c r="L1780">
        <v>0.05</v>
      </c>
      <c r="M1780">
        <v>1064</v>
      </c>
      <c r="N1780">
        <v>640</v>
      </c>
      <c r="O1780">
        <v>424</v>
      </c>
    </row>
    <row r="1781" spans="1:15" x14ac:dyDescent="0.25">
      <c r="A1781" t="s">
        <v>2830</v>
      </c>
      <c r="B1781" s="2">
        <v>47437</v>
      </c>
      <c r="C1781" t="s">
        <v>381</v>
      </c>
      <c r="D1781" t="s">
        <v>382</v>
      </c>
      <c r="E1781" t="s">
        <v>96</v>
      </c>
      <c r="F1781" t="s">
        <v>120</v>
      </c>
      <c r="G1781" t="s">
        <v>51</v>
      </c>
      <c r="H1781" t="s">
        <v>89</v>
      </c>
      <c r="I1781" t="s">
        <v>90</v>
      </c>
      <c r="J1781">
        <v>5</v>
      </c>
      <c r="K1781">
        <v>10500</v>
      </c>
      <c r="L1781">
        <v>0.1</v>
      </c>
      <c r="M1781">
        <v>47250</v>
      </c>
      <c r="N1781">
        <v>38000</v>
      </c>
      <c r="O1781">
        <v>9250</v>
      </c>
    </row>
    <row r="1782" spans="1:15" x14ac:dyDescent="0.25">
      <c r="A1782" t="s">
        <v>2831</v>
      </c>
      <c r="B1782" s="2">
        <v>47438</v>
      </c>
      <c r="C1782" t="s">
        <v>766</v>
      </c>
      <c r="D1782" t="s">
        <v>767</v>
      </c>
      <c r="E1782" t="s">
        <v>39</v>
      </c>
      <c r="F1782" t="s">
        <v>71</v>
      </c>
      <c r="G1782" t="s">
        <v>57</v>
      </c>
      <c r="H1782" t="s">
        <v>188</v>
      </c>
      <c r="I1782" t="s">
        <v>189</v>
      </c>
      <c r="J1782">
        <v>4</v>
      </c>
      <c r="K1782">
        <v>6200</v>
      </c>
      <c r="L1782">
        <v>0.05</v>
      </c>
      <c r="M1782">
        <v>23560</v>
      </c>
      <c r="N1782">
        <v>17200</v>
      </c>
      <c r="O1782">
        <v>6360</v>
      </c>
    </row>
    <row r="1783" spans="1:15" x14ac:dyDescent="0.25">
      <c r="A1783" t="s">
        <v>2832</v>
      </c>
      <c r="B1783" s="2">
        <v>47439</v>
      </c>
      <c r="C1783" t="s">
        <v>2833</v>
      </c>
      <c r="D1783" t="s">
        <v>2834</v>
      </c>
      <c r="E1783" t="s">
        <v>26</v>
      </c>
      <c r="F1783" t="s">
        <v>128</v>
      </c>
      <c r="G1783" t="s">
        <v>57</v>
      </c>
      <c r="H1783" t="s">
        <v>58</v>
      </c>
      <c r="I1783" t="s">
        <v>129</v>
      </c>
      <c r="J1783">
        <v>2</v>
      </c>
      <c r="K1783">
        <v>4800</v>
      </c>
      <c r="L1783">
        <v>0.05</v>
      </c>
      <c r="M1783">
        <v>9120</v>
      </c>
      <c r="N1783">
        <v>6600</v>
      </c>
      <c r="O1783">
        <v>2520</v>
      </c>
    </row>
    <row r="1784" spans="1:15" x14ac:dyDescent="0.25">
      <c r="A1784" t="s">
        <v>2835</v>
      </c>
      <c r="B1784" s="2">
        <v>47440</v>
      </c>
      <c r="C1784" t="s">
        <v>1268</v>
      </c>
      <c r="D1784" t="s">
        <v>1269</v>
      </c>
      <c r="E1784" t="s">
        <v>96</v>
      </c>
      <c r="F1784" t="s">
        <v>120</v>
      </c>
      <c r="G1784" t="s">
        <v>51</v>
      </c>
      <c r="H1784" t="s">
        <v>21</v>
      </c>
      <c r="I1784" t="s">
        <v>80</v>
      </c>
      <c r="J1784">
        <v>2</v>
      </c>
      <c r="K1784">
        <v>850</v>
      </c>
      <c r="L1784">
        <v>0.15</v>
      </c>
      <c r="M1784">
        <v>1445</v>
      </c>
      <c r="N1784">
        <v>1120</v>
      </c>
      <c r="O1784">
        <v>325</v>
      </c>
    </row>
    <row r="1785" spans="1:15" x14ac:dyDescent="0.25">
      <c r="A1785" t="s">
        <v>2836</v>
      </c>
      <c r="B1785" s="2">
        <v>47441</v>
      </c>
      <c r="C1785" t="s">
        <v>284</v>
      </c>
      <c r="D1785" t="s">
        <v>285</v>
      </c>
      <c r="E1785" t="s">
        <v>39</v>
      </c>
      <c r="F1785" t="s">
        <v>71</v>
      </c>
      <c r="G1785" t="s">
        <v>51</v>
      </c>
      <c r="H1785" t="s">
        <v>52</v>
      </c>
      <c r="I1785" t="s">
        <v>53</v>
      </c>
      <c r="J1785">
        <v>3</v>
      </c>
      <c r="K1785">
        <v>2200</v>
      </c>
      <c r="L1785">
        <v>0.1</v>
      </c>
      <c r="M1785">
        <v>5940</v>
      </c>
      <c r="N1785">
        <v>4350</v>
      </c>
      <c r="O1785">
        <v>1590</v>
      </c>
    </row>
    <row r="1786" spans="1:15" x14ac:dyDescent="0.25">
      <c r="A1786" t="s">
        <v>2837</v>
      </c>
      <c r="B1786" s="2">
        <v>47442</v>
      </c>
      <c r="C1786" t="s">
        <v>134</v>
      </c>
      <c r="D1786" t="s">
        <v>135</v>
      </c>
      <c r="E1786" t="s">
        <v>39</v>
      </c>
      <c r="F1786" t="s">
        <v>124</v>
      </c>
      <c r="G1786" t="s">
        <v>20</v>
      </c>
      <c r="H1786" t="s">
        <v>84</v>
      </c>
      <c r="I1786" t="s">
        <v>210</v>
      </c>
      <c r="J1786">
        <v>5</v>
      </c>
      <c r="K1786">
        <v>300</v>
      </c>
      <c r="L1786">
        <v>0.1</v>
      </c>
      <c r="M1786">
        <v>1350</v>
      </c>
      <c r="N1786">
        <v>850</v>
      </c>
      <c r="O1786">
        <v>500</v>
      </c>
    </row>
    <row r="1787" spans="1:15" x14ac:dyDescent="0.25">
      <c r="A1787" t="s">
        <v>2838</v>
      </c>
      <c r="B1787" s="2">
        <v>47443</v>
      </c>
      <c r="C1787" t="s">
        <v>1183</v>
      </c>
      <c r="D1787" t="s">
        <v>1184</v>
      </c>
      <c r="E1787" t="s">
        <v>96</v>
      </c>
      <c r="F1787" t="s">
        <v>196</v>
      </c>
      <c r="G1787" t="s">
        <v>20</v>
      </c>
      <c r="H1787" t="s">
        <v>41</v>
      </c>
      <c r="I1787" t="s">
        <v>42</v>
      </c>
      <c r="J1787">
        <v>1</v>
      </c>
      <c r="K1787">
        <v>520</v>
      </c>
      <c r="L1787">
        <v>0.05</v>
      </c>
      <c r="M1787">
        <v>494</v>
      </c>
      <c r="N1787">
        <v>330</v>
      </c>
      <c r="O1787">
        <v>164</v>
      </c>
    </row>
    <row r="1788" spans="1:15" x14ac:dyDescent="0.25">
      <c r="A1788" t="s">
        <v>2839</v>
      </c>
      <c r="B1788" s="2">
        <v>47444</v>
      </c>
      <c r="C1788" t="s">
        <v>945</v>
      </c>
      <c r="D1788" t="s">
        <v>946</v>
      </c>
      <c r="E1788" t="s">
        <v>18</v>
      </c>
      <c r="F1788" t="s">
        <v>19</v>
      </c>
      <c r="G1788" t="s">
        <v>28</v>
      </c>
      <c r="H1788" t="s">
        <v>29</v>
      </c>
      <c r="I1788" t="s">
        <v>47</v>
      </c>
      <c r="J1788">
        <v>1</v>
      </c>
      <c r="K1788">
        <v>6800</v>
      </c>
      <c r="L1788">
        <v>0</v>
      </c>
      <c r="M1788">
        <v>6800</v>
      </c>
      <c r="N1788">
        <v>4700</v>
      </c>
      <c r="O1788">
        <v>2100</v>
      </c>
    </row>
    <row r="1789" spans="1:15" x14ac:dyDescent="0.25">
      <c r="A1789" t="s">
        <v>2840</v>
      </c>
      <c r="B1789" s="2">
        <v>47445</v>
      </c>
      <c r="C1789" t="s">
        <v>600</v>
      </c>
      <c r="D1789" t="s">
        <v>601</v>
      </c>
      <c r="E1789" t="s">
        <v>39</v>
      </c>
      <c r="F1789" t="s">
        <v>40</v>
      </c>
      <c r="G1789" t="s">
        <v>28</v>
      </c>
      <c r="H1789" t="s">
        <v>29</v>
      </c>
      <c r="I1789" t="s">
        <v>30</v>
      </c>
      <c r="J1789">
        <v>5</v>
      </c>
      <c r="K1789">
        <v>1900</v>
      </c>
      <c r="L1789">
        <v>0.05</v>
      </c>
      <c r="M1789">
        <v>9025</v>
      </c>
      <c r="N1789">
        <v>6250</v>
      </c>
      <c r="O1789">
        <v>2775</v>
      </c>
    </row>
    <row r="1790" spans="1:15" x14ac:dyDescent="0.25">
      <c r="A1790" t="s">
        <v>2841</v>
      </c>
      <c r="B1790" s="2">
        <v>47446</v>
      </c>
      <c r="C1790" t="s">
        <v>1372</v>
      </c>
      <c r="D1790" t="s">
        <v>1373</v>
      </c>
      <c r="E1790" t="s">
        <v>39</v>
      </c>
      <c r="F1790" t="s">
        <v>71</v>
      </c>
      <c r="G1790" t="s">
        <v>20</v>
      </c>
      <c r="H1790" t="s">
        <v>21</v>
      </c>
      <c r="I1790" t="s">
        <v>22</v>
      </c>
      <c r="J1790">
        <v>1</v>
      </c>
      <c r="K1790">
        <v>650</v>
      </c>
      <c r="L1790">
        <v>0.1</v>
      </c>
      <c r="M1790">
        <v>585</v>
      </c>
      <c r="N1790">
        <v>390</v>
      </c>
      <c r="O1790">
        <v>195</v>
      </c>
    </row>
    <row r="1791" spans="1:15" x14ac:dyDescent="0.25">
      <c r="A1791" t="s">
        <v>2842</v>
      </c>
      <c r="B1791" s="2">
        <v>47447</v>
      </c>
      <c r="C1791" t="s">
        <v>846</v>
      </c>
      <c r="D1791" t="s">
        <v>847</v>
      </c>
      <c r="E1791" t="s">
        <v>39</v>
      </c>
      <c r="F1791" t="s">
        <v>71</v>
      </c>
      <c r="G1791" t="s">
        <v>28</v>
      </c>
      <c r="H1791" t="s">
        <v>29</v>
      </c>
      <c r="I1791" t="s">
        <v>47</v>
      </c>
      <c r="J1791">
        <v>2</v>
      </c>
      <c r="K1791">
        <v>6800</v>
      </c>
      <c r="L1791">
        <v>0</v>
      </c>
      <c r="M1791">
        <v>13600</v>
      </c>
      <c r="N1791">
        <v>9400</v>
      </c>
      <c r="O1791">
        <v>4200</v>
      </c>
    </row>
    <row r="1792" spans="1:15" x14ac:dyDescent="0.25">
      <c r="A1792" t="s">
        <v>2843</v>
      </c>
      <c r="B1792" s="2">
        <v>47448</v>
      </c>
      <c r="C1792" t="s">
        <v>1299</v>
      </c>
      <c r="D1792" t="s">
        <v>1300</v>
      </c>
      <c r="E1792" t="s">
        <v>26</v>
      </c>
      <c r="F1792" t="s">
        <v>204</v>
      </c>
      <c r="G1792" t="s">
        <v>51</v>
      </c>
      <c r="H1792" t="s">
        <v>52</v>
      </c>
      <c r="I1792" t="s">
        <v>208</v>
      </c>
      <c r="J1792">
        <v>4</v>
      </c>
      <c r="K1792">
        <v>2800</v>
      </c>
      <c r="L1792">
        <v>0.2</v>
      </c>
      <c r="M1792">
        <v>8960</v>
      </c>
      <c r="N1792">
        <v>7200</v>
      </c>
      <c r="O1792">
        <v>1760</v>
      </c>
    </row>
    <row r="1793" spans="1:15" x14ac:dyDescent="0.25">
      <c r="A1793" t="s">
        <v>2844</v>
      </c>
      <c r="B1793" s="2">
        <v>47449</v>
      </c>
      <c r="C1793" t="s">
        <v>553</v>
      </c>
      <c r="D1793" t="s">
        <v>554</v>
      </c>
      <c r="E1793" t="s">
        <v>18</v>
      </c>
      <c r="F1793" t="s">
        <v>115</v>
      </c>
      <c r="G1793" t="s">
        <v>57</v>
      </c>
      <c r="H1793" t="s">
        <v>58</v>
      </c>
      <c r="I1793" t="s">
        <v>59</v>
      </c>
      <c r="J1793">
        <v>2</v>
      </c>
      <c r="K1793">
        <v>5600</v>
      </c>
      <c r="L1793">
        <v>0.15</v>
      </c>
      <c r="M1793">
        <v>9520</v>
      </c>
      <c r="N1793">
        <v>7800</v>
      </c>
      <c r="O1793">
        <v>1720</v>
      </c>
    </row>
    <row r="1794" spans="1:15" x14ac:dyDescent="0.25">
      <c r="A1794" t="s">
        <v>2845</v>
      </c>
      <c r="B1794" s="2">
        <v>47450</v>
      </c>
      <c r="C1794" t="s">
        <v>718</v>
      </c>
      <c r="D1794" t="s">
        <v>719</v>
      </c>
      <c r="E1794" t="s">
        <v>96</v>
      </c>
      <c r="F1794" t="s">
        <v>120</v>
      </c>
      <c r="G1794" t="s">
        <v>51</v>
      </c>
      <c r="H1794" t="s">
        <v>21</v>
      </c>
      <c r="I1794" t="s">
        <v>116</v>
      </c>
      <c r="J1794">
        <v>5</v>
      </c>
      <c r="K1794">
        <v>1400</v>
      </c>
      <c r="L1794">
        <v>0.1</v>
      </c>
      <c r="M1794">
        <v>6300</v>
      </c>
      <c r="N1794">
        <v>4500</v>
      </c>
      <c r="O1794">
        <v>1800</v>
      </c>
    </row>
    <row r="1795" spans="1:15" x14ac:dyDescent="0.25">
      <c r="A1795" t="s">
        <v>2846</v>
      </c>
      <c r="B1795" s="2">
        <v>47451</v>
      </c>
      <c r="C1795" t="s">
        <v>2760</v>
      </c>
      <c r="D1795" t="s">
        <v>2761</v>
      </c>
      <c r="E1795" t="s">
        <v>26</v>
      </c>
      <c r="F1795" t="s">
        <v>46</v>
      </c>
      <c r="G1795" t="s">
        <v>51</v>
      </c>
      <c r="H1795" t="s">
        <v>21</v>
      </c>
      <c r="I1795" t="s">
        <v>116</v>
      </c>
      <c r="J1795">
        <v>3</v>
      </c>
      <c r="K1795">
        <v>1400</v>
      </c>
      <c r="L1795">
        <v>0.05</v>
      </c>
      <c r="M1795">
        <v>3990</v>
      </c>
      <c r="N1795">
        <v>2700</v>
      </c>
      <c r="O1795">
        <v>1290</v>
      </c>
    </row>
    <row r="1796" spans="1:15" x14ac:dyDescent="0.25">
      <c r="A1796" t="s">
        <v>2847</v>
      </c>
      <c r="B1796" s="2">
        <v>47452</v>
      </c>
      <c r="C1796" t="s">
        <v>2078</v>
      </c>
      <c r="D1796" t="s">
        <v>2079</v>
      </c>
      <c r="E1796" t="s">
        <v>39</v>
      </c>
      <c r="F1796" t="s">
        <v>71</v>
      </c>
      <c r="G1796" t="s">
        <v>51</v>
      </c>
      <c r="H1796" t="s">
        <v>21</v>
      </c>
      <c r="I1796" t="s">
        <v>116</v>
      </c>
      <c r="J1796">
        <v>2</v>
      </c>
      <c r="K1796">
        <v>1400</v>
      </c>
      <c r="L1796">
        <v>0.05</v>
      </c>
      <c r="M1796">
        <v>2660</v>
      </c>
      <c r="N1796">
        <v>1800</v>
      </c>
      <c r="O1796">
        <v>860</v>
      </c>
    </row>
    <row r="1797" spans="1:15" x14ac:dyDescent="0.25">
      <c r="A1797" t="s">
        <v>2848</v>
      </c>
      <c r="B1797" s="2">
        <v>47453</v>
      </c>
      <c r="C1797" t="s">
        <v>974</v>
      </c>
      <c r="D1797" t="s">
        <v>975</v>
      </c>
      <c r="E1797" t="s">
        <v>26</v>
      </c>
      <c r="F1797" t="s">
        <v>27</v>
      </c>
      <c r="G1797" t="s">
        <v>20</v>
      </c>
      <c r="H1797" t="s">
        <v>84</v>
      </c>
      <c r="I1797" t="s">
        <v>210</v>
      </c>
      <c r="J1797">
        <v>5</v>
      </c>
      <c r="K1797">
        <v>300</v>
      </c>
      <c r="L1797">
        <v>0.2</v>
      </c>
      <c r="M1797">
        <v>1200</v>
      </c>
      <c r="N1797">
        <v>850</v>
      </c>
      <c r="O1797">
        <v>350</v>
      </c>
    </row>
    <row r="1798" spans="1:15" x14ac:dyDescent="0.25">
      <c r="A1798" t="s">
        <v>2849</v>
      </c>
      <c r="B1798" s="2">
        <v>47454</v>
      </c>
      <c r="C1798" t="s">
        <v>647</v>
      </c>
      <c r="D1798" t="s">
        <v>648</v>
      </c>
      <c r="E1798" t="s">
        <v>39</v>
      </c>
      <c r="F1798" t="s">
        <v>40</v>
      </c>
      <c r="G1798" t="s">
        <v>51</v>
      </c>
      <c r="H1798" t="s">
        <v>21</v>
      </c>
      <c r="I1798" t="s">
        <v>72</v>
      </c>
      <c r="J1798">
        <v>1</v>
      </c>
      <c r="K1798">
        <v>1800</v>
      </c>
      <c r="L1798">
        <v>0</v>
      </c>
      <c r="M1798">
        <v>1800</v>
      </c>
      <c r="N1798">
        <v>1100</v>
      </c>
      <c r="O1798">
        <v>700</v>
      </c>
    </row>
    <row r="1799" spans="1:15" x14ac:dyDescent="0.25">
      <c r="A1799" t="s">
        <v>2850</v>
      </c>
      <c r="B1799" s="2">
        <v>47455</v>
      </c>
      <c r="C1799" t="s">
        <v>259</v>
      </c>
      <c r="D1799" t="s">
        <v>260</v>
      </c>
      <c r="E1799" t="s">
        <v>39</v>
      </c>
      <c r="F1799" t="s">
        <v>40</v>
      </c>
      <c r="G1799" t="s">
        <v>51</v>
      </c>
      <c r="H1799" t="s">
        <v>89</v>
      </c>
      <c r="I1799" t="s">
        <v>90</v>
      </c>
      <c r="J1799">
        <v>2</v>
      </c>
      <c r="K1799">
        <v>10500</v>
      </c>
      <c r="L1799">
        <v>0.25</v>
      </c>
      <c r="M1799">
        <v>15750</v>
      </c>
      <c r="N1799">
        <v>15200</v>
      </c>
      <c r="O1799">
        <v>550</v>
      </c>
    </row>
    <row r="1800" spans="1:15" x14ac:dyDescent="0.25">
      <c r="A1800" t="s">
        <v>2851</v>
      </c>
      <c r="B1800" s="2">
        <v>47456</v>
      </c>
      <c r="C1800" t="s">
        <v>384</v>
      </c>
      <c r="D1800" t="s">
        <v>385</v>
      </c>
      <c r="E1800" t="s">
        <v>26</v>
      </c>
      <c r="F1800" t="s">
        <v>27</v>
      </c>
      <c r="G1800" t="s">
        <v>28</v>
      </c>
      <c r="H1800" t="s">
        <v>63</v>
      </c>
      <c r="I1800" t="s">
        <v>64</v>
      </c>
      <c r="J1800">
        <v>4</v>
      </c>
      <c r="K1800">
        <v>2400</v>
      </c>
      <c r="L1800">
        <v>0</v>
      </c>
      <c r="M1800">
        <v>9600</v>
      </c>
      <c r="N1800">
        <v>6600</v>
      </c>
      <c r="O1800">
        <v>3000</v>
      </c>
    </row>
    <row r="1801" spans="1:15" x14ac:dyDescent="0.25">
      <c r="A1801" t="s">
        <v>2852</v>
      </c>
      <c r="B1801" s="2">
        <v>47457</v>
      </c>
      <c r="C1801" t="s">
        <v>1584</v>
      </c>
      <c r="D1801" t="s">
        <v>1585</v>
      </c>
      <c r="E1801" t="s">
        <v>26</v>
      </c>
      <c r="F1801" t="s">
        <v>204</v>
      </c>
      <c r="G1801" t="s">
        <v>57</v>
      </c>
      <c r="H1801" t="s">
        <v>104</v>
      </c>
      <c r="I1801" t="s">
        <v>105</v>
      </c>
      <c r="J1801">
        <v>2</v>
      </c>
      <c r="K1801">
        <v>7500</v>
      </c>
      <c r="L1801">
        <v>0.1</v>
      </c>
      <c r="M1801">
        <v>13500</v>
      </c>
      <c r="N1801">
        <v>10400</v>
      </c>
      <c r="O1801">
        <v>3100</v>
      </c>
    </row>
    <row r="1802" spans="1:15" x14ac:dyDescent="0.25">
      <c r="A1802" t="s">
        <v>2853</v>
      </c>
      <c r="B1802" s="2">
        <v>47458</v>
      </c>
      <c r="C1802" t="s">
        <v>711</v>
      </c>
      <c r="D1802" t="s">
        <v>712</v>
      </c>
      <c r="E1802" t="s">
        <v>26</v>
      </c>
      <c r="F1802" t="s">
        <v>27</v>
      </c>
      <c r="G1802" t="s">
        <v>51</v>
      </c>
      <c r="H1802" t="s">
        <v>52</v>
      </c>
      <c r="I1802" t="s">
        <v>53</v>
      </c>
      <c r="J1802">
        <v>4</v>
      </c>
      <c r="K1802">
        <v>2200</v>
      </c>
      <c r="L1802">
        <v>0.1</v>
      </c>
      <c r="M1802">
        <v>7920</v>
      </c>
      <c r="N1802">
        <v>5800</v>
      </c>
      <c r="O1802">
        <v>2120</v>
      </c>
    </row>
    <row r="1803" spans="1:15" x14ac:dyDescent="0.25">
      <c r="A1803" t="s">
        <v>2854</v>
      </c>
      <c r="B1803" s="2">
        <v>47459</v>
      </c>
      <c r="C1803" t="s">
        <v>350</v>
      </c>
      <c r="D1803" t="s">
        <v>351</v>
      </c>
      <c r="E1803" t="s">
        <v>18</v>
      </c>
      <c r="F1803" t="s">
        <v>227</v>
      </c>
      <c r="G1803" t="s">
        <v>51</v>
      </c>
      <c r="H1803" t="s">
        <v>21</v>
      </c>
      <c r="I1803" t="s">
        <v>72</v>
      </c>
      <c r="J1803">
        <v>3</v>
      </c>
      <c r="K1803">
        <v>1800</v>
      </c>
      <c r="L1803">
        <v>0.15</v>
      </c>
      <c r="M1803">
        <v>4590</v>
      </c>
      <c r="N1803">
        <v>3300</v>
      </c>
      <c r="O1803">
        <v>1290</v>
      </c>
    </row>
    <row r="1804" spans="1:15" x14ac:dyDescent="0.25">
      <c r="A1804" t="s">
        <v>2855</v>
      </c>
      <c r="B1804" s="2">
        <v>47460</v>
      </c>
      <c r="C1804" t="s">
        <v>1067</v>
      </c>
      <c r="D1804" t="s">
        <v>1068</v>
      </c>
      <c r="E1804" t="s">
        <v>39</v>
      </c>
      <c r="F1804" t="s">
        <v>40</v>
      </c>
      <c r="G1804" t="s">
        <v>28</v>
      </c>
      <c r="H1804" t="s">
        <v>29</v>
      </c>
      <c r="I1804" t="s">
        <v>30</v>
      </c>
      <c r="J1804">
        <v>2</v>
      </c>
      <c r="K1804">
        <v>1900</v>
      </c>
      <c r="L1804">
        <v>0</v>
      </c>
      <c r="M1804">
        <v>3800</v>
      </c>
      <c r="N1804">
        <v>2500</v>
      </c>
      <c r="O1804">
        <v>1300</v>
      </c>
    </row>
    <row r="1805" spans="1:15" x14ac:dyDescent="0.25">
      <c r="A1805" t="s">
        <v>2856</v>
      </c>
      <c r="B1805" s="2">
        <v>47461</v>
      </c>
      <c r="C1805" t="s">
        <v>1220</v>
      </c>
      <c r="D1805" t="s">
        <v>1221</v>
      </c>
      <c r="E1805" t="s">
        <v>26</v>
      </c>
      <c r="F1805" t="s">
        <v>128</v>
      </c>
      <c r="G1805" t="s">
        <v>20</v>
      </c>
      <c r="H1805" t="s">
        <v>84</v>
      </c>
      <c r="I1805" t="s">
        <v>169</v>
      </c>
      <c r="J1805">
        <v>5</v>
      </c>
      <c r="K1805">
        <v>450</v>
      </c>
      <c r="L1805">
        <v>0.15</v>
      </c>
      <c r="M1805">
        <v>1912.5</v>
      </c>
      <c r="N1805">
        <v>1300</v>
      </c>
      <c r="O1805">
        <v>612.5</v>
      </c>
    </row>
    <row r="1806" spans="1:15" x14ac:dyDescent="0.25">
      <c r="A1806" t="s">
        <v>2857</v>
      </c>
      <c r="B1806" s="2">
        <v>47462</v>
      </c>
      <c r="C1806" t="s">
        <v>524</v>
      </c>
      <c r="D1806" t="s">
        <v>525</v>
      </c>
      <c r="E1806" t="s">
        <v>26</v>
      </c>
      <c r="F1806" t="s">
        <v>128</v>
      </c>
      <c r="G1806" t="s">
        <v>51</v>
      </c>
      <c r="H1806" t="s">
        <v>21</v>
      </c>
      <c r="I1806" t="s">
        <v>116</v>
      </c>
      <c r="J1806">
        <v>3</v>
      </c>
      <c r="K1806">
        <v>1400</v>
      </c>
      <c r="L1806">
        <v>0</v>
      </c>
      <c r="M1806">
        <v>4200</v>
      </c>
      <c r="N1806">
        <v>2700</v>
      </c>
      <c r="O1806">
        <v>1500</v>
      </c>
    </row>
    <row r="1807" spans="1:15" x14ac:dyDescent="0.25">
      <c r="A1807" t="s">
        <v>2858</v>
      </c>
      <c r="B1807" s="2">
        <v>47463</v>
      </c>
      <c r="C1807" t="s">
        <v>678</v>
      </c>
      <c r="D1807" t="s">
        <v>679</v>
      </c>
      <c r="E1807" t="s">
        <v>26</v>
      </c>
      <c r="F1807" t="s">
        <v>46</v>
      </c>
      <c r="G1807" t="s">
        <v>51</v>
      </c>
      <c r="H1807" t="s">
        <v>52</v>
      </c>
      <c r="I1807" t="s">
        <v>53</v>
      </c>
      <c r="J1807">
        <v>3</v>
      </c>
      <c r="K1807">
        <v>2200</v>
      </c>
      <c r="L1807">
        <v>0.2</v>
      </c>
      <c r="M1807">
        <v>5280</v>
      </c>
      <c r="N1807">
        <v>4350</v>
      </c>
      <c r="O1807">
        <v>930</v>
      </c>
    </row>
    <row r="1808" spans="1:15" x14ac:dyDescent="0.25">
      <c r="A1808" t="s">
        <v>2859</v>
      </c>
      <c r="B1808" s="2">
        <v>47464</v>
      </c>
      <c r="C1808" t="s">
        <v>678</v>
      </c>
      <c r="D1808" t="s">
        <v>679</v>
      </c>
      <c r="E1808" t="s">
        <v>26</v>
      </c>
      <c r="F1808" t="s">
        <v>46</v>
      </c>
      <c r="G1808" t="s">
        <v>51</v>
      </c>
      <c r="H1808" t="s">
        <v>89</v>
      </c>
      <c r="I1808" t="s">
        <v>90</v>
      </c>
      <c r="J1808">
        <v>3</v>
      </c>
      <c r="K1808">
        <v>10500</v>
      </c>
      <c r="L1808">
        <v>0.15</v>
      </c>
      <c r="M1808">
        <v>26775</v>
      </c>
      <c r="N1808">
        <v>22800</v>
      </c>
      <c r="O1808">
        <v>3975</v>
      </c>
    </row>
    <row r="1809" spans="1:15" x14ac:dyDescent="0.25">
      <c r="A1809" t="s">
        <v>2860</v>
      </c>
      <c r="B1809" s="2">
        <v>47465</v>
      </c>
      <c r="C1809" t="s">
        <v>2019</v>
      </c>
      <c r="D1809" t="s">
        <v>2020</v>
      </c>
      <c r="E1809" t="s">
        <v>96</v>
      </c>
      <c r="F1809" t="s">
        <v>196</v>
      </c>
      <c r="G1809" t="s">
        <v>51</v>
      </c>
      <c r="H1809" t="s">
        <v>52</v>
      </c>
      <c r="I1809" t="s">
        <v>53</v>
      </c>
      <c r="J1809">
        <v>5</v>
      </c>
      <c r="K1809">
        <v>2200</v>
      </c>
      <c r="L1809">
        <v>0.1</v>
      </c>
      <c r="M1809">
        <v>9900</v>
      </c>
      <c r="N1809">
        <v>7250</v>
      </c>
      <c r="O1809">
        <v>2650</v>
      </c>
    </row>
    <row r="1810" spans="1:15" x14ac:dyDescent="0.25">
      <c r="A1810" t="s">
        <v>2861</v>
      </c>
      <c r="B1810" s="2">
        <v>47466</v>
      </c>
      <c r="C1810" t="s">
        <v>507</v>
      </c>
      <c r="D1810" t="s">
        <v>508</v>
      </c>
      <c r="E1810" t="s">
        <v>96</v>
      </c>
      <c r="F1810" t="s">
        <v>120</v>
      </c>
      <c r="G1810" t="s">
        <v>51</v>
      </c>
      <c r="H1810" t="s">
        <v>52</v>
      </c>
      <c r="I1810" t="s">
        <v>53</v>
      </c>
      <c r="J1810">
        <v>2</v>
      </c>
      <c r="K1810">
        <v>2200</v>
      </c>
      <c r="L1810">
        <v>0</v>
      </c>
      <c r="M1810">
        <v>4400</v>
      </c>
      <c r="N1810">
        <v>2900</v>
      </c>
      <c r="O1810">
        <v>1500</v>
      </c>
    </row>
    <row r="1811" spans="1:15" x14ac:dyDescent="0.25">
      <c r="A1811" t="s">
        <v>2862</v>
      </c>
      <c r="B1811" s="2">
        <v>47467</v>
      </c>
      <c r="C1811" t="s">
        <v>343</v>
      </c>
      <c r="D1811" t="s">
        <v>344</v>
      </c>
      <c r="E1811" t="s">
        <v>18</v>
      </c>
      <c r="F1811" t="s">
        <v>115</v>
      </c>
      <c r="G1811" t="s">
        <v>51</v>
      </c>
      <c r="H1811" t="s">
        <v>21</v>
      </c>
      <c r="I1811" t="s">
        <v>80</v>
      </c>
      <c r="J1811">
        <v>4</v>
      </c>
      <c r="K1811">
        <v>850</v>
      </c>
      <c r="L1811">
        <v>0.15</v>
      </c>
      <c r="M1811">
        <v>2890</v>
      </c>
      <c r="N1811">
        <v>2240</v>
      </c>
      <c r="O1811">
        <v>650</v>
      </c>
    </row>
    <row r="1812" spans="1:15" x14ac:dyDescent="0.25">
      <c r="A1812" t="s">
        <v>2863</v>
      </c>
      <c r="B1812" s="2">
        <v>47468</v>
      </c>
      <c r="C1812" t="s">
        <v>194</v>
      </c>
      <c r="D1812" t="s">
        <v>195</v>
      </c>
      <c r="E1812" t="s">
        <v>26</v>
      </c>
      <c r="F1812" t="s">
        <v>128</v>
      </c>
      <c r="G1812" t="s">
        <v>28</v>
      </c>
      <c r="H1812" t="s">
        <v>29</v>
      </c>
      <c r="I1812" t="s">
        <v>47</v>
      </c>
      <c r="J1812">
        <v>1</v>
      </c>
      <c r="K1812">
        <v>6800</v>
      </c>
      <c r="L1812">
        <v>0.05</v>
      </c>
      <c r="M1812">
        <v>6460</v>
      </c>
      <c r="N1812">
        <v>4700</v>
      </c>
      <c r="O1812">
        <v>1760</v>
      </c>
    </row>
    <row r="1813" spans="1:15" x14ac:dyDescent="0.25">
      <c r="A1813" t="s">
        <v>2864</v>
      </c>
      <c r="B1813" s="2">
        <v>47469</v>
      </c>
      <c r="C1813" t="s">
        <v>1445</v>
      </c>
      <c r="D1813" t="s">
        <v>1446</v>
      </c>
      <c r="E1813" t="s">
        <v>26</v>
      </c>
      <c r="F1813" t="s">
        <v>27</v>
      </c>
      <c r="G1813" t="s">
        <v>57</v>
      </c>
      <c r="H1813" t="s">
        <v>58</v>
      </c>
      <c r="I1813" t="s">
        <v>129</v>
      </c>
      <c r="J1813">
        <v>1</v>
      </c>
      <c r="K1813">
        <v>4800</v>
      </c>
      <c r="L1813">
        <v>0.05</v>
      </c>
      <c r="M1813">
        <v>4560</v>
      </c>
      <c r="N1813">
        <v>3300</v>
      </c>
      <c r="O1813">
        <v>1260</v>
      </c>
    </row>
    <row r="1814" spans="1:15" x14ac:dyDescent="0.25">
      <c r="A1814" t="s">
        <v>2865</v>
      </c>
      <c r="B1814" s="2">
        <v>47470</v>
      </c>
      <c r="C1814" t="s">
        <v>1393</v>
      </c>
      <c r="D1814" t="s">
        <v>1394</v>
      </c>
      <c r="E1814" t="s">
        <v>26</v>
      </c>
      <c r="F1814" t="s">
        <v>204</v>
      </c>
      <c r="G1814" t="s">
        <v>28</v>
      </c>
      <c r="H1814" t="s">
        <v>63</v>
      </c>
      <c r="I1814" t="s">
        <v>64</v>
      </c>
      <c r="J1814">
        <v>2</v>
      </c>
      <c r="K1814">
        <v>2400</v>
      </c>
      <c r="L1814">
        <v>0.05</v>
      </c>
      <c r="M1814">
        <v>4560</v>
      </c>
      <c r="N1814">
        <v>3300</v>
      </c>
      <c r="O1814">
        <v>1260</v>
      </c>
    </row>
    <row r="1815" spans="1:15" x14ac:dyDescent="0.25">
      <c r="A1815" t="s">
        <v>2866</v>
      </c>
      <c r="B1815" s="2">
        <v>47471</v>
      </c>
      <c r="C1815" t="s">
        <v>340</v>
      </c>
      <c r="D1815" t="s">
        <v>341</v>
      </c>
      <c r="E1815" t="s">
        <v>96</v>
      </c>
      <c r="F1815" t="s">
        <v>200</v>
      </c>
      <c r="G1815" t="s">
        <v>20</v>
      </c>
      <c r="H1815" t="s">
        <v>84</v>
      </c>
      <c r="I1815" t="s">
        <v>210</v>
      </c>
      <c r="J1815">
        <v>4</v>
      </c>
      <c r="K1815">
        <v>300</v>
      </c>
      <c r="L1815">
        <v>0.05</v>
      </c>
      <c r="M1815">
        <v>1140</v>
      </c>
      <c r="N1815">
        <v>680</v>
      </c>
      <c r="O1815">
        <v>460</v>
      </c>
    </row>
    <row r="1816" spans="1:15" x14ac:dyDescent="0.25">
      <c r="A1816" t="s">
        <v>2867</v>
      </c>
      <c r="B1816" s="2">
        <v>47472</v>
      </c>
      <c r="C1816" t="s">
        <v>929</v>
      </c>
      <c r="D1816" t="s">
        <v>930</v>
      </c>
      <c r="E1816" t="s">
        <v>26</v>
      </c>
      <c r="F1816" t="s">
        <v>204</v>
      </c>
      <c r="G1816" t="s">
        <v>28</v>
      </c>
      <c r="H1816" t="s">
        <v>29</v>
      </c>
      <c r="I1816" t="s">
        <v>35</v>
      </c>
      <c r="J1816">
        <v>4</v>
      </c>
      <c r="K1816">
        <v>4200</v>
      </c>
      <c r="L1816">
        <v>0.05</v>
      </c>
      <c r="M1816">
        <v>15960</v>
      </c>
      <c r="N1816">
        <v>11600</v>
      </c>
      <c r="O1816">
        <v>4360</v>
      </c>
    </row>
    <row r="1817" spans="1:15" x14ac:dyDescent="0.25">
      <c r="A1817" t="s">
        <v>2868</v>
      </c>
      <c r="B1817" s="2">
        <v>47473</v>
      </c>
      <c r="C1817" t="s">
        <v>1071</v>
      </c>
      <c r="D1817" t="s">
        <v>1072</v>
      </c>
      <c r="E1817" t="s">
        <v>18</v>
      </c>
      <c r="F1817" t="s">
        <v>227</v>
      </c>
      <c r="G1817" t="s">
        <v>20</v>
      </c>
      <c r="H1817" t="s">
        <v>84</v>
      </c>
      <c r="I1817" t="s">
        <v>85</v>
      </c>
      <c r="J1817">
        <v>2</v>
      </c>
      <c r="K1817">
        <v>280</v>
      </c>
      <c r="L1817">
        <v>0.05</v>
      </c>
      <c r="M1817">
        <v>532</v>
      </c>
      <c r="N1817">
        <v>320</v>
      </c>
      <c r="O1817">
        <v>212</v>
      </c>
    </row>
    <row r="1818" spans="1:15" x14ac:dyDescent="0.25">
      <c r="A1818" t="s">
        <v>2869</v>
      </c>
      <c r="B1818" s="2">
        <v>47474</v>
      </c>
      <c r="C1818" t="s">
        <v>871</v>
      </c>
      <c r="D1818" t="s">
        <v>872</v>
      </c>
      <c r="E1818" t="s">
        <v>18</v>
      </c>
      <c r="F1818" t="s">
        <v>227</v>
      </c>
      <c r="G1818" t="s">
        <v>20</v>
      </c>
      <c r="H1818" t="s">
        <v>21</v>
      </c>
      <c r="I1818" t="s">
        <v>22</v>
      </c>
      <c r="J1818">
        <v>3</v>
      </c>
      <c r="K1818">
        <v>650</v>
      </c>
      <c r="L1818">
        <v>0.1</v>
      </c>
      <c r="M1818">
        <v>1755</v>
      </c>
      <c r="N1818">
        <v>1170</v>
      </c>
      <c r="O1818">
        <v>585</v>
      </c>
    </row>
    <row r="1819" spans="1:15" x14ac:dyDescent="0.25">
      <c r="A1819" t="s">
        <v>2870</v>
      </c>
      <c r="B1819" s="2">
        <v>47475</v>
      </c>
      <c r="C1819" t="s">
        <v>447</v>
      </c>
      <c r="D1819" t="s">
        <v>448</v>
      </c>
      <c r="E1819" t="s">
        <v>26</v>
      </c>
      <c r="F1819" t="s">
        <v>46</v>
      </c>
      <c r="G1819" t="s">
        <v>51</v>
      </c>
      <c r="H1819" t="s">
        <v>52</v>
      </c>
      <c r="I1819" t="s">
        <v>208</v>
      </c>
      <c r="J1819">
        <v>5</v>
      </c>
      <c r="K1819">
        <v>2800</v>
      </c>
      <c r="L1819">
        <v>0.2</v>
      </c>
      <c r="M1819">
        <v>11200</v>
      </c>
      <c r="N1819">
        <v>9000</v>
      </c>
      <c r="O1819">
        <v>2200</v>
      </c>
    </row>
    <row r="1820" spans="1:15" x14ac:dyDescent="0.25">
      <c r="A1820" t="s">
        <v>2871</v>
      </c>
      <c r="B1820" s="2">
        <v>47476</v>
      </c>
      <c r="C1820" t="s">
        <v>603</v>
      </c>
      <c r="D1820" t="s">
        <v>604</v>
      </c>
      <c r="E1820" t="s">
        <v>39</v>
      </c>
      <c r="F1820" t="s">
        <v>76</v>
      </c>
      <c r="G1820" t="s">
        <v>57</v>
      </c>
      <c r="H1820" t="s">
        <v>58</v>
      </c>
      <c r="I1820" t="s">
        <v>59</v>
      </c>
      <c r="J1820">
        <v>4</v>
      </c>
      <c r="K1820">
        <v>5600</v>
      </c>
      <c r="L1820">
        <v>0.1</v>
      </c>
      <c r="M1820">
        <v>20160</v>
      </c>
      <c r="N1820">
        <v>15600</v>
      </c>
      <c r="O1820">
        <v>4560</v>
      </c>
    </row>
    <row r="1821" spans="1:15" x14ac:dyDescent="0.25">
      <c r="A1821" t="s">
        <v>2872</v>
      </c>
      <c r="B1821" s="2">
        <v>47477</v>
      </c>
      <c r="C1821" t="s">
        <v>1095</v>
      </c>
      <c r="D1821" t="s">
        <v>1096</v>
      </c>
      <c r="E1821" t="s">
        <v>39</v>
      </c>
      <c r="F1821" t="s">
        <v>71</v>
      </c>
      <c r="G1821" t="s">
        <v>51</v>
      </c>
      <c r="H1821" t="s">
        <v>21</v>
      </c>
      <c r="I1821" t="s">
        <v>116</v>
      </c>
      <c r="J1821">
        <v>3</v>
      </c>
      <c r="K1821">
        <v>1400</v>
      </c>
      <c r="L1821">
        <v>0.2</v>
      </c>
      <c r="M1821">
        <v>3360</v>
      </c>
      <c r="N1821">
        <v>2700</v>
      </c>
      <c r="O1821">
        <v>660</v>
      </c>
    </row>
    <row r="1822" spans="1:15" x14ac:dyDescent="0.25">
      <c r="A1822" t="s">
        <v>2873</v>
      </c>
      <c r="B1822" s="2">
        <v>47478</v>
      </c>
      <c r="C1822" t="s">
        <v>2008</v>
      </c>
      <c r="D1822" t="s">
        <v>2009</v>
      </c>
      <c r="E1822" t="s">
        <v>39</v>
      </c>
      <c r="F1822" t="s">
        <v>71</v>
      </c>
      <c r="G1822" t="s">
        <v>20</v>
      </c>
      <c r="H1822" t="s">
        <v>84</v>
      </c>
      <c r="I1822" t="s">
        <v>169</v>
      </c>
      <c r="J1822">
        <v>4</v>
      </c>
      <c r="K1822">
        <v>450</v>
      </c>
      <c r="L1822">
        <v>0</v>
      </c>
      <c r="M1822">
        <v>1800</v>
      </c>
      <c r="N1822">
        <v>1040</v>
      </c>
      <c r="O1822">
        <v>760</v>
      </c>
    </row>
    <row r="1823" spans="1:15" x14ac:dyDescent="0.25">
      <c r="A1823" t="s">
        <v>2874</v>
      </c>
      <c r="B1823" s="2">
        <v>47479</v>
      </c>
      <c r="C1823" t="s">
        <v>372</v>
      </c>
      <c r="D1823" t="s">
        <v>373</v>
      </c>
      <c r="E1823" t="s">
        <v>26</v>
      </c>
      <c r="F1823" t="s">
        <v>27</v>
      </c>
      <c r="G1823" t="s">
        <v>51</v>
      </c>
      <c r="H1823" t="s">
        <v>52</v>
      </c>
      <c r="I1823" t="s">
        <v>53</v>
      </c>
      <c r="J1823">
        <v>1</v>
      </c>
      <c r="K1823">
        <v>2200</v>
      </c>
      <c r="L1823">
        <v>0.1</v>
      </c>
      <c r="M1823">
        <v>1980</v>
      </c>
      <c r="N1823">
        <v>1450</v>
      </c>
      <c r="O1823">
        <v>530</v>
      </c>
    </row>
    <row r="1824" spans="1:15" x14ac:dyDescent="0.25">
      <c r="A1824" t="s">
        <v>2875</v>
      </c>
      <c r="B1824" s="2">
        <v>47480</v>
      </c>
      <c r="C1824" t="s">
        <v>691</v>
      </c>
      <c r="D1824" t="s">
        <v>692</v>
      </c>
      <c r="E1824" t="s">
        <v>26</v>
      </c>
      <c r="F1824" t="s">
        <v>34</v>
      </c>
      <c r="G1824" t="s">
        <v>20</v>
      </c>
      <c r="H1824" t="s">
        <v>84</v>
      </c>
      <c r="I1824" t="s">
        <v>85</v>
      </c>
      <c r="J1824">
        <v>3</v>
      </c>
      <c r="K1824">
        <v>280</v>
      </c>
      <c r="L1824">
        <v>0.05</v>
      </c>
      <c r="M1824">
        <v>798</v>
      </c>
      <c r="N1824">
        <v>480</v>
      </c>
      <c r="O1824">
        <v>318</v>
      </c>
    </row>
    <row r="1825" spans="1:15" x14ac:dyDescent="0.25">
      <c r="A1825" t="s">
        <v>2876</v>
      </c>
      <c r="B1825" s="2">
        <v>47481</v>
      </c>
      <c r="C1825" t="s">
        <v>688</v>
      </c>
      <c r="D1825" t="s">
        <v>689</v>
      </c>
      <c r="E1825" t="s">
        <v>96</v>
      </c>
      <c r="F1825" t="s">
        <v>196</v>
      </c>
      <c r="G1825" t="s">
        <v>57</v>
      </c>
      <c r="H1825" t="s">
        <v>58</v>
      </c>
      <c r="I1825" t="s">
        <v>129</v>
      </c>
      <c r="J1825">
        <v>1</v>
      </c>
      <c r="K1825">
        <v>4800</v>
      </c>
      <c r="L1825">
        <v>0.1</v>
      </c>
      <c r="M1825">
        <v>4320</v>
      </c>
      <c r="N1825">
        <v>3300</v>
      </c>
      <c r="O1825">
        <v>1020</v>
      </c>
    </row>
    <row r="1826" spans="1:15" x14ac:dyDescent="0.25">
      <c r="A1826" t="s">
        <v>2877</v>
      </c>
      <c r="B1826" s="2">
        <v>47482</v>
      </c>
      <c r="C1826" t="s">
        <v>929</v>
      </c>
      <c r="D1826" t="s">
        <v>930</v>
      </c>
      <c r="E1826" t="s">
        <v>96</v>
      </c>
      <c r="F1826" t="s">
        <v>200</v>
      </c>
      <c r="G1826" t="s">
        <v>20</v>
      </c>
      <c r="H1826" t="s">
        <v>41</v>
      </c>
      <c r="I1826" t="s">
        <v>42</v>
      </c>
      <c r="J1826">
        <v>4</v>
      </c>
      <c r="K1826">
        <v>520</v>
      </c>
      <c r="L1826">
        <v>0.15</v>
      </c>
      <c r="M1826">
        <v>1768</v>
      </c>
      <c r="N1826">
        <v>1320</v>
      </c>
      <c r="O1826">
        <v>448</v>
      </c>
    </row>
    <row r="1827" spans="1:15" x14ac:dyDescent="0.25">
      <c r="A1827" t="s">
        <v>2878</v>
      </c>
      <c r="B1827" s="2">
        <v>47483</v>
      </c>
      <c r="C1827" t="s">
        <v>1720</v>
      </c>
      <c r="D1827" t="s">
        <v>1721</v>
      </c>
      <c r="E1827" t="s">
        <v>26</v>
      </c>
      <c r="F1827" t="s">
        <v>128</v>
      </c>
      <c r="G1827" t="s">
        <v>20</v>
      </c>
      <c r="H1827" t="s">
        <v>84</v>
      </c>
      <c r="I1827" t="s">
        <v>169</v>
      </c>
      <c r="J1827">
        <v>1</v>
      </c>
      <c r="K1827">
        <v>450</v>
      </c>
      <c r="L1827">
        <v>0.1</v>
      </c>
      <c r="M1827">
        <v>405</v>
      </c>
      <c r="N1827">
        <v>260</v>
      </c>
      <c r="O1827">
        <v>145</v>
      </c>
    </row>
    <row r="1828" spans="1:15" x14ac:dyDescent="0.25">
      <c r="A1828" t="s">
        <v>2879</v>
      </c>
      <c r="B1828" s="2">
        <v>47484</v>
      </c>
      <c r="C1828" t="s">
        <v>396</v>
      </c>
      <c r="D1828" t="s">
        <v>397</v>
      </c>
      <c r="E1828" t="s">
        <v>39</v>
      </c>
      <c r="F1828" t="s">
        <v>76</v>
      </c>
      <c r="G1828" t="s">
        <v>28</v>
      </c>
      <c r="H1828" t="s">
        <v>63</v>
      </c>
      <c r="I1828" t="s">
        <v>64</v>
      </c>
      <c r="J1828">
        <v>3</v>
      </c>
      <c r="K1828">
        <v>2400</v>
      </c>
      <c r="L1828">
        <v>0.1</v>
      </c>
      <c r="M1828">
        <v>6480</v>
      </c>
      <c r="N1828">
        <v>4950</v>
      </c>
      <c r="O1828">
        <v>1530</v>
      </c>
    </row>
    <row r="1829" spans="1:15" x14ac:dyDescent="0.25">
      <c r="A1829" t="s">
        <v>2880</v>
      </c>
      <c r="B1829" s="2">
        <v>47485</v>
      </c>
      <c r="C1829" t="s">
        <v>1246</v>
      </c>
      <c r="D1829" t="s">
        <v>1247</v>
      </c>
      <c r="E1829" t="s">
        <v>26</v>
      </c>
      <c r="F1829" t="s">
        <v>27</v>
      </c>
      <c r="G1829" t="s">
        <v>51</v>
      </c>
      <c r="H1829" t="s">
        <v>89</v>
      </c>
      <c r="I1829" t="s">
        <v>90</v>
      </c>
      <c r="J1829">
        <v>3</v>
      </c>
      <c r="K1829">
        <v>10500</v>
      </c>
      <c r="L1829">
        <v>0.1</v>
      </c>
      <c r="M1829">
        <v>28350</v>
      </c>
      <c r="N1829">
        <v>22800</v>
      </c>
      <c r="O1829">
        <v>5550</v>
      </c>
    </row>
    <row r="1830" spans="1:15" x14ac:dyDescent="0.25">
      <c r="A1830" t="s">
        <v>2881</v>
      </c>
      <c r="B1830" s="2">
        <v>47486</v>
      </c>
      <c r="C1830" t="s">
        <v>346</v>
      </c>
      <c r="D1830" t="s">
        <v>347</v>
      </c>
      <c r="E1830" t="s">
        <v>39</v>
      </c>
      <c r="F1830" t="s">
        <v>40</v>
      </c>
      <c r="G1830" t="s">
        <v>20</v>
      </c>
      <c r="H1830" t="s">
        <v>84</v>
      </c>
      <c r="I1830" t="s">
        <v>169</v>
      </c>
      <c r="J1830">
        <v>5</v>
      </c>
      <c r="K1830">
        <v>450</v>
      </c>
      <c r="L1830">
        <v>0.25</v>
      </c>
      <c r="M1830">
        <v>1687.5</v>
      </c>
      <c r="N1830">
        <v>1300</v>
      </c>
      <c r="O1830">
        <v>387.5</v>
      </c>
    </row>
    <row r="1831" spans="1:15" x14ac:dyDescent="0.25">
      <c r="A1831" t="s">
        <v>2882</v>
      </c>
      <c r="B1831" s="2">
        <v>47487</v>
      </c>
      <c r="C1831" t="s">
        <v>535</v>
      </c>
      <c r="D1831" t="s">
        <v>536</v>
      </c>
      <c r="E1831" t="s">
        <v>96</v>
      </c>
      <c r="F1831" t="s">
        <v>196</v>
      </c>
      <c r="G1831" t="s">
        <v>51</v>
      </c>
      <c r="H1831" t="s">
        <v>52</v>
      </c>
      <c r="I1831" t="s">
        <v>53</v>
      </c>
      <c r="J1831">
        <v>4</v>
      </c>
      <c r="K1831">
        <v>2200</v>
      </c>
      <c r="L1831">
        <v>0.05</v>
      </c>
      <c r="M1831">
        <v>8360</v>
      </c>
      <c r="N1831">
        <v>5800</v>
      </c>
      <c r="O1831">
        <v>2560</v>
      </c>
    </row>
    <row r="1832" spans="1:15" x14ac:dyDescent="0.25">
      <c r="A1832" t="s">
        <v>2883</v>
      </c>
      <c r="B1832" s="2">
        <v>47488</v>
      </c>
      <c r="C1832" t="s">
        <v>340</v>
      </c>
      <c r="D1832" t="s">
        <v>341</v>
      </c>
      <c r="E1832" t="s">
        <v>26</v>
      </c>
      <c r="F1832" t="s">
        <v>27</v>
      </c>
      <c r="G1832" t="s">
        <v>57</v>
      </c>
      <c r="H1832" t="s">
        <v>188</v>
      </c>
      <c r="I1832" t="s">
        <v>189</v>
      </c>
      <c r="J1832">
        <v>4</v>
      </c>
      <c r="K1832">
        <v>6200</v>
      </c>
      <c r="L1832">
        <v>0.15</v>
      </c>
      <c r="M1832">
        <v>21080</v>
      </c>
      <c r="N1832">
        <v>17200</v>
      </c>
      <c r="O1832">
        <v>3880</v>
      </c>
    </row>
    <row r="1833" spans="1:15" x14ac:dyDescent="0.25">
      <c r="A1833" t="s">
        <v>2884</v>
      </c>
      <c r="B1833" s="2">
        <v>47489</v>
      </c>
      <c r="C1833" t="s">
        <v>1079</v>
      </c>
      <c r="D1833" t="s">
        <v>1080</v>
      </c>
      <c r="E1833" t="s">
        <v>39</v>
      </c>
      <c r="F1833" t="s">
        <v>71</v>
      </c>
      <c r="G1833" t="s">
        <v>28</v>
      </c>
      <c r="H1833" t="s">
        <v>29</v>
      </c>
      <c r="I1833" t="s">
        <v>35</v>
      </c>
      <c r="J1833">
        <v>5</v>
      </c>
      <c r="K1833">
        <v>4200</v>
      </c>
      <c r="L1833">
        <v>0.1</v>
      </c>
      <c r="M1833">
        <v>18900</v>
      </c>
      <c r="N1833">
        <v>14500</v>
      </c>
      <c r="O1833">
        <v>4400</v>
      </c>
    </row>
    <row r="1834" spans="1:15" x14ac:dyDescent="0.25">
      <c r="A1834" t="s">
        <v>2885</v>
      </c>
      <c r="B1834" s="2">
        <v>47490</v>
      </c>
      <c r="C1834" t="s">
        <v>637</v>
      </c>
      <c r="D1834" t="s">
        <v>638</v>
      </c>
      <c r="E1834" t="s">
        <v>18</v>
      </c>
      <c r="F1834" t="s">
        <v>19</v>
      </c>
      <c r="G1834" t="s">
        <v>57</v>
      </c>
      <c r="H1834" t="s">
        <v>58</v>
      </c>
      <c r="I1834" t="s">
        <v>59</v>
      </c>
      <c r="J1834">
        <v>5</v>
      </c>
      <c r="K1834">
        <v>5600</v>
      </c>
      <c r="L1834">
        <v>0.15</v>
      </c>
      <c r="M1834">
        <v>23800</v>
      </c>
      <c r="N1834">
        <v>19500</v>
      </c>
      <c r="O1834">
        <v>4300</v>
      </c>
    </row>
    <row r="1835" spans="1:15" x14ac:dyDescent="0.25">
      <c r="A1835" t="s">
        <v>2886</v>
      </c>
      <c r="B1835" s="2">
        <v>47491</v>
      </c>
      <c r="C1835" t="s">
        <v>659</v>
      </c>
      <c r="D1835" t="s">
        <v>660</v>
      </c>
      <c r="E1835" t="s">
        <v>26</v>
      </c>
      <c r="F1835" t="s">
        <v>27</v>
      </c>
      <c r="G1835" t="s">
        <v>51</v>
      </c>
      <c r="H1835" t="s">
        <v>21</v>
      </c>
      <c r="I1835" t="s">
        <v>72</v>
      </c>
      <c r="J1835">
        <v>1</v>
      </c>
      <c r="K1835">
        <v>1800</v>
      </c>
      <c r="L1835">
        <v>0.05</v>
      </c>
      <c r="M1835">
        <v>1710</v>
      </c>
      <c r="N1835">
        <v>1100</v>
      </c>
      <c r="O1835">
        <v>610</v>
      </c>
    </row>
    <row r="1836" spans="1:15" x14ac:dyDescent="0.25">
      <c r="A1836" t="s">
        <v>2887</v>
      </c>
      <c r="B1836" s="2">
        <v>47492</v>
      </c>
      <c r="C1836" t="s">
        <v>1602</v>
      </c>
      <c r="D1836" t="s">
        <v>1603</v>
      </c>
      <c r="E1836" t="s">
        <v>39</v>
      </c>
      <c r="F1836" t="s">
        <v>71</v>
      </c>
      <c r="G1836" t="s">
        <v>57</v>
      </c>
      <c r="H1836" t="s">
        <v>104</v>
      </c>
      <c r="I1836" t="s">
        <v>105</v>
      </c>
      <c r="J1836">
        <v>4</v>
      </c>
      <c r="K1836">
        <v>7500</v>
      </c>
      <c r="L1836">
        <v>0.15</v>
      </c>
      <c r="M1836">
        <v>25500</v>
      </c>
      <c r="N1836">
        <v>20800</v>
      </c>
      <c r="O1836">
        <v>4700</v>
      </c>
    </row>
    <row r="1837" spans="1:15" x14ac:dyDescent="0.25">
      <c r="A1837" t="s">
        <v>2888</v>
      </c>
      <c r="B1837" s="2">
        <v>47493</v>
      </c>
      <c r="C1837" t="s">
        <v>905</v>
      </c>
      <c r="D1837" t="s">
        <v>906</v>
      </c>
      <c r="E1837" t="s">
        <v>26</v>
      </c>
      <c r="F1837" t="s">
        <v>46</v>
      </c>
      <c r="G1837" t="s">
        <v>57</v>
      </c>
      <c r="H1837" t="s">
        <v>104</v>
      </c>
      <c r="I1837" t="s">
        <v>105</v>
      </c>
      <c r="J1837">
        <v>5</v>
      </c>
      <c r="K1837">
        <v>7500</v>
      </c>
      <c r="L1837">
        <v>0.1</v>
      </c>
      <c r="M1837">
        <v>33750</v>
      </c>
      <c r="N1837">
        <v>26000</v>
      </c>
      <c r="O1837">
        <v>7750</v>
      </c>
    </row>
    <row r="1838" spans="1:15" x14ac:dyDescent="0.25">
      <c r="A1838" t="s">
        <v>2889</v>
      </c>
      <c r="B1838" s="2">
        <v>47494</v>
      </c>
      <c r="C1838" t="s">
        <v>229</v>
      </c>
      <c r="D1838" t="s">
        <v>230</v>
      </c>
      <c r="E1838" t="s">
        <v>26</v>
      </c>
      <c r="F1838" t="s">
        <v>34</v>
      </c>
      <c r="G1838" t="s">
        <v>28</v>
      </c>
      <c r="H1838" t="s">
        <v>29</v>
      </c>
      <c r="I1838" t="s">
        <v>47</v>
      </c>
      <c r="J1838">
        <v>3</v>
      </c>
      <c r="K1838">
        <v>6800</v>
      </c>
      <c r="L1838">
        <v>0.05</v>
      </c>
      <c r="M1838">
        <v>19380</v>
      </c>
      <c r="N1838">
        <v>14100</v>
      </c>
      <c r="O1838">
        <v>5280</v>
      </c>
    </row>
    <row r="1839" spans="1:15" x14ac:dyDescent="0.25">
      <c r="A1839" t="s">
        <v>2890</v>
      </c>
      <c r="B1839" s="2">
        <v>47495</v>
      </c>
      <c r="C1839" t="s">
        <v>711</v>
      </c>
      <c r="D1839" t="s">
        <v>712</v>
      </c>
      <c r="E1839" t="s">
        <v>39</v>
      </c>
      <c r="F1839" t="s">
        <v>40</v>
      </c>
      <c r="G1839" t="s">
        <v>51</v>
      </c>
      <c r="H1839" t="s">
        <v>52</v>
      </c>
      <c r="I1839" t="s">
        <v>53</v>
      </c>
      <c r="J1839">
        <v>2</v>
      </c>
      <c r="K1839">
        <v>2200</v>
      </c>
      <c r="L1839">
        <v>0.1</v>
      </c>
      <c r="M1839">
        <v>3960</v>
      </c>
      <c r="N1839">
        <v>2900</v>
      </c>
      <c r="O1839">
        <v>1060</v>
      </c>
    </row>
    <row r="1840" spans="1:15" x14ac:dyDescent="0.25">
      <c r="A1840" t="s">
        <v>2891</v>
      </c>
      <c r="B1840" s="2">
        <v>47496</v>
      </c>
      <c r="C1840" t="s">
        <v>796</v>
      </c>
      <c r="D1840" t="s">
        <v>797</v>
      </c>
      <c r="E1840" t="s">
        <v>26</v>
      </c>
      <c r="F1840" t="s">
        <v>34</v>
      </c>
      <c r="G1840" t="s">
        <v>57</v>
      </c>
      <c r="H1840" t="s">
        <v>188</v>
      </c>
      <c r="I1840" t="s">
        <v>189</v>
      </c>
      <c r="J1840">
        <v>3</v>
      </c>
      <c r="K1840">
        <v>6200</v>
      </c>
      <c r="L1840">
        <v>0.2</v>
      </c>
      <c r="M1840">
        <v>14880</v>
      </c>
      <c r="N1840">
        <v>12900</v>
      </c>
      <c r="O1840">
        <v>1980</v>
      </c>
    </row>
    <row r="1841" spans="1:15" x14ac:dyDescent="0.25">
      <c r="A1841" t="s">
        <v>2892</v>
      </c>
      <c r="B1841" s="2">
        <v>47497</v>
      </c>
      <c r="C1841" t="s">
        <v>1434</v>
      </c>
      <c r="D1841" t="s">
        <v>1435</v>
      </c>
      <c r="E1841" t="s">
        <v>96</v>
      </c>
      <c r="F1841" t="s">
        <v>97</v>
      </c>
      <c r="G1841" t="s">
        <v>20</v>
      </c>
      <c r="H1841" t="s">
        <v>41</v>
      </c>
      <c r="I1841" t="s">
        <v>42</v>
      </c>
      <c r="J1841">
        <v>5</v>
      </c>
      <c r="K1841">
        <v>520</v>
      </c>
      <c r="L1841">
        <v>0.1</v>
      </c>
      <c r="M1841">
        <v>2340</v>
      </c>
      <c r="N1841">
        <v>1650</v>
      </c>
      <c r="O1841">
        <v>690</v>
      </c>
    </row>
    <row r="1842" spans="1:15" x14ac:dyDescent="0.25">
      <c r="A1842" t="s">
        <v>2893</v>
      </c>
      <c r="B1842" s="2">
        <v>47498</v>
      </c>
      <c r="C1842" t="s">
        <v>585</v>
      </c>
      <c r="D1842" t="s">
        <v>586</v>
      </c>
      <c r="E1842" t="s">
        <v>26</v>
      </c>
      <c r="F1842" t="s">
        <v>34</v>
      </c>
      <c r="G1842" t="s">
        <v>57</v>
      </c>
      <c r="H1842" t="s">
        <v>104</v>
      </c>
      <c r="I1842" t="s">
        <v>105</v>
      </c>
      <c r="J1842">
        <v>5</v>
      </c>
      <c r="K1842">
        <v>7500</v>
      </c>
      <c r="L1842">
        <v>0</v>
      </c>
      <c r="M1842">
        <v>37500</v>
      </c>
      <c r="N1842">
        <v>26000</v>
      </c>
      <c r="O1842">
        <v>11500</v>
      </c>
    </row>
    <row r="1843" spans="1:15" x14ac:dyDescent="0.25">
      <c r="A1843" t="s">
        <v>2894</v>
      </c>
      <c r="B1843" s="2">
        <v>47499</v>
      </c>
      <c r="C1843" t="s">
        <v>294</v>
      </c>
      <c r="D1843" t="s">
        <v>295</v>
      </c>
      <c r="E1843" t="s">
        <v>39</v>
      </c>
      <c r="F1843" t="s">
        <v>76</v>
      </c>
      <c r="G1843" t="s">
        <v>51</v>
      </c>
      <c r="H1843" t="s">
        <v>52</v>
      </c>
      <c r="I1843" t="s">
        <v>53</v>
      </c>
      <c r="J1843">
        <v>1</v>
      </c>
      <c r="K1843">
        <v>2200</v>
      </c>
      <c r="L1843">
        <v>0</v>
      </c>
      <c r="M1843">
        <v>2200</v>
      </c>
      <c r="N1843">
        <v>1450</v>
      </c>
      <c r="O1843">
        <v>750</v>
      </c>
    </row>
    <row r="1844" spans="1:15" x14ac:dyDescent="0.25">
      <c r="A1844" t="s">
        <v>2895</v>
      </c>
      <c r="B1844" s="2">
        <v>47500</v>
      </c>
      <c r="C1844" t="s">
        <v>1836</v>
      </c>
      <c r="D1844" t="s">
        <v>1837</v>
      </c>
      <c r="E1844" t="s">
        <v>39</v>
      </c>
      <c r="F1844" t="s">
        <v>40</v>
      </c>
      <c r="G1844" t="s">
        <v>51</v>
      </c>
      <c r="H1844" t="s">
        <v>52</v>
      </c>
      <c r="I1844" t="s">
        <v>208</v>
      </c>
      <c r="J1844">
        <v>1</v>
      </c>
      <c r="K1844">
        <v>2800</v>
      </c>
      <c r="L1844">
        <v>0.25</v>
      </c>
      <c r="M1844">
        <v>2100</v>
      </c>
      <c r="N1844">
        <v>1800</v>
      </c>
      <c r="O1844">
        <v>300</v>
      </c>
    </row>
    <row r="1845" spans="1:15" x14ac:dyDescent="0.25">
      <c r="A1845" t="s">
        <v>2896</v>
      </c>
      <c r="B1845" s="2">
        <v>47501</v>
      </c>
      <c r="C1845" t="s">
        <v>2167</v>
      </c>
      <c r="D1845" t="s">
        <v>2168</v>
      </c>
      <c r="E1845" t="s">
        <v>96</v>
      </c>
      <c r="F1845" t="s">
        <v>97</v>
      </c>
      <c r="G1845" t="s">
        <v>57</v>
      </c>
      <c r="H1845" t="s">
        <v>104</v>
      </c>
      <c r="I1845" t="s">
        <v>105</v>
      </c>
      <c r="J1845">
        <v>1</v>
      </c>
      <c r="K1845">
        <v>7500</v>
      </c>
      <c r="L1845">
        <v>0.15</v>
      </c>
      <c r="M1845">
        <v>6375</v>
      </c>
      <c r="N1845">
        <v>5200</v>
      </c>
      <c r="O1845">
        <v>1175</v>
      </c>
    </row>
    <row r="1846" spans="1:15" x14ac:dyDescent="0.25">
      <c r="A1846" t="s">
        <v>2897</v>
      </c>
      <c r="B1846" s="2">
        <v>47502</v>
      </c>
      <c r="C1846" t="s">
        <v>1085</v>
      </c>
      <c r="D1846" t="s">
        <v>1086</v>
      </c>
      <c r="E1846" t="s">
        <v>96</v>
      </c>
      <c r="F1846" t="s">
        <v>97</v>
      </c>
      <c r="G1846" t="s">
        <v>20</v>
      </c>
      <c r="H1846" t="s">
        <v>21</v>
      </c>
      <c r="I1846" t="s">
        <v>22</v>
      </c>
      <c r="J1846">
        <v>3</v>
      </c>
      <c r="K1846">
        <v>650</v>
      </c>
      <c r="L1846">
        <v>0.1</v>
      </c>
      <c r="M1846">
        <v>1755</v>
      </c>
      <c r="N1846">
        <v>1170</v>
      </c>
      <c r="O1846">
        <v>585</v>
      </c>
    </row>
    <row r="1847" spans="1:15" x14ac:dyDescent="0.25">
      <c r="A1847" t="s">
        <v>2898</v>
      </c>
      <c r="B1847" s="2">
        <v>47503</v>
      </c>
      <c r="C1847" t="s">
        <v>640</v>
      </c>
      <c r="D1847" t="s">
        <v>641</v>
      </c>
      <c r="E1847" t="s">
        <v>39</v>
      </c>
      <c r="F1847" t="s">
        <v>76</v>
      </c>
      <c r="G1847" t="s">
        <v>51</v>
      </c>
      <c r="H1847" t="s">
        <v>52</v>
      </c>
      <c r="I1847" t="s">
        <v>208</v>
      </c>
      <c r="J1847">
        <v>5</v>
      </c>
      <c r="K1847">
        <v>2800</v>
      </c>
      <c r="L1847">
        <v>0.05</v>
      </c>
      <c r="M1847">
        <v>13300</v>
      </c>
      <c r="N1847">
        <v>9000</v>
      </c>
      <c r="O1847">
        <v>4300</v>
      </c>
    </row>
    <row r="1848" spans="1:15" x14ac:dyDescent="0.25">
      <c r="A1848" t="s">
        <v>2899</v>
      </c>
      <c r="B1848" s="2">
        <v>47504</v>
      </c>
      <c r="C1848" t="s">
        <v>198</v>
      </c>
      <c r="D1848" t="s">
        <v>199</v>
      </c>
      <c r="E1848" t="s">
        <v>26</v>
      </c>
      <c r="F1848" t="s">
        <v>34</v>
      </c>
      <c r="G1848" t="s">
        <v>28</v>
      </c>
      <c r="H1848" t="s">
        <v>29</v>
      </c>
      <c r="I1848" t="s">
        <v>35</v>
      </c>
      <c r="J1848">
        <v>2</v>
      </c>
      <c r="K1848">
        <v>4200</v>
      </c>
      <c r="L1848">
        <v>0</v>
      </c>
      <c r="M1848">
        <v>8400</v>
      </c>
      <c r="N1848">
        <v>5800</v>
      </c>
      <c r="O1848">
        <v>2600</v>
      </c>
    </row>
    <row r="1849" spans="1:15" x14ac:dyDescent="0.25">
      <c r="A1849" t="s">
        <v>2900</v>
      </c>
      <c r="B1849" s="2">
        <v>47505</v>
      </c>
      <c r="C1849" t="s">
        <v>2449</v>
      </c>
      <c r="D1849" t="s">
        <v>2450</v>
      </c>
      <c r="E1849" t="s">
        <v>26</v>
      </c>
      <c r="F1849" t="s">
        <v>128</v>
      </c>
      <c r="G1849" t="s">
        <v>51</v>
      </c>
      <c r="H1849" t="s">
        <v>21</v>
      </c>
      <c r="I1849" t="s">
        <v>72</v>
      </c>
      <c r="J1849">
        <v>1</v>
      </c>
      <c r="K1849">
        <v>1800</v>
      </c>
      <c r="L1849">
        <v>0</v>
      </c>
      <c r="M1849">
        <v>1800</v>
      </c>
      <c r="N1849">
        <v>1100</v>
      </c>
      <c r="O1849">
        <v>700</v>
      </c>
    </row>
    <row r="1850" spans="1:15" x14ac:dyDescent="0.25">
      <c r="A1850" t="s">
        <v>2901</v>
      </c>
      <c r="B1850" s="2">
        <v>47506</v>
      </c>
      <c r="C1850" t="s">
        <v>504</v>
      </c>
      <c r="D1850" t="s">
        <v>505</v>
      </c>
      <c r="E1850" t="s">
        <v>26</v>
      </c>
      <c r="F1850" t="s">
        <v>34</v>
      </c>
      <c r="G1850" t="s">
        <v>28</v>
      </c>
      <c r="H1850" t="s">
        <v>29</v>
      </c>
      <c r="I1850" t="s">
        <v>47</v>
      </c>
      <c r="J1850">
        <v>5</v>
      </c>
      <c r="K1850">
        <v>6800</v>
      </c>
      <c r="L1850">
        <v>0.1</v>
      </c>
      <c r="M1850">
        <v>30600</v>
      </c>
      <c r="N1850">
        <v>23500</v>
      </c>
      <c r="O1850">
        <v>7100</v>
      </c>
    </row>
    <row r="1851" spans="1:15" x14ac:dyDescent="0.25">
      <c r="A1851" t="s">
        <v>2902</v>
      </c>
      <c r="B1851" s="2">
        <v>47507</v>
      </c>
      <c r="C1851" t="s">
        <v>1031</v>
      </c>
      <c r="D1851" t="s">
        <v>1032</v>
      </c>
      <c r="E1851" t="s">
        <v>39</v>
      </c>
      <c r="F1851" t="s">
        <v>76</v>
      </c>
      <c r="G1851" t="s">
        <v>20</v>
      </c>
      <c r="H1851" t="s">
        <v>84</v>
      </c>
      <c r="I1851" t="s">
        <v>210</v>
      </c>
      <c r="J1851">
        <v>2</v>
      </c>
      <c r="K1851">
        <v>300</v>
      </c>
      <c r="L1851">
        <v>0</v>
      </c>
      <c r="M1851">
        <v>600</v>
      </c>
      <c r="N1851">
        <v>340</v>
      </c>
      <c r="O1851">
        <v>260</v>
      </c>
    </row>
    <row r="1852" spans="1:15" x14ac:dyDescent="0.25">
      <c r="A1852" t="s">
        <v>2903</v>
      </c>
      <c r="B1852" s="2">
        <v>47508</v>
      </c>
      <c r="C1852" t="s">
        <v>1375</v>
      </c>
      <c r="D1852" t="s">
        <v>1376</v>
      </c>
      <c r="E1852" t="s">
        <v>26</v>
      </c>
      <c r="F1852" t="s">
        <v>46</v>
      </c>
      <c r="G1852" t="s">
        <v>57</v>
      </c>
      <c r="H1852" t="s">
        <v>58</v>
      </c>
      <c r="I1852" t="s">
        <v>129</v>
      </c>
      <c r="J1852">
        <v>4</v>
      </c>
      <c r="K1852">
        <v>4800</v>
      </c>
      <c r="L1852">
        <v>0.1</v>
      </c>
      <c r="M1852">
        <v>17280</v>
      </c>
      <c r="N1852">
        <v>13200</v>
      </c>
      <c r="O1852">
        <v>4080</v>
      </c>
    </row>
    <row r="1853" spans="1:15" x14ac:dyDescent="0.25">
      <c r="A1853" t="s">
        <v>2904</v>
      </c>
      <c r="B1853" s="2">
        <v>47509</v>
      </c>
      <c r="C1853" t="s">
        <v>647</v>
      </c>
      <c r="D1853" t="s">
        <v>648</v>
      </c>
      <c r="E1853" t="s">
        <v>18</v>
      </c>
      <c r="F1853" t="s">
        <v>115</v>
      </c>
      <c r="G1853" t="s">
        <v>57</v>
      </c>
      <c r="H1853" t="s">
        <v>188</v>
      </c>
      <c r="I1853" t="s">
        <v>189</v>
      </c>
      <c r="J1853">
        <v>2</v>
      </c>
      <c r="K1853">
        <v>6200</v>
      </c>
      <c r="L1853">
        <v>0.25</v>
      </c>
      <c r="M1853">
        <v>9300</v>
      </c>
      <c r="N1853">
        <v>8600</v>
      </c>
      <c r="O1853">
        <v>700</v>
      </c>
    </row>
    <row r="1854" spans="1:15" x14ac:dyDescent="0.25">
      <c r="A1854" t="s">
        <v>2905</v>
      </c>
      <c r="B1854" s="2">
        <v>47510</v>
      </c>
      <c r="C1854" t="s">
        <v>1581</v>
      </c>
      <c r="D1854" t="s">
        <v>1582</v>
      </c>
      <c r="E1854" t="s">
        <v>18</v>
      </c>
      <c r="F1854" t="s">
        <v>94</v>
      </c>
      <c r="G1854" t="s">
        <v>57</v>
      </c>
      <c r="H1854" t="s">
        <v>104</v>
      </c>
      <c r="I1854" t="s">
        <v>105</v>
      </c>
      <c r="J1854">
        <v>2</v>
      </c>
      <c r="K1854">
        <v>7500</v>
      </c>
      <c r="L1854">
        <v>0.1</v>
      </c>
      <c r="M1854">
        <v>13500</v>
      </c>
      <c r="N1854">
        <v>10400</v>
      </c>
      <c r="O1854">
        <v>3100</v>
      </c>
    </row>
    <row r="1855" spans="1:15" x14ac:dyDescent="0.25">
      <c r="A1855" t="s">
        <v>2906</v>
      </c>
      <c r="B1855" s="2">
        <v>47511</v>
      </c>
      <c r="C1855" t="s">
        <v>559</v>
      </c>
      <c r="D1855" t="s">
        <v>560</v>
      </c>
      <c r="E1855" t="s">
        <v>39</v>
      </c>
      <c r="F1855" t="s">
        <v>40</v>
      </c>
      <c r="G1855" t="s">
        <v>51</v>
      </c>
      <c r="H1855" t="s">
        <v>21</v>
      </c>
      <c r="I1855" t="s">
        <v>80</v>
      </c>
      <c r="J1855">
        <v>1</v>
      </c>
      <c r="K1855">
        <v>850</v>
      </c>
      <c r="L1855">
        <v>0</v>
      </c>
      <c r="M1855">
        <v>850</v>
      </c>
      <c r="N1855">
        <v>560</v>
      </c>
      <c r="O1855">
        <v>290</v>
      </c>
    </row>
    <row r="1856" spans="1:15" x14ac:dyDescent="0.25">
      <c r="A1856" t="s">
        <v>2907</v>
      </c>
      <c r="B1856" s="2">
        <v>47512</v>
      </c>
      <c r="C1856" t="s">
        <v>110</v>
      </c>
      <c r="D1856" t="s">
        <v>111</v>
      </c>
      <c r="E1856" t="s">
        <v>39</v>
      </c>
      <c r="F1856" t="s">
        <v>71</v>
      </c>
      <c r="G1856" t="s">
        <v>28</v>
      </c>
      <c r="H1856" t="s">
        <v>29</v>
      </c>
      <c r="I1856" t="s">
        <v>30</v>
      </c>
      <c r="J1856">
        <v>2</v>
      </c>
      <c r="K1856">
        <v>1900</v>
      </c>
      <c r="L1856">
        <v>0.15</v>
      </c>
      <c r="M1856">
        <v>3230</v>
      </c>
      <c r="N1856">
        <v>2500</v>
      </c>
      <c r="O1856">
        <v>730</v>
      </c>
    </row>
    <row r="1857" spans="1:15" x14ac:dyDescent="0.25">
      <c r="A1857" t="s">
        <v>2908</v>
      </c>
      <c r="B1857" s="2">
        <v>47513</v>
      </c>
      <c r="C1857" t="s">
        <v>899</v>
      </c>
      <c r="D1857" t="s">
        <v>900</v>
      </c>
      <c r="E1857" t="s">
        <v>96</v>
      </c>
      <c r="F1857" t="s">
        <v>200</v>
      </c>
      <c r="G1857" t="s">
        <v>57</v>
      </c>
      <c r="H1857" t="s">
        <v>104</v>
      </c>
      <c r="I1857" t="s">
        <v>105</v>
      </c>
      <c r="J1857">
        <v>2</v>
      </c>
      <c r="K1857">
        <v>7500</v>
      </c>
      <c r="L1857">
        <v>0.15</v>
      </c>
      <c r="M1857">
        <v>12750</v>
      </c>
      <c r="N1857">
        <v>10400</v>
      </c>
      <c r="O1857">
        <v>2350</v>
      </c>
    </row>
    <row r="1858" spans="1:15" x14ac:dyDescent="0.25">
      <c r="A1858" t="s">
        <v>2909</v>
      </c>
      <c r="B1858" s="2">
        <v>47514</v>
      </c>
      <c r="C1858" t="s">
        <v>487</v>
      </c>
      <c r="D1858" t="s">
        <v>488</v>
      </c>
      <c r="E1858" t="s">
        <v>39</v>
      </c>
      <c r="F1858" t="s">
        <v>71</v>
      </c>
      <c r="G1858" t="s">
        <v>28</v>
      </c>
      <c r="H1858" t="s">
        <v>29</v>
      </c>
      <c r="I1858" t="s">
        <v>30</v>
      </c>
      <c r="J1858">
        <v>5</v>
      </c>
      <c r="K1858">
        <v>1900</v>
      </c>
      <c r="L1858">
        <v>0.15</v>
      </c>
      <c r="M1858">
        <v>8075</v>
      </c>
      <c r="N1858">
        <v>6250</v>
      </c>
      <c r="O1858">
        <v>1825</v>
      </c>
    </row>
    <row r="1859" spans="1:15" x14ac:dyDescent="0.25">
      <c r="A1859" t="s">
        <v>2910</v>
      </c>
      <c r="B1859" s="2">
        <v>47515</v>
      </c>
      <c r="C1859" t="s">
        <v>1164</v>
      </c>
      <c r="D1859" t="s">
        <v>1165</v>
      </c>
      <c r="E1859" t="s">
        <v>18</v>
      </c>
      <c r="F1859" t="s">
        <v>227</v>
      </c>
      <c r="G1859" t="s">
        <v>28</v>
      </c>
      <c r="H1859" t="s">
        <v>63</v>
      </c>
      <c r="I1859" t="s">
        <v>64</v>
      </c>
      <c r="J1859">
        <v>2</v>
      </c>
      <c r="K1859">
        <v>2400</v>
      </c>
      <c r="L1859">
        <v>0.1</v>
      </c>
      <c r="M1859">
        <v>4320</v>
      </c>
      <c r="N1859">
        <v>3300</v>
      </c>
      <c r="O1859">
        <v>1020</v>
      </c>
    </row>
    <row r="1860" spans="1:15" x14ac:dyDescent="0.25">
      <c r="A1860" t="s">
        <v>2911</v>
      </c>
      <c r="B1860" s="2">
        <v>47516</v>
      </c>
      <c r="C1860" t="s">
        <v>1417</v>
      </c>
      <c r="D1860" t="s">
        <v>1418</v>
      </c>
      <c r="E1860" t="s">
        <v>18</v>
      </c>
      <c r="F1860" t="s">
        <v>94</v>
      </c>
      <c r="G1860" t="s">
        <v>51</v>
      </c>
      <c r="H1860" t="s">
        <v>52</v>
      </c>
      <c r="I1860" t="s">
        <v>208</v>
      </c>
      <c r="J1860">
        <v>2</v>
      </c>
      <c r="K1860">
        <v>2800</v>
      </c>
      <c r="L1860">
        <v>0</v>
      </c>
      <c r="M1860">
        <v>5600</v>
      </c>
      <c r="N1860">
        <v>3600</v>
      </c>
      <c r="O1860">
        <v>2000</v>
      </c>
    </row>
    <row r="1861" spans="1:15" x14ac:dyDescent="0.25">
      <c r="A1861" t="s">
        <v>2912</v>
      </c>
      <c r="B1861" s="2">
        <v>47517</v>
      </c>
      <c r="C1861" t="s">
        <v>954</v>
      </c>
      <c r="D1861" t="s">
        <v>955</v>
      </c>
      <c r="E1861" t="s">
        <v>26</v>
      </c>
      <c r="F1861" t="s">
        <v>128</v>
      </c>
      <c r="G1861" t="s">
        <v>20</v>
      </c>
      <c r="H1861" t="s">
        <v>21</v>
      </c>
      <c r="I1861" t="s">
        <v>22</v>
      </c>
      <c r="J1861">
        <v>1</v>
      </c>
      <c r="K1861">
        <v>650</v>
      </c>
      <c r="L1861">
        <v>0.15</v>
      </c>
      <c r="M1861">
        <v>552.5</v>
      </c>
      <c r="N1861">
        <v>390</v>
      </c>
      <c r="O1861">
        <v>162.5</v>
      </c>
    </row>
    <row r="1862" spans="1:15" x14ac:dyDescent="0.25">
      <c r="A1862" t="s">
        <v>2913</v>
      </c>
      <c r="B1862" s="2">
        <v>47518</v>
      </c>
      <c r="C1862" t="s">
        <v>137</v>
      </c>
      <c r="D1862" t="s">
        <v>138</v>
      </c>
      <c r="E1862" t="s">
        <v>26</v>
      </c>
      <c r="F1862" t="s">
        <v>27</v>
      </c>
      <c r="G1862" t="s">
        <v>57</v>
      </c>
      <c r="H1862" t="s">
        <v>104</v>
      </c>
      <c r="I1862" t="s">
        <v>105</v>
      </c>
      <c r="J1862">
        <v>4</v>
      </c>
      <c r="K1862">
        <v>7500</v>
      </c>
      <c r="L1862">
        <v>0.05</v>
      </c>
      <c r="M1862">
        <v>28500</v>
      </c>
      <c r="N1862">
        <v>20800</v>
      </c>
      <c r="O1862">
        <v>7700</v>
      </c>
    </row>
    <row r="1863" spans="1:15" x14ac:dyDescent="0.25">
      <c r="A1863" t="s">
        <v>2914</v>
      </c>
      <c r="B1863" s="2">
        <v>47519</v>
      </c>
      <c r="C1863" t="s">
        <v>893</v>
      </c>
      <c r="D1863" t="s">
        <v>894</v>
      </c>
      <c r="E1863" t="s">
        <v>26</v>
      </c>
      <c r="F1863" t="s">
        <v>46</v>
      </c>
      <c r="G1863" t="s">
        <v>57</v>
      </c>
      <c r="H1863" t="s">
        <v>104</v>
      </c>
      <c r="I1863" t="s">
        <v>105</v>
      </c>
      <c r="J1863">
        <v>5</v>
      </c>
      <c r="K1863">
        <v>7500</v>
      </c>
      <c r="L1863">
        <v>0.1</v>
      </c>
      <c r="M1863">
        <v>33750</v>
      </c>
      <c r="N1863">
        <v>26000</v>
      </c>
      <c r="O1863">
        <v>7750</v>
      </c>
    </row>
    <row r="1864" spans="1:15" x14ac:dyDescent="0.25">
      <c r="A1864" t="s">
        <v>2915</v>
      </c>
      <c r="B1864" s="2">
        <v>47520</v>
      </c>
      <c r="C1864" t="s">
        <v>697</v>
      </c>
      <c r="D1864" t="s">
        <v>698</v>
      </c>
      <c r="E1864" t="s">
        <v>96</v>
      </c>
      <c r="F1864" t="s">
        <v>196</v>
      </c>
      <c r="G1864" t="s">
        <v>51</v>
      </c>
      <c r="H1864" t="s">
        <v>21</v>
      </c>
      <c r="I1864" t="s">
        <v>80</v>
      </c>
      <c r="J1864">
        <v>5</v>
      </c>
      <c r="K1864">
        <v>850</v>
      </c>
      <c r="L1864">
        <v>0.15</v>
      </c>
      <c r="M1864">
        <v>3612.5</v>
      </c>
      <c r="N1864">
        <v>2800</v>
      </c>
      <c r="O1864">
        <v>812.5</v>
      </c>
    </row>
    <row r="1865" spans="1:15" x14ac:dyDescent="0.25">
      <c r="A1865" t="s">
        <v>2916</v>
      </c>
      <c r="B1865" s="2">
        <v>47521</v>
      </c>
      <c r="C1865" t="s">
        <v>61</v>
      </c>
      <c r="D1865" t="s">
        <v>62</v>
      </c>
      <c r="E1865" t="s">
        <v>18</v>
      </c>
      <c r="F1865" t="s">
        <v>115</v>
      </c>
      <c r="G1865" t="s">
        <v>51</v>
      </c>
      <c r="H1865" t="s">
        <v>21</v>
      </c>
      <c r="I1865" t="s">
        <v>72</v>
      </c>
      <c r="J1865">
        <v>3</v>
      </c>
      <c r="K1865">
        <v>1800</v>
      </c>
      <c r="L1865">
        <v>0.05</v>
      </c>
      <c r="M1865">
        <v>5130</v>
      </c>
      <c r="N1865">
        <v>3300</v>
      </c>
      <c r="O1865">
        <v>1830</v>
      </c>
    </row>
    <row r="1866" spans="1:15" x14ac:dyDescent="0.25">
      <c r="A1866" t="s">
        <v>2917</v>
      </c>
      <c r="B1866" s="2">
        <v>47522</v>
      </c>
      <c r="C1866" t="s">
        <v>934</v>
      </c>
      <c r="D1866" t="s">
        <v>935</v>
      </c>
      <c r="E1866" t="s">
        <v>26</v>
      </c>
      <c r="F1866" t="s">
        <v>128</v>
      </c>
      <c r="G1866" t="s">
        <v>51</v>
      </c>
      <c r="H1866" t="s">
        <v>52</v>
      </c>
      <c r="I1866" t="s">
        <v>208</v>
      </c>
      <c r="J1866">
        <v>4</v>
      </c>
      <c r="K1866">
        <v>2800</v>
      </c>
      <c r="L1866">
        <v>0.15</v>
      </c>
      <c r="M1866">
        <v>9520</v>
      </c>
      <c r="N1866">
        <v>7200</v>
      </c>
      <c r="O1866">
        <v>2320</v>
      </c>
    </row>
    <row r="1867" spans="1:15" x14ac:dyDescent="0.25">
      <c r="A1867" t="s">
        <v>2918</v>
      </c>
      <c r="B1867" s="2">
        <v>47523</v>
      </c>
      <c r="C1867" t="s">
        <v>556</v>
      </c>
      <c r="D1867" t="s">
        <v>557</v>
      </c>
      <c r="E1867" t="s">
        <v>39</v>
      </c>
      <c r="F1867" t="s">
        <v>76</v>
      </c>
      <c r="G1867" t="s">
        <v>51</v>
      </c>
      <c r="H1867" t="s">
        <v>52</v>
      </c>
      <c r="I1867" t="s">
        <v>208</v>
      </c>
      <c r="J1867">
        <v>4</v>
      </c>
      <c r="K1867">
        <v>2800</v>
      </c>
      <c r="L1867">
        <v>0.25</v>
      </c>
      <c r="M1867">
        <v>8400</v>
      </c>
      <c r="N1867">
        <v>7200</v>
      </c>
      <c r="O1867">
        <v>1200</v>
      </c>
    </row>
    <row r="1868" spans="1:15" x14ac:dyDescent="0.25">
      <c r="A1868" t="s">
        <v>2919</v>
      </c>
      <c r="B1868" s="2">
        <v>47524</v>
      </c>
      <c r="C1868" t="s">
        <v>1268</v>
      </c>
      <c r="D1868" t="s">
        <v>1269</v>
      </c>
      <c r="E1868" t="s">
        <v>39</v>
      </c>
      <c r="F1868" t="s">
        <v>124</v>
      </c>
      <c r="G1868" t="s">
        <v>28</v>
      </c>
      <c r="H1868" t="s">
        <v>29</v>
      </c>
      <c r="I1868" t="s">
        <v>30</v>
      </c>
      <c r="J1868">
        <v>1</v>
      </c>
      <c r="K1868">
        <v>1900</v>
      </c>
      <c r="L1868">
        <v>0.2</v>
      </c>
      <c r="M1868">
        <v>1520</v>
      </c>
      <c r="N1868">
        <v>1250</v>
      </c>
      <c r="O1868">
        <v>270</v>
      </c>
    </row>
    <row r="1869" spans="1:15" x14ac:dyDescent="0.25">
      <c r="A1869" t="s">
        <v>2920</v>
      </c>
      <c r="B1869" s="2">
        <v>47525</v>
      </c>
      <c r="C1869" t="s">
        <v>728</v>
      </c>
      <c r="D1869" t="s">
        <v>729</v>
      </c>
      <c r="E1869" t="s">
        <v>96</v>
      </c>
      <c r="F1869" t="s">
        <v>196</v>
      </c>
      <c r="G1869" t="s">
        <v>57</v>
      </c>
      <c r="H1869" t="s">
        <v>58</v>
      </c>
      <c r="I1869" t="s">
        <v>129</v>
      </c>
      <c r="J1869">
        <v>1</v>
      </c>
      <c r="K1869">
        <v>4800</v>
      </c>
      <c r="L1869">
        <v>0</v>
      </c>
      <c r="M1869">
        <v>4800</v>
      </c>
      <c r="N1869">
        <v>3300</v>
      </c>
      <c r="O1869">
        <v>1500</v>
      </c>
    </row>
    <row r="1870" spans="1:15" x14ac:dyDescent="0.25">
      <c r="A1870" t="s">
        <v>2921</v>
      </c>
      <c r="B1870" s="2">
        <v>47526</v>
      </c>
      <c r="C1870" t="s">
        <v>733</v>
      </c>
      <c r="D1870" t="s">
        <v>734</v>
      </c>
      <c r="E1870" t="s">
        <v>39</v>
      </c>
      <c r="F1870" t="s">
        <v>76</v>
      </c>
      <c r="G1870" t="s">
        <v>20</v>
      </c>
      <c r="H1870" t="s">
        <v>41</v>
      </c>
      <c r="I1870" t="s">
        <v>42</v>
      </c>
      <c r="J1870">
        <v>4</v>
      </c>
      <c r="K1870">
        <v>520</v>
      </c>
      <c r="L1870">
        <v>0.05</v>
      </c>
      <c r="M1870">
        <v>1976</v>
      </c>
      <c r="N1870">
        <v>1320</v>
      </c>
      <c r="O1870">
        <v>656</v>
      </c>
    </row>
    <row r="1871" spans="1:15" x14ac:dyDescent="0.25">
      <c r="A1871" t="s">
        <v>2922</v>
      </c>
      <c r="B1871" s="2">
        <v>47527</v>
      </c>
      <c r="C1871" t="s">
        <v>340</v>
      </c>
      <c r="D1871" t="s">
        <v>341</v>
      </c>
      <c r="E1871" t="s">
        <v>26</v>
      </c>
      <c r="F1871" t="s">
        <v>128</v>
      </c>
      <c r="G1871" t="s">
        <v>57</v>
      </c>
      <c r="H1871" t="s">
        <v>188</v>
      </c>
      <c r="I1871" t="s">
        <v>189</v>
      </c>
      <c r="J1871">
        <v>2</v>
      </c>
      <c r="K1871">
        <v>6200</v>
      </c>
      <c r="L1871">
        <v>0.2</v>
      </c>
      <c r="M1871">
        <v>9920</v>
      </c>
      <c r="N1871">
        <v>8600</v>
      </c>
      <c r="O1871">
        <v>1320</v>
      </c>
    </row>
    <row r="1872" spans="1:15" x14ac:dyDescent="0.25">
      <c r="A1872" t="s">
        <v>2923</v>
      </c>
      <c r="B1872" s="2">
        <v>47528</v>
      </c>
      <c r="C1872" t="s">
        <v>2924</v>
      </c>
      <c r="D1872" t="s">
        <v>2925</v>
      </c>
      <c r="E1872" t="s">
        <v>96</v>
      </c>
      <c r="F1872" t="s">
        <v>196</v>
      </c>
      <c r="G1872" t="s">
        <v>51</v>
      </c>
      <c r="H1872" t="s">
        <v>21</v>
      </c>
      <c r="I1872" t="s">
        <v>72</v>
      </c>
      <c r="J1872">
        <v>5</v>
      </c>
      <c r="K1872">
        <v>1800</v>
      </c>
      <c r="L1872">
        <v>0.2</v>
      </c>
      <c r="M1872">
        <v>7200</v>
      </c>
      <c r="N1872">
        <v>5500</v>
      </c>
      <c r="O1872">
        <v>1700</v>
      </c>
    </row>
    <row r="1873" spans="1:15" x14ac:dyDescent="0.25">
      <c r="A1873" t="s">
        <v>2926</v>
      </c>
      <c r="B1873" s="2">
        <v>47529</v>
      </c>
      <c r="C1873" t="s">
        <v>1124</v>
      </c>
      <c r="D1873" t="s">
        <v>1125</v>
      </c>
      <c r="E1873" t="s">
        <v>96</v>
      </c>
      <c r="F1873" t="s">
        <v>200</v>
      </c>
      <c r="G1873" t="s">
        <v>20</v>
      </c>
      <c r="H1873" t="s">
        <v>84</v>
      </c>
      <c r="I1873" t="s">
        <v>169</v>
      </c>
      <c r="J1873">
        <v>5</v>
      </c>
      <c r="K1873">
        <v>450</v>
      </c>
      <c r="L1873">
        <v>0.1</v>
      </c>
      <c r="M1873">
        <v>2025</v>
      </c>
      <c r="N1873">
        <v>1300</v>
      </c>
      <c r="O1873">
        <v>725</v>
      </c>
    </row>
    <row r="1874" spans="1:15" x14ac:dyDescent="0.25">
      <c r="A1874" t="s">
        <v>2927</v>
      </c>
      <c r="B1874" s="2">
        <v>47530</v>
      </c>
      <c r="C1874" t="s">
        <v>278</v>
      </c>
      <c r="D1874" t="s">
        <v>279</v>
      </c>
      <c r="E1874" t="s">
        <v>96</v>
      </c>
      <c r="F1874" t="s">
        <v>97</v>
      </c>
      <c r="G1874" t="s">
        <v>28</v>
      </c>
      <c r="H1874" t="s">
        <v>29</v>
      </c>
      <c r="I1874" t="s">
        <v>47</v>
      </c>
      <c r="J1874">
        <v>4</v>
      </c>
      <c r="K1874">
        <v>6800</v>
      </c>
      <c r="L1874">
        <v>0.05</v>
      </c>
      <c r="M1874">
        <v>25840</v>
      </c>
      <c r="N1874">
        <v>18800</v>
      </c>
      <c r="O1874">
        <v>7040</v>
      </c>
    </row>
    <row r="1875" spans="1:15" x14ac:dyDescent="0.25">
      <c r="A1875" t="s">
        <v>2928</v>
      </c>
      <c r="B1875" s="2">
        <v>47531</v>
      </c>
      <c r="C1875" t="s">
        <v>275</v>
      </c>
      <c r="D1875" t="s">
        <v>276</v>
      </c>
      <c r="E1875" t="s">
        <v>39</v>
      </c>
      <c r="F1875" t="s">
        <v>76</v>
      </c>
      <c r="G1875" t="s">
        <v>20</v>
      </c>
      <c r="H1875" t="s">
        <v>41</v>
      </c>
      <c r="I1875" t="s">
        <v>42</v>
      </c>
      <c r="J1875">
        <v>1</v>
      </c>
      <c r="K1875">
        <v>520</v>
      </c>
      <c r="L1875">
        <v>0</v>
      </c>
      <c r="M1875">
        <v>520</v>
      </c>
      <c r="N1875">
        <v>330</v>
      </c>
      <c r="O1875">
        <v>190</v>
      </c>
    </row>
    <row r="1876" spans="1:15" x14ac:dyDescent="0.25">
      <c r="A1876" t="s">
        <v>2929</v>
      </c>
      <c r="B1876" s="2">
        <v>47532</v>
      </c>
      <c r="C1876" t="s">
        <v>2518</v>
      </c>
      <c r="D1876" t="s">
        <v>2519</v>
      </c>
      <c r="E1876" t="s">
        <v>26</v>
      </c>
      <c r="F1876" t="s">
        <v>27</v>
      </c>
      <c r="G1876" t="s">
        <v>20</v>
      </c>
      <c r="H1876" t="s">
        <v>84</v>
      </c>
      <c r="I1876" t="s">
        <v>210</v>
      </c>
      <c r="J1876">
        <v>3</v>
      </c>
      <c r="K1876">
        <v>300</v>
      </c>
      <c r="L1876">
        <v>0.05</v>
      </c>
      <c r="M1876">
        <v>855</v>
      </c>
      <c r="N1876">
        <v>510</v>
      </c>
      <c r="O1876">
        <v>345</v>
      </c>
    </row>
    <row r="1877" spans="1:15" x14ac:dyDescent="0.25">
      <c r="A1877" t="s">
        <v>2930</v>
      </c>
      <c r="B1877" s="2">
        <v>47533</v>
      </c>
      <c r="C1877" t="s">
        <v>918</v>
      </c>
      <c r="D1877" t="s">
        <v>919</v>
      </c>
      <c r="E1877" t="s">
        <v>26</v>
      </c>
      <c r="F1877" t="s">
        <v>27</v>
      </c>
      <c r="G1877" t="s">
        <v>51</v>
      </c>
      <c r="H1877" t="s">
        <v>52</v>
      </c>
      <c r="I1877" t="s">
        <v>208</v>
      </c>
      <c r="J1877">
        <v>2</v>
      </c>
      <c r="K1877">
        <v>2800</v>
      </c>
      <c r="L1877">
        <v>0</v>
      </c>
      <c r="M1877">
        <v>5600</v>
      </c>
      <c r="N1877">
        <v>3600</v>
      </c>
      <c r="O1877">
        <v>2000</v>
      </c>
    </row>
    <row r="1878" spans="1:15" x14ac:dyDescent="0.25">
      <c r="A1878" t="s">
        <v>2931</v>
      </c>
      <c r="B1878" s="2">
        <v>47534</v>
      </c>
      <c r="C1878" t="s">
        <v>915</v>
      </c>
      <c r="D1878" t="s">
        <v>916</v>
      </c>
      <c r="E1878" t="s">
        <v>18</v>
      </c>
      <c r="F1878" t="s">
        <v>19</v>
      </c>
      <c r="G1878" t="s">
        <v>57</v>
      </c>
      <c r="H1878" t="s">
        <v>58</v>
      </c>
      <c r="I1878" t="s">
        <v>59</v>
      </c>
      <c r="J1878">
        <v>4</v>
      </c>
      <c r="K1878">
        <v>5600</v>
      </c>
      <c r="L1878">
        <v>0.1</v>
      </c>
      <c r="M1878">
        <v>20160</v>
      </c>
      <c r="N1878">
        <v>15600</v>
      </c>
      <c r="O1878">
        <v>4560</v>
      </c>
    </row>
    <row r="1879" spans="1:15" x14ac:dyDescent="0.25">
      <c r="A1879" t="s">
        <v>2932</v>
      </c>
      <c r="B1879" s="2">
        <v>47535</v>
      </c>
      <c r="C1879" t="s">
        <v>1612</v>
      </c>
      <c r="D1879" t="s">
        <v>1613</v>
      </c>
      <c r="E1879" t="s">
        <v>26</v>
      </c>
      <c r="F1879" t="s">
        <v>27</v>
      </c>
      <c r="G1879" t="s">
        <v>51</v>
      </c>
      <c r="H1879" t="s">
        <v>52</v>
      </c>
      <c r="I1879" t="s">
        <v>53</v>
      </c>
      <c r="J1879">
        <v>1</v>
      </c>
      <c r="K1879">
        <v>2200</v>
      </c>
      <c r="L1879">
        <v>0.15</v>
      </c>
      <c r="M1879">
        <v>1870</v>
      </c>
      <c r="N1879">
        <v>1450</v>
      </c>
      <c r="O1879">
        <v>420</v>
      </c>
    </row>
    <row r="1880" spans="1:15" x14ac:dyDescent="0.25">
      <c r="A1880" t="s">
        <v>2933</v>
      </c>
      <c r="B1880" s="2">
        <v>47536</v>
      </c>
      <c r="C1880" t="s">
        <v>507</v>
      </c>
      <c r="D1880" t="s">
        <v>508</v>
      </c>
      <c r="E1880" t="s">
        <v>26</v>
      </c>
      <c r="F1880" t="s">
        <v>34</v>
      </c>
      <c r="G1880" t="s">
        <v>28</v>
      </c>
      <c r="H1880" t="s">
        <v>29</v>
      </c>
      <c r="I1880" t="s">
        <v>35</v>
      </c>
      <c r="J1880">
        <v>5</v>
      </c>
      <c r="K1880">
        <v>4200</v>
      </c>
      <c r="L1880">
        <v>0.05</v>
      </c>
      <c r="M1880">
        <v>19950</v>
      </c>
      <c r="N1880">
        <v>14500</v>
      </c>
      <c r="O1880">
        <v>5450</v>
      </c>
    </row>
    <row r="1881" spans="1:15" x14ac:dyDescent="0.25">
      <c r="A1881" t="s">
        <v>2934</v>
      </c>
      <c r="B1881" s="2">
        <v>47537</v>
      </c>
      <c r="C1881" t="s">
        <v>314</v>
      </c>
      <c r="D1881" t="s">
        <v>315</v>
      </c>
      <c r="E1881" t="s">
        <v>39</v>
      </c>
      <c r="F1881" t="s">
        <v>40</v>
      </c>
      <c r="G1881" t="s">
        <v>57</v>
      </c>
      <c r="H1881" t="s">
        <v>104</v>
      </c>
      <c r="I1881" t="s">
        <v>105</v>
      </c>
      <c r="J1881">
        <v>3</v>
      </c>
      <c r="K1881">
        <v>7500</v>
      </c>
      <c r="L1881">
        <v>0.2</v>
      </c>
      <c r="M1881">
        <v>18000</v>
      </c>
      <c r="N1881">
        <v>15600</v>
      </c>
      <c r="O1881">
        <v>2400</v>
      </c>
    </row>
    <row r="1882" spans="1:15" x14ac:dyDescent="0.25">
      <c r="A1882" t="s">
        <v>2935</v>
      </c>
      <c r="B1882" s="2">
        <v>47538</v>
      </c>
      <c r="C1882" t="s">
        <v>390</v>
      </c>
      <c r="D1882" t="s">
        <v>391</v>
      </c>
      <c r="E1882" t="s">
        <v>18</v>
      </c>
      <c r="F1882" t="s">
        <v>115</v>
      </c>
      <c r="G1882" t="s">
        <v>57</v>
      </c>
      <c r="H1882" t="s">
        <v>58</v>
      </c>
      <c r="I1882" t="s">
        <v>129</v>
      </c>
      <c r="J1882">
        <v>4</v>
      </c>
      <c r="K1882">
        <v>4800</v>
      </c>
      <c r="L1882">
        <v>0.1</v>
      </c>
      <c r="M1882">
        <v>17280</v>
      </c>
      <c r="N1882">
        <v>13200</v>
      </c>
      <c r="O1882">
        <v>4080</v>
      </c>
    </row>
    <row r="1883" spans="1:15" x14ac:dyDescent="0.25">
      <c r="A1883" t="s">
        <v>2936</v>
      </c>
      <c r="B1883" s="2">
        <v>47539</v>
      </c>
      <c r="C1883" t="s">
        <v>747</v>
      </c>
      <c r="D1883" t="s">
        <v>748</v>
      </c>
      <c r="E1883" t="s">
        <v>26</v>
      </c>
      <c r="F1883" t="s">
        <v>128</v>
      </c>
      <c r="G1883" t="s">
        <v>51</v>
      </c>
      <c r="H1883" t="s">
        <v>52</v>
      </c>
      <c r="I1883" t="s">
        <v>208</v>
      </c>
      <c r="J1883">
        <v>5</v>
      </c>
      <c r="K1883">
        <v>2800</v>
      </c>
      <c r="L1883">
        <v>0.05</v>
      </c>
      <c r="M1883">
        <v>13300</v>
      </c>
      <c r="N1883">
        <v>9000</v>
      </c>
      <c r="O1883">
        <v>4300</v>
      </c>
    </row>
    <row r="1884" spans="1:15" x14ac:dyDescent="0.25">
      <c r="A1884" t="s">
        <v>2937</v>
      </c>
      <c r="B1884" s="2">
        <v>47540</v>
      </c>
      <c r="C1884" t="s">
        <v>849</v>
      </c>
      <c r="D1884" t="s">
        <v>850</v>
      </c>
      <c r="E1884" t="s">
        <v>96</v>
      </c>
      <c r="F1884" t="s">
        <v>200</v>
      </c>
      <c r="G1884" t="s">
        <v>57</v>
      </c>
      <c r="H1884" t="s">
        <v>104</v>
      </c>
      <c r="I1884" t="s">
        <v>105</v>
      </c>
      <c r="J1884">
        <v>2</v>
      </c>
      <c r="K1884">
        <v>7500</v>
      </c>
      <c r="L1884">
        <v>0.15</v>
      </c>
      <c r="M1884">
        <v>12750</v>
      </c>
      <c r="N1884">
        <v>10400</v>
      </c>
      <c r="O1884">
        <v>2350</v>
      </c>
    </row>
    <row r="1885" spans="1:15" x14ac:dyDescent="0.25">
      <c r="A1885" t="s">
        <v>2938</v>
      </c>
      <c r="B1885" s="2">
        <v>47541</v>
      </c>
      <c r="C1885" t="s">
        <v>1889</v>
      </c>
      <c r="D1885" t="s">
        <v>1890</v>
      </c>
      <c r="E1885" t="s">
        <v>39</v>
      </c>
      <c r="F1885" t="s">
        <v>71</v>
      </c>
      <c r="G1885" t="s">
        <v>51</v>
      </c>
      <c r="H1885" t="s">
        <v>52</v>
      </c>
      <c r="I1885" t="s">
        <v>53</v>
      </c>
      <c r="J1885">
        <v>1</v>
      </c>
      <c r="K1885">
        <v>2200</v>
      </c>
      <c r="L1885">
        <v>0.1</v>
      </c>
      <c r="M1885">
        <v>1980</v>
      </c>
      <c r="N1885">
        <v>1450</v>
      </c>
      <c r="O1885">
        <v>530</v>
      </c>
    </row>
    <row r="1886" spans="1:15" x14ac:dyDescent="0.25">
      <c r="A1886" t="s">
        <v>2939</v>
      </c>
      <c r="B1886" s="2">
        <v>47542</v>
      </c>
      <c r="C1886" t="s">
        <v>1281</v>
      </c>
      <c r="D1886" t="s">
        <v>1282</v>
      </c>
      <c r="E1886" t="s">
        <v>26</v>
      </c>
      <c r="F1886" t="s">
        <v>27</v>
      </c>
      <c r="G1886" t="s">
        <v>57</v>
      </c>
      <c r="H1886" t="s">
        <v>58</v>
      </c>
      <c r="I1886" t="s">
        <v>129</v>
      </c>
      <c r="J1886">
        <v>3</v>
      </c>
      <c r="K1886">
        <v>4800</v>
      </c>
      <c r="L1886">
        <v>0.1</v>
      </c>
      <c r="M1886">
        <v>12960</v>
      </c>
      <c r="N1886">
        <v>9900</v>
      </c>
      <c r="O1886">
        <v>3060</v>
      </c>
    </row>
    <row r="1887" spans="1:15" x14ac:dyDescent="0.25">
      <c r="A1887" t="s">
        <v>2940</v>
      </c>
      <c r="B1887" s="2">
        <v>47543</v>
      </c>
      <c r="C1887" t="s">
        <v>588</v>
      </c>
      <c r="D1887" t="s">
        <v>589</v>
      </c>
      <c r="E1887" t="s">
        <v>39</v>
      </c>
      <c r="F1887" t="s">
        <v>124</v>
      </c>
      <c r="G1887" t="s">
        <v>28</v>
      </c>
      <c r="H1887" t="s">
        <v>29</v>
      </c>
      <c r="I1887" t="s">
        <v>47</v>
      </c>
      <c r="J1887">
        <v>2</v>
      </c>
      <c r="K1887">
        <v>6800</v>
      </c>
      <c r="L1887">
        <v>0.2</v>
      </c>
      <c r="M1887">
        <v>10880</v>
      </c>
      <c r="N1887">
        <v>9400</v>
      </c>
      <c r="O1887">
        <v>1480</v>
      </c>
    </row>
    <row r="1888" spans="1:15" x14ac:dyDescent="0.25">
      <c r="A1888" t="s">
        <v>2941</v>
      </c>
      <c r="B1888" s="2">
        <v>47544</v>
      </c>
      <c r="C1888" t="s">
        <v>152</v>
      </c>
      <c r="D1888" t="s">
        <v>153</v>
      </c>
      <c r="E1888" t="s">
        <v>18</v>
      </c>
      <c r="F1888" t="s">
        <v>115</v>
      </c>
      <c r="G1888" t="s">
        <v>57</v>
      </c>
      <c r="H1888" t="s">
        <v>58</v>
      </c>
      <c r="I1888" t="s">
        <v>129</v>
      </c>
      <c r="J1888">
        <v>1</v>
      </c>
      <c r="K1888">
        <v>4800</v>
      </c>
      <c r="L1888">
        <v>0</v>
      </c>
      <c r="M1888">
        <v>4800</v>
      </c>
      <c r="N1888">
        <v>3300</v>
      </c>
      <c r="O1888">
        <v>1500</v>
      </c>
    </row>
    <row r="1889" spans="1:15" x14ac:dyDescent="0.25">
      <c r="A1889" t="s">
        <v>2942</v>
      </c>
      <c r="B1889" s="2">
        <v>47545</v>
      </c>
      <c r="C1889" t="s">
        <v>378</v>
      </c>
      <c r="D1889" t="s">
        <v>379</v>
      </c>
      <c r="E1889" t="s">
        <v>26</v>
      </c>
      <c r="F1889" t="s">
        <v>27</v>
      </c>
      <c r="G1889" t="s">
        <v>57</v>
      </c>
      <c r="H1889" t="s">
        <v>104</v>
      </c>
      <c r="I1889" t="s">
        <v>105</v>
      </c>
      <c r="J1889">
        <v>4</v>
      </c>
      <c r="K1889">
        <v>7500</v>
      </c>
      <c r="L1889">
        <v>0.25</v>
      </c>
      <c r="M1889">
        <v>22500</v>
      </c>
      <c r="N1889">
        <v>20800</v>
      </c>
      <c r="O1889">
        <v>1700</v>
      </c>
    </row>
    <row r="1890" spans="1:15" x14ac:dyDescent="0.25">
      <c r="A1890" t="s">
        <v>2943</v>
      </c>
      <c r="B1890" s="2">
        <v>47546</v>
      </c>
      <c r="C1890" t="s">
        <v>2015</v>
      </c>
      <c r="D1890" t="s">
        <v>2016</v>
      </c>
      <c r="E1890" t="s">
        <v>39</v>
      </c>
      <c r="F1890" t="s">
        <v>124</v>
      </c>
      <c r="G1890" t="s">
        <v>57</v>
      </c>
      <c r="H1890" t="s">
        <v>104</v>
      </c>
      <c r="I1890" t="s">
        <v>105</v>
      </c>
      <c r="J1890">
        <v>1</v>
      </c>
      <c r="K1890">
        <v>7500</v>
      </c>
      <c r="L1890">
        <v>0.15</v>
      </c>
      <c r="M1890">
        <v>6375</v>
      </c>
      <c r="N1890">
        <v>5200</v>
      </c>
      <c r="O1890">
        <v>1175</v>
      </c>
    </row>
    <row r="1891" spans="1:15" x14ac:dyDescent="0.25">
      <c r="A1891" t="s">
        <v>2944</v>
      </c>
      <c r="B1891" s="2">
        <v>47547</v>
      </c>
      <c r="C1891" t="s">
        <v>340</v>
      </c>
      <c r="D1891" t="s">
        <v>341</v>
      </c>
      <c r="E1891" t="s">
        <v>39</v>
      </c>
      <c r="F1891" t="s">
        <v>76</v>
      </c>
      <c r="G1891" t="s">
        <v>57</v>
      </c>
      <c r="H1891" t="s">
        <v>104</v>
      </c>
      <c r="I1891" t="s">
        <v>105</v>
      </c>
      <c r="J1891">
        <v>3</v>
      </c>
      <c r="K1891">
        <v>7500</v>
      </c>
      <c r="L1891">
        <v>0</v>
      </c>
      <c r="M1891">
        <v>22500</v>
      </c>
      <c r="N1891">
        <v>15600</v>
      </c>
      <c r="O1891">
        <v>6900</v>
      </c>
    </row>
    <row r="1892" spans="1:15" x14ac:dyDescent="0.25">
      <c r="A1892" t="s">
        <v>2945</v>
      </c>
      <c r="B1892" s="2">
        <v>47548</v>
      </c>
      <c r="C1892" t="s">
        <v>1054</v>
      </c>
      <c r="D1892" t="s">
        <v>1055</v>
      </c>
      <c r="E1892" t="s">
        <v>96</v>
      </c>
      <c r="F1892" t="s">
        <v>97</v>
      </c>
      <c r="G1892" t="s">
        <v>51</v>
      </c>
      <c r="H1892" t="s">
        <v>21</v>
      </c>
      <c r="I1892" t="s">
        <v>72</v>
      </c>
      <c r="J1892">
        <v>5</v>
      </c>
      <c r="K1892">
        <v>1800</v>
      </c>
      <c r="L1892">
        <v>0.05</v>
      </c>
      <c r="M1892">
        <v>8550</v>
      </c>
      <c r="N1892">
        <v>5500</v>
      </c>
      <c r="O1892">
        <v>3050</v>
      </c>
    </row>
    <row r="1893" spans="1:15" x14ac:dyDescent="0.25">
      <c r="A1893" t="s">
        <v>2946</v>
      </c>
      <c r="B1893" s="2">
        <v>47549</v>
      </c>
      <c r="C1893" t="s">
        <v>2078</v>
      </c>
      <c r="D1893" t="s">
        <v>2079</v>
      </c>
      <c r="E1893" t="s">
        <v>26</v>
      </c>
      <c r="F1893" t="s">
        <v>34</v>
      </c>
      <c r="G1893" t="s">
        <v>28</v>
      </c>
      <c r="H1893" t="s">
        <v>29</v>
      </c>
      <c r="I1893" t="s">
        <v>35</v>
      </c>
      <c r="J1893">
        <v>5</v>
      </c>
      <c r="K1893">
        <v>4200</v>
      </c>
      <c r="L1893">
        <v>0.15</v>
      </c>
      <c r="M1893">
        <v>17850</v>
      </c>
      <c r="N1893">
        <v>14500</v>
      </c>
      <c r="O1893">
        <v>3350</v>
      </c>
    </row>
    <row r="1894" spans="1:15" x14ac:dyDescent="0.25">
      <c r="A1894" t="s">
        <v>2947</v>
      </c>
      <c r="B1894" s="2">
        <v>47550</v>
      </c>
      <c r="C1894" t="s">
        <v>186</v>
      </c>
      <c r="D1894" t="s">
        <v>187</v>
      </c>
      <c r="E1894" t="s">
        <v>96</v>
      </c>
      <c r="F1894" t="s">
        <v>196</v>
      </c>
      <c r="G1894" t="s">
        <v>20</v>
      </c>
      <c r="H1894" t="s">
        <v>41</v>
      </c>
      <c r="I1894" t="s">
        <v>42</v>
      </c>
      <c r="J1894">
        <v>1</v>
      </c>
      <c r="K1894">
        <v>520</v>
      </c>
      <c r="L1894">
        <v>0.15</v>
      </c>
      <c r="M1894">
        <v>442</v>
      </c>
      <c r="N1894">
        <v>330</v>
      </c>
      <c r="O1894">
        <v>112</v>
      </c>
    </row>
    <row r="1895" spans="1:15" x14ac:dyDescent="0.25">
      <c r="A1895" t="s">
        <v>2948</v>
      </c>
      <c r="B1895" s="2">
        <v>47551</v>
      </c>
      <c r="C1895" t="s">
        <v>1461</v>
      </c>
      <c r="D1895" t="s">
        <v>1462</v>
      </c>
      <c r="E1895" t="s">
        <v>26</v>
      </c>
      <c r="F1895" t="s">
        <v>204</v>
      </c>
      <c r="G1895" t="s">
        <v>57</v>
      </c>
      <c r="H1895" t="s">
        <v>58</v>
      </c>
      <c r="I1895" t="s">
        <v>59</v>
      </c>
      <c r="J1895">
        <v>1</v>
      </c>
      <c r="K1895">
        <v>5600</v>
      </c>
      <c r="L1895">
        <v>0.05</v>
      </c>
      <c r="M1895">
        <v>5320</v>
      </c>
      <c r="N1895">
        <v>3900</v>
      </c>
      <c r="O1895">
        <v>1420</v>
      </c>
    </row>
    <row r="1896" spans="1:15" x14ac:dyDescent="0.25">
      <c r="A1896" t="s">
        <v>2949</v>
      </c>
      <c r="B1896" s="2">
        <v>47552</v>
      </c>
      <c r="C1896" t="s">
        <v>1157</v>
      </c>
      <c r="D1896" t="s">
        <v>1158</v>
      </c>
      <c r="E1896" t="s">
        <v>96</v>
      </c>
      <c r="F1896" t="s">
        <v>196</v>
      </c>
      <c r="G1896" t="s">
        <v>20</v>
      </c>
      <c r="H1896" t="s">
        <v>21</v>
      </c>
      <c r="I1896" t="s">
        <v>22</v>
      </c>
      <c r="J1896">
        <v>3</v>
      </c>
      <c r="K1896">
        <v>650</v>
      </c>
      <c r="L1896">
        <v>0.1</v>
      </c>
      <c r="M1896">
        <v>1755</v>
      </c>
      <c r="N1896">
        <v>1170</v>
      </c>
      <c r="O1896">
        <v>585</v>
      </c>
    </row>
    <row r="1897" spans="1:15" x14ac:dyDescent="0.25">
      <c r="A1897" t="s">
        <v>2950</v>
      </c>
      <c r="B1897" s="2">
        <v>47553</v>
      </c>
      <c r="C1897" t="s">
        <v>235</v>
      </c>
      <c r="D1897" t="s">
        <v>236</v>
      </c>
      <c r="E1897" t="s">
        <v>18</v>
      </c>
      <c r="F1897" t="s">
        <v>227</v>
      </c>
      <c r="G1897" t="s">
        <v>20</v>
      </c>
      <c r="H1897" t="s">
        <v>84</v>
      </c>
      <c r="I1897" t="s">
        <v>210</v>
      </c>
      <c r="J1897">
        <v>3</v>
      </c>
      <c r="K1897">
        <v>300</v>
      </c>
      <c r="L1897">
        <v>0.2</v>
      </c>
      <c r="M1897">
        <v>720</v>
      </c>
      <c r="N1897">
        <v>510</v>
      </c>
      <c r="O1897">
        <v>210</v>
      </c>
    </row>
    <row r="1898" spans="1:15" x14ac:dyDescent="0.25">
      <c r="A1898" t="s">
        <v>2951</v>
      </c>
      <c r="B1898" s="2">
        <v>47554</v>
      </c>
      <c r="C1898" t="s">
        <v>538</v>
      </c>
      <c r="D1898" t="s">
        <v>539</v>
      </c>
      <c r="E1898" t="s">
        <v>26</v>
      </c>
      <c r="F1898" t="s">
        <v>46</v>
      </c>
      <c r="G1898" t="s">
        <v>51</v>
      </c>
      <c r="H1898" t="s">
        <v>21</v>
      </c>
      <c r="I1898" t="s">
        <v>80</v>
      </c>
      <c r="J1898">
        <v>3</v>
      </c>
      <c r="K1898">
        <v>850</v>
      </c>
      <c r="L1898">
        <v>0.15</v>
      </c>
      <c r="M1898">
        <v>2167.5</v>
      </c>
      <c r="N1898">
        <v>1680</v>
      </c>
      <c r="O1898">
        <v>487.5</v>
      </c>
    </row>
    <row r="1899" spans="1:15" x14ac:dyDescent="0.25">
      <c r="A1899" t="s">
        <v>2952</v>
      </c>
      <c r="B1899" s="2">
        <v>47555</v>
      </c>
      <c r="C1899" t="s">
        <v>262</v>
      </c>
      <c r="D1899" t="s">
        <v>263</v>
      </c>
      <c r="E1899" t="s">
        <v>39</v>
      </c>
      <c r="F1899" t="s">
        <v>71</v>
      </c>
      <c r="G1899" t="s">
        <v>20</v>
      </c>
      <c r="H1899" t="s">
        <v>84</v>
      </c>
      <c r="I1899" t="s">
        <v>85</v>
      </c>
      <c r="J1899">
        <v>4</v>
      </c>
      <c r="K1899">
        <v>280</v>
      </c>
      <c r="L1899">
        <v>0.25</v>
      </c>
      <c r="M1899">
        <v>840</v>
      </c>
      <c r="N1899">
        <v>640</v>
      </c>
      <c r="O1899">
        <v>200</v>
      </c>
    </row>
    <row r="1900" spans="1:15" x14ac:dyDescent="0.25">
      <c r="A1900" t="s">
        <v>2953</v>
      </c>
      <c r="B1900" s="2">
        <v>47556</v>
      </c>
      <c r="C1900" t="s">
        <v>2457</v>
      </c>
      <c r="D1900" t="s">
        <v>2458</v>
      </c>
      <c r="E1900" t="s">
        <v>26</v>
      </c>
      <c r="F1900" t="s">
        <v>46</v>
      </c>
      <c r="G1900" t="s">
        <v>57</v>
      </c>
      <c r="H1900" t="s">
        <v>104</v>
      </c>
      <c r="I1900" t="s">
        <v>105</v>
      </c>
      <c r="J1900">
        <v>1</v>
      </c>
      <c r="K1900">
        <v>7500</v>
      </c>
      <c r="L1900">
        <v>0.15</v>
      </c>
      <c r="M1900">
        <v>6375</v>
      </c>
      <c r="N1900">
        <v>5200</v>
      </c>
      <c r="O1900">
        <v>1175</v>
      </c>
    </row>
    <row r="1901" spans="1:15" x14ac:dyDescent="0.25">
      <c r="A1901" t="s">
        <v>2954</v>
      </c>
      <c r="B1901" s="2">
        <v>47557</v>
      </c>
      <c r="C1901" t="s">
        <v>896</v>
      </c>
      <c r="D1901" t="s">
        <v>897</v>
      </c>
      <c r="E1901" t="s">
        <v>96</v>
      </c>
      <c r="F1901" t="s">
        <v>97</v>
      </c>
      <c r="G1901" t="s">
        <v>28</v>
      </c>
      <c r="H1901" t="s">
        <v>29</v>
      </c>
      <c r="I1901" t="s">
        <v>35</v>
      </c>
      <c r="J1901">
        <v>4</v>
      </c>
      <c r="K1901">
        <v>4200</v>
      </c>
      <c r="L1901">
        <v>0.15</v>
      </c>
      <c r="M1901">
        <v>14280</v>
      </c>
      <c r="N1901">
        <v>11600</v>
      </c>
      <c r="O1901">
        <v>2680</v>
      </c>
    </row>
    <row r="1902" spans="1:15" x14ac:dyDescent="0.25">
      <c r="A1902" t="s">
        <v>2955</v>
      </c>
      <c r="B1902" s="2">
        <v>47558</v>
      </c>
      <c r="C1902" t="s">
        <v>887</v>
      </c>
      <c r="D1902" t="s">
        <v>888</v>
      </c>
      <c r="E1902" t="s">
        <v>26</v>
      </c>
      <c r="F1902" t="s">
        <v>27</v>
      </c>
      <c r="G1902" t="s">
        <v>51</v>
      </c>
      <c r="H1902" t="s">
        <v>52</v>
      </c>
      <c r="I1902" t="s">
        <v>208</v>
      </c>
      <c r="J1902">
        <v>4</v>
      </c>
      <c r="K1902">
        <v>2800</v>
      </c>
      <c r="L1902">
        <v>0</v>
      </c>
      <c r="M1902">
        <v>11200</v>
      </c>
      <c r="N1902">
        <v>7200</v>
      </c>
      <c r="O1902">
        <v>4000</v>
      </c>
    </row>
    <row r="1903" spans="1:15" x14ac:dyDescent="0.25">
      <c r="A1903" t="s">
        <v>2956</v>
      </c>
      <c r="B1903" s="2">
        <v>47559</v>
      </c>
      <c r="C1903" t="s">
        <v>1734</v>
      </c>
      <c r="D1903" t="s">
        <v>1735</v>
      </c>
      <c r="E1903" t="s">
        <v>26</v>
      </c>
      <c r="F1903" t="s">
        <v>27</v>
      </c>
      <c r="G1903" t="s">
        <v>28</v>
      </c>
      <c r="H1903" t="s">
        <v>29</v>
      </c>
      <c r="I1903" t="s">
        <v>30</v>
      </c>
      <c r="J1903">
        <v>1</v>
      </c>
      <c r="K1903">
        <v>1900</v>
      </c>
      <c r="L1903">
        <v>0.2</v>
      </c>
      <c r="M1903">
        <v>1520</v>
      </c>
      <c r="N1903">
        <v>1250</v>
      </c>
      <c r="O1903">
        <v>270</v>
      </c>
    </row>
    <row r="1904" spans="1:15" x14ac:dyDescent="0.25">
      <c r="A1904" t="s">
        <v>2957</v>
      </c>
      <c r="B1904" s="2">
        <v>47560</v>
      </c>
      <c r="C1904" t="s">
        <v>1349</v>
      </c>
      <c r="D1904" t="s">
        <v>1350</v>
      </c>
      <c r="E1904" t="s">
        <v>26</v>
      </c>
      <c r="F1904" t="s">
        <v>204</v>
      </c>
      <c r="G1904" t="s">
        <v>57</v>
      </c>
      <c r="H1904" t="s">
        <v>104</v>
      </c>
      <c r="I1904" t="s">
        <v>105</v>
      </c>
      <c r="J1904">
        <v>4</v>
      </c>
      <c r="K1904">
        <v>7500</v>
      </c>
      <c r="L1904">
        <v>0.05</v>
      </c>
      <c r="M1904">
        <v>28500</v>
      </c>
      <c r="N1904">
        <v>20800</v>
      </c>
      <c r="O1904">
        <v>7700</v>
      </c>
    </row>
    <row r="1905" spans="1:15" x14ac:dyDescent="0.25">
      <c r="A1905" t="s">
        <v>2958</v>
      </c>
      <c r="B1905" s="2">
        <v>47561</v>
      </c>
      <c r="C1905" t="s">
        <v>519</v>
      </c>
      <c r="D1905" t="s">
        <v>520</v>
      </c>
      <c r="E1905" t="s">
        <v>96</v>
      </c>
      <c r="F1905" t="s">
        <v>97</v>
      </c>
      <c r="G1905" t="s">
        <v>28</v>
      </c>
      <c r="H1905" t="s">
        <v>29</v>
      </c>
      <c r="I1905" t="s">
        <v>35</v>
      </c>
      <c r="J1905">
        <v>4</v>
      </c>
      <c r="K1905">
        <v>4200</v>
      </c>
      <c r="L1905">
        <v>0</v>
      </c>
      <c r="M1905">
        <v>16800</v>
      </c>
      <c r="N1905">
        <v>11600</v>
      </c>
      <c r="O1905">
        <v>5200</v>
      </c>
    </row>
    <row r="1906" spans="1:15" x14ac:dyDescent="0.25">
      <c r="A1906" t="s">
        <v>2959</v>
      </c>
      <c r="B1906" s="2">
        <v>47562</v>
      </c>
      <c r="C1906" t="s">
        <v>1734</v>
      </c>
      <c r="D1906" t="s">
        <v>1735</v>
      </c>
      <c r="E1906" t="s">
        <v>96</v>
      </c>
      <c r="F1906" t="s">
        <v>120</v>
      </c>
      <c r="G1906" t="s">
        <v>28</v>
      </c>
      <c r="H1906" t="s">
        <v>63</v>
      </c>
      <c r="I1906" t="s">
        <v>64</v>
      </c>
      <c r="J1906">
        <v>2</v>
      </c>
      <c r="K1906">
        <v>2400</v>
      </c>
      <c r="L1906">
        <v>0.1</v>
      </c>
      <c r="M1906">
        <v>4320</v>
      </c>
      <c r="N1906">
        <v>3300</v>
      </c>
      <c r="O1906">
        <v>1020</v>
      </c>
    </row>
    <row r="1907" spans="1:15" x14ac:dyDescent="0.25">
      <c r="A1907" t="s">
        <v>2960</v>
      </c>
      <c r="B1907" s="2">
        <v>47563</v>
      </c>
      <c r="C1907" t="s">
        <v>1003</v>
      </c>
      <c r="D1907" t="s">
        <v>1004</v>
      </c>
      <c r="E1907" t="s">
        <v>96</v>
      </c>
      <c r="F1907" t="s">
        <v>200</v>
      </c>
      <c r="G1907" t="s">
        <v>20</v>
      </c>
      <c r="H1907" t="s">
        <v>41</v>
      </c>
      <c r="I1907" t="s">
        <v>42</v>
      </c>
      <c r="J1907">
        <v>5</v>
      </c>
      <c r="K1907">
        <v>520</v>
      </c>
      <c r="L1907">
        <v>0.1</v>
      </c>
      <c r="M1907">
        <v>2340</v>
      </c>
      <c r="N1907">
        <v>1650</v>
      </c>
      <c r="O1907">
        <v>690</v>
      </c>
    </row>
    <row r="1908" spans="1:15" x14ac:dyDescent="0.25">
      <c r="A1908" t="s">
        <v>2961</v>
      </c>
      <c r="B1908" s="2">
        <v>47564</v>
      </c>
      <c r="C1908" t="s">
        <v>2019</v>
      </c>
      <c r="D1908" t="s">
        <v>2020</v>
      </c>
      <c r="E1908" t="s">
        <v>26</v>
      </c>
      <c r="F1908" t="s">
        <v>46</v>
      </c>
      <c r="G1908" t="s">
        <v>51</v>
      </c>
      <c r="H1908" t="s">
        <v>52</v>
      </c>
      <c r="I1908" t="s">
        <v>208</v>
      </c>
      <c r="J1908">
        <v>3</v>
      </c>
      <c r="K1908">
        <v>2800</v>
      </c>
      <c r="L1908">
        <v>0.1</v>
      </c>
      <c r="M1908">
        <v>7560</v>
      </c>
      <c r="N1908">
        <v>5400</v>
      </c>
      <c r="O1908">
        <v>2160</v>
      </c>
    </row>
    <row r="1909" spans="1:15" x14ac:dyDescent="0.25">
      <c r="A1909" t="s">
        <v>2962</v>
      </c>
      <c r="B1909" s="2">
        <v>47565</v>
      </c>
      <c r="C1909" t="s">
        <v>1246</v>
      </c>
      <c r="D1909" t="s">
        <v>1247</v>
      </c>
      <c r="E1909" t="s">
        <v>96</v>
      </c>
      <c r="F1909" t="s">
        <v>200</v>
      </c>
      <c r="G1909" t="s">
        <v>51</v>
      </c>
      <c r="H1909" t="s">
        <v>21</v>
      </c>
      <c r="I1909" t="s">
        <v>80</v>
      </c>
      <c r="J1909">
        <v>4</v>
      </c>
      <c r="K1909">
        <v>850</v>
      </c>
      <c r="L1909">
        <v>0.1</v>
      </c>
      <c r="M1909">
        <v>3060</v>
      </c>
      <c r="N1909">
        <v>2240</v>
      </c>
      <c r="O1909">
        <v>820</v>
      </c>
    </row>
    <row r="1910" spans="1:15" x14ac:dyDescent="0.25">
      <c r="A1910" t="s">
        <v>2963</v>
      </c>
      <c r="B1910" s="2">
        <v>47566</v>
      </c>
      <c r="C1910" t="s">
        <v>2136</v>
      </c>
      <c r="D1910" t="s">
        <v>2137</v>
      </c>
      <c r="E1910" t="s">
        <v>39</v>
      </c>
      <c r="F1910" t="s">
        <v>71</v>
      </c>
      <c r="G1910" t="s">
        <v>51</v>
      </c>
      <c r="H1910" t="s">
        <v>21</v>
      </c>
      <c r="I1910" t="s">
        <v>116</v>
      </c>
      <c r="J1910">
        <v>2</v>
      </c>
      <c r="K1910">
        <v>1400</v>
      </c>
      <c r="L1910">
        <v>0.05</v>
      </c>
      <c r="M1910">
        <v>2660</v>
      </c>
      <c r="N1910">
        <v>1800</v>
      </c>
      <c r="O1910">
        <v>860</v>
      </c>
    </row>
    <row r="1911" spans="1:15" x14ac:dyDescent="0.25">
      <c r="A1911" t="s">
        <v>2964</v>
      </c>
      <c r="B1911" s="2">
        <v>47567</v>
      </c>
      <c r="C1911" t="s">
        <v>640</v>
      </c>
      <c r="D1911" t="s">
        <v>641</v>
      </c>
      <c r="E1911" t="s">
        <v>96</v>
      </c>
      <c r="F1911" t="s">
        <v>196</v>
      </c>
      <c r="G1911" t="s">
        <v>28</v>
      </c>
      <c r="H1911" t="s">
        <v>29</v>
      </c>
      <c r="I1911" t="s">
        <v>47</v>
      </c>
      <c r="J1911">
        <v>5</v>
      </c>
      <c r="K1911">
        <v>6800</v>
      </c>
      <c r="L1911">
        <v>0.05</v>
      </c>
      <c r="M1911">
        <v>32300</v>
      </c>
      <c r="N1911">
        <v>23500</v>
      </c>
      <c r="O1911">
        <v>8800</v>
      </c>
    </row>
    <row r="1912" spans="1:15" x14ac:dyDescent="0.25">
      <c r="A1912" t="s">
        <v>2965</v>
      </c>
      <c r="B1912" s="2">
        <v>47568</v>
      </c>
      <c r="C1912" t="s">
        <v>248</v>
      </c>
      <c r="D1912" t="s">
        <v>249</v>
      </c>
      <c r="E1912" t="s">
        <v>26</v>
      </c>
      <c r="F1912" t="s">
        <v>46</v>
      </c>
      <c r="G1912" t="s">
        <v>51</v>
      </c>
      <c r="H1912" t="s">
        <v>52</v>
      </c>
      <c r="I1912" t="s">
        <v>208</v>
      </c>
      <c r="J1912">
        <v>3</v>
      </c>
      <c r="K1912">
        <v>2800</v>
      </c>
      <c r="L1912">
        <v>0.05</v>
      </c>
      <c r="M1912">
        <v>7980</v>
      </c>
      <c r="N1912">
        <v>5400</v>
      </c>
      <c r="O1912">
        <v>2580</v>
      </c>
    </row>
    <row r="1913" spans="1:15" x14ac:dyDescent="0.25">
      <c r="A1913" t="s">
        <v>2966</v>
      </c>
      <c r="B1913" s="2">
        <v>47569</v>
      </c>
      <c r="C1913" t="s">
        <v>1620</v>
      </c>
      <c r="D1913" t="s">
        <v>1621</v>
      </c>
      <c r="E1913" t="s">
        <v>26</v>
      </c>
      <c r="F1913" t="s">
        <v>27</v>
      </c>
      <c r="G1913" t="s">
        <v>28</v>
      </c>
      <c r="H1913" t="s">
        <v>29</v>
      </c>
      <c r="I1913" t="s">
        <v>35</v>
      </c>
      <c r="J1913">
        <v>1</v>
      </c>
      <c r="K1913">
        <v>4200</v>
      </c>
      <c r="L1913">
        <v>0</v>
      </c>
      <c r="M1913">
        <v>4200</v>
      </c>
      <c r="N1913">
        <v>2900</v>
      </c>
      <c r="O1913">
        <v>1300</v>
      </c>
    </row>
    <row r="1914" spans="1:15" x14ac:dyDescent="0.25">
      <c r="A1914" t="s">
        <v>2967</v>
      </c>
      <c r="B1914" s="2">
        <v>47570</v>
      </c>
      <c r="C1914" t="s">
        <v>1720</v>
      </c>
      <c r="D1914" t="s">
        <v>1721</v>
      </c>
      <c r="E1914" t="s">
        <v>96</v>
      </c>
      <c r="F1914" t="s">
        <v>97</v>
      </c>
      <c r="G1914" t="s">
        <v>20</v>
      </c>
      <c r="H1914" t="s">
        <v>84</v>
      </c>
      <c r="I1914" t="s">
        <v>210</v>
      </c>
      <c r="J1914">
        <v>1</v>
      </c>
      <c r="K1914">
        <v>300</v>
      </c>
      <c r="L1914">
        <v>0.15</v>
      </c>
      <c r="M1914">
        <v>255</v>
      </c>
      <c r="N1914">
        <v>170</v>
      </c>
      <c r="O1914">
        <v>85</v>
      </c>
    </row>
    <row r="1915" spans="1:15" x14ac:dyDescent="0.25">
      <c r="A1915" t="s">
        <v>2968</v>
      </c>
      <c r="B1915" s="2">
        <v>47571</v>
      </c>
      <c r="C1915" t="s">
        <v>2052</v>
      </c>
      <c r="D1915" t="s">
        <v>2053</v>
      </c>
      <c r="E1915" t="s">
        <v>39</v>
      </c>
      <c r="F1915" t="s">
        <v>40</v>
      </c>
      <c r="G1915" t="s">
        <v>51</v>
      </c>
      <c r="H1915" t="s">
        <v>52</v>
      </c>
      <c r="I1915" t="s">
        <v>53</v>
      </c>
      <c r="J1915">
        <v>3</v>
      </c>
      <c r="K1915">
        <v>2200</v>
      </c>
      <c r="L1915">
        <v>0</v>
      </c>
      <c r="M1915">
        <v>6600</v>
      </c>
      <c r="N1915">
        <v>4350</v>
      </c>
      <c r="O1915">
        <v>2250</v>
      </c>
    </row>
    <row r="1916" spans="1:15" x14ac:dyDescent="0.25">
      <c r="A1916" t="s">
        <v>2969</v>
      </c>
      <c r="B1916" s="2">
        <v>47572</v>
      </c>
      <c r="C1916" t="s">
        <v>1869</v>
      </c>
      <c r="D1916" t="s">
        <v>1870</v>
      </c>
      <c r="E1916" t="s">
        <v>39</v>
      </c>
      <c r="F1916" t="s">
        <v>76</v>
      </c>
      <c r="G1916" t="s">
        <v>57</v>
      </c>
      <c r="H1916" t="s">
        <v>104</v>
      </c>
      <c r="I1916" t="s">
        <v>105</v>
      </c>
      <c r="J1916">
        <v>4</v>
      </c>
      <c r="K1916">
        <v>7500</v>
      </c>
      <c r="L1916">
        <v>0.05</v>
      </c>
      <c r="M1916">
        <v>28500</v>
      </c>
      <c r="N1916">
        <v>20800</v>
      </c>
      <c r="O1916">
        <v>7700</v>
      </c>
    </row>
    <row r="1917" spans="1:15" x14ac:dyDescent="0.25">
      <c r="A1917" t="s">
        <v>2970</v>
      </c>
      <c r="B1917" s="2">
        <v>47573</v>
      </c>
      <c r="C1917" t="s">
        <v>2356</v>
      </c>
      <c r="D1917" t="s">
        <v>2357</v>
      </c>
      <c r="E1917" t="s">
        <v>96</v>
      </c>
      <c r="F1917" t="s">
        <v>120</v>
      </c>
      <c r="G1917" t="s">
        <v>57</v>
      </c>
      <c r="H1917" t="s">
        <v>188</v>
      </c>
      <c r="I1917" t="s">
        <v>189</v>
      </c>
      <c r="J1917">
        <v>4</v>
      </c>
      <c r="K1917">
        <v>6200</v>
      </c>
      <c r="L1917">
        <v>0.2</v>
      </c>
      <c r="M1917">
        <v>19840</v>
      </c>
      <c r="N1917">
        <v>17200</v>
      </c>
      <c r="O1917">
        <v>2640</v>
      </c>
    </row>
    <row r="1918" spans="1:15" x14ac:dyDescent="0.25">
      <c r="A1918" t="s">
        <v>2971</v>
      </c>
      <c r="B1918" s="2">
        <v>47574</v>
      </c>
      <c r="C1918" t="s">
        <v>427</v>
      </c>
      <c r="D1918" t="s">
        <v>428</v>
      </c>
      <c r="E1918" t="s">
        <v>18</v>
      </c>
      <c r="F1918" t="s">
        <v>227</v>
      </c>
      <c r="G1918" t="s">
        <v>28</v>
      </c>
      <c r="H1918" t="s">
        <v>29</v>
      </c>
      <c r="I1918" t="s">
        <v>47</v>
      </c>
      <c r="J1918">
        <v>3</v>
      </c>
      <c r="K1918">
        <v>6800</v>
      </c>
      <c r="L1918">
        <v>0</v>
      </c>
      <c r="M1918">
        <v>20400</v>
      </c>
      <c r="N1918">
        <v>14100</v>
      </c>
      <c r="O1918">
        <v>6300</v>
      </c>
    </row>
    <row r="1919" spans="1:15" x14ac:dyDescent="0.25">
      <c r="A1919" t="s">
        <v>2972</v>
      </c>
      <c r="B1919" s="2">
        <v>47575</v>
      </c>
      <c r="C1919" t="s">
        <v>619</v>
      </c>
      <c r="D1919" t="s">
        <v>620</v>
      </c>
      <c r="E1919" t="s">
        <v>18</v>
      </c>
      <c r="F1919" t="s">
        <v>227</v>
      </c>
      <c r="G1919" t="s">
        <v>51</v>
      </c>
      <c r="H1919" t="s">
        <v>52</v>
      </c>
      <c r="I1919" t="s">
        <v>53</v>
      </c>
      <c r="J1919">
        <v>1</v>
      </c>
      <c r="K1919">
        <v>2200</v>
      </c>
      <c r="L1919">
        <v>0.15</v>
      </c>
      <c r="M1919">
        <v>1870</v>
      </c>
      <c r="N1919">
        <v>1450</v>
      </c>
      <c r="O1919">
        <v>420</v>
      </c>
    </row>
    <row r="1920" spans="1:15" x14ac:dyDescent="0.25">
      <c r="A1920" t="s">
        <v>2973</v>
      </c>
      <c r="B1920" s="2">
        <v>47576</v>
      </c>
      <c r="C1920" t="s">
        <v>775</v>
      </c>
      <c r="D1920" t="s">
        <v>776</v>
      </c>
      <c r="E1920" t="s">
        <v>26</v>
      </c>
      <c r="F1920" t="s">
        <v>46</v>
      </c>
      <c r="G1920" t="s">
        <v>20</v>
      </c>
      <c r="H1920" t="s">
        <v>21</v>
      </c>
      <c r="I1920" t="s">
        <v>22</v>
      </c>
      <c r="J1920">
        <v>3</v>
      </c>
      <c r="K1920">
        <v>650</v>
      </c>
      <c r="L1920">
        <v>0.15</v>
      </c>
      <c r="M1920">
        <v>1657.5</v>
      </c>
      <c r="N1920">
        <v>1170</v>
      </c>
      <c r="O1920">
        <v>487.5</v>
      </c>
    </row>
    <row r="1921" spans="1:15" x14ac:dyDescent="0.25">
      <c r="A1921" t="s">
        <v>2974</v>
      </c>
      <c r="B1921" s="2">
        <v>47577</v>
      </c>
      <c r="C1921" t="s">
        <v>1556</v>
      </c>
      <c r="D1921" t="s">
        <v>1557</v>
      </c>
      <c r="E1921" t="s">
        <v>18</v>
      </c>
      <c r="F1921" t="s">
        <v>94</v>
      </c>
      <c r="G1921" t="s">
        <v>20</v>
      </c>
      <c r="H1921" t="s">
        <v>84</v>
      </c>
      <c r="I1921" t="s">
        <v>85</v>
      </c>
      <c r="J1921">
        <v>2</v>
      </c>
      <c r="K1921">
        <v>280</v>
      </c>
      <c r="L1921">
        <v>0.05</v>
      </c>
      <c r="M1921">
        <v>532</v>
      </c>
      <c r="N1921">
        <v>320</v>
      </c>
      <c r="O1921">
        <v>212</v>
      </c>
    </row>
    <row r="1922" spans="1:15" x14ac:dyDescent="0.25">
      <c r="A1922" t="s">
        <v>2975</v>
      </c>
      <c r="B1922" s="2">
        <v>47578</v>
      </c>
      <c r="C1922" t="s">
        <v>784</v>
      </c>
      <c r="D1922" t="s">
        <v>785</v>
      </c>
      <c r="E1922" t="s">
        <v>26</v>
      </c>
      <c r="F1922" t="s">
        <v>46</v>
      </c>
      <c r="G1922" t="s">
        <v>51</v>
      </c>
      <c r="H1922" t="s">
        <v>89</v>
      </c>
      <c r="I1922" t="s">
        <v>90</v>
      </c>
      <c r="J1922">
        <v>4</v>
      </c>
      <c r="K1922">
        <v>10500</v>
      </c>
      <c r="L1922">
        <v>0.15</v>
      </c>
      <c r="M1922">
        <v>35700</v>
      </c>
      <c r="N1922">
        <v>30400</v>
      </c>
      <c r="O1922">
        <v>5300</v>
      </c>
    </row>
    <row r="1923" spans="1:15" x14ac:dyDescent="0.25">
      <c r="A1923" t="s">
        <v>2976</v>
      </c>
      <c r="B1923" s="2">
        <v>47579</v>
      </c>
      <c r="C1923" t="s">
        <v>1442</v>
      </c>
      <c r="D1923" t="s">
        <v>1443</v>
      </c>
      <c r="E1923" t="s">
        <v>26</v>
      </c>
      <c r="F1923" t="s">
        <v>128</v>
      </c>
      <c r="G1923" t="s">
        <v>57</v>
      </c>
      <c r="H1923" t="s">
        <v>58</v>
      </c>
      <c r="I1923" t="s">
        <v>129</v>
      </c>
      <c r="J1923">
        <v>2</v>
      </c>
      <c r="K1923">
        <v>4800</v>
      </c>
      <c r="L1923">
        <v>0.15</v>
      </c>
      <c r="M1923">
        <v>8160</v>
      </c>
      <c r="N1923">
        <v>6600</v>
      </c>
      <c r="O1923">
        <v>1560</v>
      </c>
    </row>
    <row r="1924" spans="1:15" x14ac:dyDescent="0.25">
      <c r="A1924" t="s">
        <v>2977</v>
      </c>
      <c r="B1924" s="2">
        <v>47580</v>
      </c>
      <c r="C1924" t="s">
        <v>647</v>
      </c>
      <c r="D1924" t="s">
        <v>648</v>
      </c>
      <c r="E1924" t="s">
        <v>26</v>
      </c>
      <c r="F1924" t="s">
        <v>46</v>
      </c>
      <c r="G1924" t="s">
        <v>57</v>
      </c>
      <c r="H1924" t="s">
        <v>58</v>
      </c>
      <c r="I1924" t="s">
        <v>59</v>
      </c>
      <c r="J1924">
        <v>5</v>
      </c>
      <c r="K1924">
        <v>5600</v>
      </c>
      <c r="L1924">
        <v>0.1</v>
      </c>
      <c r="M1924">
        <v>25200</v>
      </c>
      <c r="N1924">
        <v>19500</v>
      </c>
      <c r="O1924">
        <v>5700</v>
      </c>
    </row>
    <row r="1925" spans="1:15" x14ac:dyDescent="0.25">
      <c r="A1925" t="s">
        <v>2978</v>
      </c>
      <c r="B1925" s="2">
        <v>47581</v>
      </c>
      <c r="C1925" t="s">
        <v>2078</v>
      </c>
      <c r="D1925" t="s">
        <v>2079</v>
      </c>
      <c r="E1925" t="s">
        <v>96</v>
      </c>
      <c r="F1925" t="s">
        <v>200</v>
      </c>
      <c r="G1925" t="s">
        <v>20</v>
      </c>
      <c r="H1925" t="s">
        <v>84</v>
      </c>
      <c r="I1925" t="s">
        <v>85</v>
      </c>
      <c r="J1925">
        <v>1</v>
      </c>
      <c r="K1925">
        <v>280</v>
      </c>
      <c r="L1925">
        <v>0.1</v>
      </c>
      <c r="M1925">
        <v>252</v>
      </c>
      <c r="N1925">
        <v>160</v>
      </c>
      <c r="O1925">
        <v>92</v>
      </c>
    </row>
    <row r="1926" spans="1:15" x14ac:dyDescent="0.25">
      <c r="A1926" t="s">
        <v>2979</v>
      </c>
      <c r="B1926" s="2">
        <v>47582</v>
      </c>
      <c r="C1926" t="s">
        <v>868</v>
      </c>
      <c r="D1926" t="s">
        <v>869</v>
      </c>
      <c r="E1926" t="s">
        <v>26</v>
      </c>
      <c r="F1926" t="s">
        <v>27</v>
      </c>
      <c r="G1926" t="s">
        <v>28</v>
      </c>
      <c r="H1926" t="s">
        <v>29</v>
      </c>
      <c r="I1926" t="s">
        <v>30</v>
      </c>
      <c r="J1926">
        <v>3</v>
      </c>
      <c r="K1926">
        <v>1900</v>
      </c>
      <c r="L1926">
        <v>0.1</v>
      </c>
      <c r="M1926">
        <v>5130</v>
      </c>
      <c r="N1926">
        <v>3750</v>
      </c>
      <c r="O1926">
        <v>1380</v>
      </c>
    </row>
    <row r="1927" spans="1:15" x14ac:dyDescent="0.25">
      <c r="A1927" t="s">
        <v>2980</v>
      </c>
      <c r="B1927" s="2">
        <v>47583</v>
      </c>
      <c r="C1927" t="s">
        <v>619</v>
      </c>
      <c r="D1927" t="s">
        <v>620</v>
      </c>
      <c r="E1927" t="s">
        <v>26</v>
      </c>
      <c r="F1927" t="s">
        <v>128</v>
      </c>
      <c r="G1927" t="s">
        <v>20</v>
      </c>
      <c r="H1927" t="s">
        <v>84</v>
      </c>
      <c r="I1927" t="s">
        <v>169</v>
      </c>
      <c r="J1927">
        <v>1</v>
      </c>
      <c r="K1927">
        <v>450</v>
      </c>
      <c r="L1927">
        <v>0.2</v>
      </c>
      <c r="M1927">
        <v>360</v>
      </c>
      <c r="N1927">
        <v>260</v>
      </c>
      <c r="O1927">
        <v>100</v>
      </c>
    </row>
    <row r="1928" spans="1:15" x14ac:dyDescent="0.25">
      <c r="A1928" t="s">
        <v>2981</v>
      </c>
      <c r="B1928" s="2">
        <v>47584</v>
      </c>
      <c r="C1928" t="s">
        <v>790</v>
      </c>
      <c r="D1928" t="s">
        <v>791</v>
      </c>
      <c r="E1928" t="s">
        <v>26</v>
      </c>
      <c r="F1928" t="s">
        <v>204</v>
      </c>
      <c r="G1928" t="s">
        <v>51</v>
      </c>
      <c r="H1928" t="s">
        <v>21</v>
      </c>
      <c r="I1928" t="s">
        <v>72</v>
      </c>
      <c r="J1928">
        <v>5</v>
      </c>
      <c r="K1928">
        <v>1800</v>
      </c>
      <c r="L1928">
        <v>0</v>
      </c>
      <c r="M1928">
        <v>9000</v>
      </c>
      <c r="N1928">
        <v>5500</v>
      </c>
      <c r="O1928">
        <v>3500</v>
      </c>
    </row>
    <row r="1929" spans="1:15" x14ac:dyDescent="0.25">
      <c r="A1929" t="s">
        <v>2982</v>
      </c>
      <c r="B1929" s="2">
        <v>47585</v>
      </c>
      <c r="C1929" t="s">
        <v>256</v>
      </c>
      <c r="D1929" t="s">
        <v>257</v>
      </c>
      <c r="E1929" t="s">
        <v>26</v>
      </c>
      <c r="F1929" t="s">
        <v>204</v>
      </c>
      <c r="G1929" t="s">
        <v>20</v>
      </c>
      <c r="H1929" t="s">
        <v>41</v>
      </c>
      <c r="I1929" t="s">
        <v>42</v>
      </c>
      <c r="J1929">
        <v>3</v>
      </c>
      <c r="K1929">
        <v>520</v>
      </c>
      <c r="L1929">
        <v>0</v>
      </c>
      <c r="M1929">
        <v>1560</v>
      </c>
      <c r="N1929">
        <v>990</v>
      </c>
      <c r="O1929">
        <v>570</v>
      </c>
    </row>
    <row r="1930" spans="1:15" x14ac:dyDescent="0.25">
      <c r="A1930" t="s">
        <v>2983</v>
      </c>
      <c r="B1930" s="2">
        <v>47586</v>
      </c>
      <c r="C1930" t="s">
        <v>737</v>
      </c>
      <c r="D1930" t="s">
        <v>738</v>
      </c>
      <c r="E1930" t="s">
        <v>26</v>
      </c>
      <c r="F1930" t="s">
        <v>204</v>
      </c>
      <c r="G1930" t="s">
        <v>28</v>
      </c>
      <c r="H1930" t="s">
        <v>63</v>
      </c>
      <c r="I1930" t="s">
        <v>64</v>
      </c>
      <c r="J1930">
        <v>4</v>
      </c>
      <c r="K1930">
        <v>2400</v>
      </c>
      <c r="L1930">
        <v>0.05</v>
      </c>
      <c r="M1930">
        <v>9120</v>
      </c>
      <c r="N1930">
        <v>6600</v>
      </c>
      <c r="O1930">
        <v>2520</v>
      </c>
    </row>
    <row r="1931" spans="1:15" x14ac:dyDescent="0.25">
      <c r="A1931" t="s">
        <v>2984</v>
      </c>
      <c r="B1931" s="2">
        <v>47587</v>
      </c>
      <c r="C1931" t="s">
        <v>2326</v>
      </c>
      <c r="D1931" t="s">
        <v>2327</v>
      </c>
      <c r="E1931" t="s">
        <v>96</v>
      </c>
      <c r="F1931" t="s">
        <v>200</v>
      </c>
      <c r="G1931" t="s">
        <v>51</v>
      </c>
      <c r="H1931" t="s">
        <v>21</v>
      </c>
      <c r="I1931" t="s">
        <v>72</v>
      </c>
      <c r="J1931">
        <v>2</v>
      </c>
      <c r="K1931">
        <v>1800</v>
      </c>
      <c r="L1931">
        <v>0.05</v>
      </c>
      <c r="M1931">
        <v>3420</v>
      </c>
      <c r="N1931">
        <v>2200</v>
      </c>
      <c r="O1931">
        <v>1220</v>
      </c>
    </row>
    <row r="1932" spans="1:15" x14ac:dyDescent="0.25">
      <c r="A1932" t="s">
        <v>2985</v>
      </c>
      <c r="B1932" s="2">
        <v>47588</v>
      </c>
      <c r="C1932" t="s">
        <v>447</v>
      </c>
      <c r="D1932" t="s">
        <v>448</v>
      </c>
      <c r="E1932" t="s">
        <v>96</v>
      </c>
      <c r="F1932" t="s">
        <v>120</v>
      </c>
      <c r="G1932" t="s">
        <v>20</v>
      </c>
      <c r="H1932" t="s">
        <v>84</v>
      </c>
      <c r="I1932" t="s">
        <v>169</v>
      </c>
      <c r="J1932">
        <v>4</v>
      </c>
      <c r="K1932">
        <v>450</v>
      </c>
      <c r="L1932">
        <v>0.1</v>
      </c>
      <c r="M1932">
        <v>1620</v>
      </c>
      <c r="N1932">
        <v>1040</v>
      </c>
      <c r="O1932">
        <v>580</v>
      </c>
    </row>
    <row r="1933" spans="1:15" x14ac:dyDescent="0.25">
      <c r="A1933" t="s">
        <v>2986</v>
      </c>
      <c r="B1933" s="2">
        <v>47589</v>
      </c>
      <c r="C1933" t="s">
        <v>926</v>
      </c>
      <c r="D1933" t="s">
        <v>927</v>
      </c>
      <c r="E1933" t="s">
        <v>39</v>
      </c>
      <c r="F1933" t="s">
        <v>71</v>
      </c>
      <c r="G1933" t="s">
        <v>57</v>
      </c>
      <c r="H1933" t="s">
        <v>58</v>
      </c>
      <c r="I1933" t="s">
        <v>129</v>
      </c>
      <c r="J1933">
        <v>2</v>
      </c>
      <c r="K1933">
        <v>4800</v>
      </c>
      <c r="L1933">
        <v>0.05</v>
      </c>
      <c r="M1933">
        <v>9120</v>
      </c>
      <c r="N1933">
        <v>6600</v>
      </c>
      <c r="O1933">
        <v>2520</v>
      </c>
    </row>
    <row r="1934" spans="1:15" x14ac:dyDescent="0.25">
      <c r="A1934" t="s">
        <v>2987</v>
      </c>
      <c r="B1934" s="2">
        <v>47590</v>
      </c>
      <c r="C1934" t="s">
        <v>2687</v>
      </c>
      <c r="D1934" t="s">
        <v>2688</v>
      </c>
      <c r="E1934" t="s">
        <v>96</v>
      </c>
      <c r="F1934" t="s">
        <v>196</v>
      </c>
      <c r="G1934" t="s">
        <v>20</v>
      </c>
      <c r="H1934" t="s">
        <v>84</v>
      </c>
      <c r="I1934" t="s">
        <v>85</v>
      </c>
      <c r="J1934">
        <v>3</v>
      </c>
      <c r="K1934">
        <v>280</v>
      </c>
      <c r="L1934">
        <v>0.05</v>
      </c>
      <c r="M1934">
        <v>798</v>
      </c>
      <c r="N1934">
        <v>480</v>
      </c>
      <c r="O1934">
        <v>318</v>
      </c>
    </row>
    <row r="1935" spans="1:15" x14ac:dyDescent="0.25">
      <c r="A1935" t="s">
        <v>2988</v>
      </c>
      <c r="B1935" s="2">
        <v>47591</v>
      </c>
      <c r="C1935" t="s">
        <v>747</v>
      </c>
      <c r="D1935" t="s">
        <v>748</v>
      </c>
      <c r="E1935" t="s">
        <v>18</v>
      </c>
      <c r="F1935" t="s">
        <v>94</v>
      </c>
      <c r="G1935" t="s">
        <v>20</v>
      </c>
      <c r="H1935" t="s">
        <v>41</v>
      </c>
      <c r="I1935" t="s">
        <v>42</v>
      </c>
      <c r="J1935">
        <v>3</v>
      </c>
      <c r="K1935">
        <v>520</v>
      </c>
      <c r="L1935">
        <v>0.05</v>
      </c>
      <c r="M1935">
        <v>1482</v>
      </c>
      <c r="N1935">
        <v>990</v>
      </c>
      <c r="O1935">
        <v>492</v>
      </c>
    </row>
    <row r="1936" spans="1:15" x14ac:dyDescent="0.25">
      <c r="A1936" t="s">
        <v>2989</v>
      </c>
      <c r="B1936" s="2">
        <v>47592</v>
      </c>
      <c r="C1936" t="s">
        <v>2457</v>
      </c>
      <c r="D1936" t="s">
        <v>2458</v>
      </c>
      <c r="E1936" t="s">
        <v>18</v>
      </c>
      <c r="F1936" t="s">
        <v>115</v>
      </c>
      <c r="G1936" t="s">
        <v>51</v>
      </c>
      <c r="H1936" t="s">
        <v>52</v>
      </c>
      <c r="I1936" t="s">
        <v>208</v>
      </c>
      <c r="J1936">
        <v>5</v>
      </c>
      <c r="K1936">
        <v>2800</v>
      </c>
      <c r="L1936">
        <v>0.1</v>
      </c>
      <c r="M1936">
        <v>12600</v>
      </c>
      <c r="N1936">
        <v>9000</v>
      </c>
      <c r="O1936">
        <v>3600</v>
      </c>
    </row>
    <row r="1937" spans="1:15" x14ac:dyDescent="0.25">
      <c r="A1937" t="s">
        <v>2990</v>
      </c>
      <c r="B1937" s="2">
        <v>47593</v>
      </c>
      <c r="C1937" t="s">
        <v>1626</v>
      </c>
      <c r="D1937" t="s">
        <v>1627</v>
      </c>
      <c r="E1937" t="s">
        <v>26</v>
      </c>
      <c r="F1937" t="s">
        <v>128</v>
      </c>
      <c r="G1937" t="s">
        <v>57</v>
      </c>
      <c r="H1937" t="s">
        <v>188</v>
      </c>
      <c r="I1937" t="s">
        <v>189</v>
      </c>
      <c r="J1937">
        <v>5</v>
      </c>
      <c r="K1937">
        <v>6200</v>
      </c>
      <c r="L1937">
        <v>0.1</v>
      </c>
      <c r="M1937">
        <v>27900</v>
      </c>
      <c r="N1937">
        <v>21500</v>
      </c>
      <c r="O1937">
        <v>6400</v>
      </c>
    </row>
    <row r="1938" spans="1:15" x14ac:dyDescent="0.25">
      <c r="A1938" t="s">
        <v>2991</v>
      </c>
      <c r="B1938" s="2">
        <v>47594</v>
      </c>
      <c r="C1938" t="s">
        <v>92</v>
      </c>
      <c r="D1938" t="s">
        <v>93</v>
      </c>
      <c r="E1938" t="s">
        <v>26</v>
      </c>
      <c r="F1938" t="s">
        <v>27</v>
      </c>
      <c r="G1938" t="s">
        <v>20</v>
      </c>
      <c r="H1938" t="s">
        <v>21</v>
      </c>
      <c r="I1938" t="s">
        <v>22</v>
      </c>
      <c r="J1938">
        <v>4</v>
      </c>
      <c r="K1938">
        <v>650</v>
      </c>
      <c r="L1938">
        <v>0.15</v>
      </c>
      <c r="M1938">
        <v>2210</v>
      </c>
      <c r="N1938">
        <v>1560</v>
      </c>
      <c r="O1938">
        <v>650</v>
      </c>
    </row>
    <row r="1939" spans="1:15" x14ac:dyDescent="0.25">
      <c r="A1939" t="s">
        <v>2992</v>
      </c>
      <c r="B1939" s="2">
        <v>47595</v>
      </c>
      <c r="C1939" t="s">
        <v>688</v>
      </c>
      <c r="D1939" t="s">
        <v>689</v>
      </c>
      <c r="E1939" t="s">
        <v>96</v>
      </c>
      <c r="F1939" t="s">
        <v>97</v>
      </c>
      <c r="G1939" t="s">
        <v>51</v>
      </c>
      <c r="H1939" t="s">
        <v>21</v>
      </c>
      <c r="I1939" t="s">
        <v>80</v>
      </c>
      <c r="J1939">
        <v>5</v>
      </c>
      <c r="K1939">
        <v>850</v>
      </c>
      <c r="L1939">
        <v>0.15</v>
      </c>
      <c r="M1939">
        <v>3612.5</v>
      </c>
      <c r="N1939">
        <v>2800</v>
      </c>
      <c r="O1939">
        <v>812.5</v>
      </c>
    </row>
    <row r="1940" spans="1:15" x14ac:dyDescent="0.25">
      <c r="A1940" t="s">
        <v>2993</v>
      </c>
      <c r="B1940" s="2">
        <v>47596</v>
      </c>
      <c r="C1940" t="s">
        <v>143</v>
      </c>
      <c r="D1940" t="s">
        <v>144</v>
      </c>
      <c r="E1940" t="s">
        <v>26</v>
      </c>
      <c r="F1940" t="s">
        <v>204</v>
      </c>
      <c r="G1940" t="s">
        <v>57</v>
      </c>
      <c r="H1940" t="s">
        <v>58</v>
      </c>
      <c r="I1940" t="s">
        <v>129</v>
      </c>
      <c r="J1940">
        <v>4</v>
      </c>
      <c r="K1940">
        <v>4800</v>
      </c>
      <c r="L1940">
        <v>0.2</v>
      </c>
      <c r="M1940">
        <v>15360</v>
      </c>
      <c r="N1940">
        <v>13200</v>
      </c>
      <c r="O1940">
        <v>2160</v>
      </c>
    </row>
    <row r="1941" spans="1:15" x14ac:dyDescent="0.25">
      <c r="A1941" t="s">
        <v>2994</v>
      </c>
      <c r="B1941" s="2">
        <v>47597</v>
      </c>
      <c r="C1941" t="s">
        <v>994</v>
      </c>
      <c r="D1941" t="s">
        <v>995</v>
      </c>
      <c r="E1941" t="s">
        <v>39</v>
      </c>
      <c r="F1941" t="s">
        <v>76</v>
      </c>
      <c r="G1941" t="s">
        <v>28</v>
      </c>
      <c r="H1941" t="s">
        <v>29</v>
      </c>
      <c r="I1941" t="s">
        <v>35</v>
      </c>
      <c r="J1941">
        <v>2</v>
      </c>
      <c r="K1941">
        <v>4200</v>
      </c>
      <c r="L1941">
        <v>0</v>
      </c>
      <c r="M1941">
        <v>8400</v>
      </c>
      <c r="N1941">
        <v>5800</v>
      </c>
      <c r="O1941">
        <v>2600</v>
      </c>
    </row>
    <row r="1942" spans="1:15" x14ac:dyDescent="0.25">
      <c r="A1942" t="s">
        <v>2995</v>
      </c>
      <c r="B1942" s="2">
        <v>47598</v>
      </c>
      <c r="C1942" t="s">
        <v>1809</v>
      </c>
      <c r="D1942" t="s">
        <v>1810</v>
      </c>
      <c r="E1942" t="s">
        <v>26</v>
      </c>
      <c r="F1942" t="s">
        <v>34</v>
      </c>
      <c r="G1942" t="s">
        <v>51</v>
      </c>
      <c r="H1942" t="s">
        <v>21</v>
      </c>
      <c r="I1942" t="s">
        <v>116</v>
      </c>
      <c r="J1942">
        <v>3</v>
      </c>
      <c r="K1942">
        <v>1400</v>
      </c>
      <c r="L1942">
        <v>0.2</v>
      </c>
      <c r="M1942">
        <v>3360</v>
      </c>
      <c r="N1942">
        <v>2700</v>
      </c>
      <c r="O1942">
        <v>660</v>
      </c>
    </row>
    <row r="1943" spans="1:15" x14ac:dyDescent="0.25">
      <c r="A1943" t="s">
        <v>2996</v>
      </c>
      <c r="B1943" s="2">
        <v>47599</v>
      </c>
      <c r="C1943" t="s">
        <v>1809</v>
      </c>
      <c r="D1943" t="s">
        <v>1810</v>
      </c>
      <c r="E1943" t="s">
        <v>26</v>
      </c>
      <c r="F1943" t="s">
        <v>34</v>
      </c>
      <c r="G1943" t="s">
        <v>57</v>
      </c>
      <c r="H1943" t="s">
        <v>58</v>
      </c>
      <c r="I1943" t="s">
        <v>59</v>
      </c>
      <c r="J1943">
        <v>2</v>
      </c>
      <c r="K1943">
        <v>5600</v>
      </c>
      <c r="L1943">
        <v>0.15</v>
      </c>
      <c r="M1943">
        <v>9520</v>
      </c>
      <c r="N1943">
        <v>7800</v>
      </c>
      <c r="O1943">
        <v>1720</v>
      </c>
    </row>
    <row r="1944" spans="1:15" x14ac:dyDescent="0.25">
      <c r="A1944" t="s">
        <v>2997</v>
      </c>
      <c r="B1944" s="2">
        <v>47600</v>
      </c>
      <c r="C1944" t="s">
        <v>1349</v>
      </c>
      <c r="D1944" t="s">
        <v>1350</v>
      </c>
      <c r="E1944" t="s">
        <v>26</v>
      </c>
      <c r="F1944" t="s">
        <v>27</v>
      </c>
      <c r="G1944" t="s">
        <v>57</v>
      </c>
      <c r="H1944" t="s">
        <v>104</v>
      </c>
      <c r="I1944" t="s">
        <v>105</v>
      </c>
      <c r="J1944">
        <v>1</v>
      </c>
      <c r="K1944">
        <v>7500</v>
      </c>
      <c r="L1944">
        <v>0.1</v>
      </c>
      <c r="M1944">
        <v>6750</v>
      </c>
      <c r="N1944">
        <v>5200</v>
      </c>
      <c r="O1944">
        <v>1550</v>
      </c>
    </row>
    <row r="1945" spans="1:15" x14ac:dyDescent="0.25">
      <c r="A1945" t="s">
        <v>2998</v>
      </c>
      <c r="B1945" s="2">
        <v>47601</v>
      </c>
      <c r="C1945" t="s">
        <v>1003</v>
      </c>
      <c r="D1945" t="s">
        <v>1004</v>
      </c>
      <c r="E1945" t="s">
        <v>39</v>
      </c>
      <c r="F1945" t="s">
        <v>76</v>
      </c>
      <c r="G1945" t="s">
        <v>57</v>
      </c>
      <c r="H1945" t="s">
        <v>58</v>
      </c>
      <c r="I1945" t="s">
        <v>129</v>
      </c>
      <c r="J1945">
        <v>3</v>
      </c>
      <c r="K1945">
        <v>4800</v>
      </c>
      <c r="L1945">
        <v>0</v>
      </c>
      <c r="M1945">
        <v>14400</v>
      </c>
      <c r="N1945">
        <v>9900</v>
      </c>
      <c r="O1945">
        <v>4500</v>
      </c>
    </row>
    <row r="1946" spans="1:15" x14ac:dyDescent="0.25">
      <c r="A1946" t="s">
        <v>2999</v>
      </c>
      <c r="B1946" s="2">
        <v>47602</v>
      </c>
      <c r="C1946" t="s">
        <v>1616</v>
      </c>
      <c r="D1946" t="s">
        <v>1617</v>
      </c>
      <c r="E1946" t="s">
        <v>26</v>
      </c>
      <c r="F1946" t="s">
        <v>34</v>
      </c>
      <c r="G1946" t="s">
        <v>57</v>
      </c>
      <c r="H1946" t="s">
        <v>58</v>
      </c>
      <c r="I1946" t="s">
        <v>129</v>
      </c>
      <c r="J1946">
        <v>3</v>
      </c>
      <c r="K1946">
        <v>4800</v>
      </c>
      <c r="L1946">
        <v>0</v>
      </c>
      <c r="M1946">
        <v>14400</v>
      </c>
      <c r="N1946">
        <v>9900</v>
      </c>
      <c r="O1946">
        <v>4500</v>
      </c>
    </row>
    <row r="1947" spans="1:15" x14ac:dyDescent="0.25">
      <c r="A1947" t="s">
        <v>3000</v>
      </c>
      <c r="B1947" s="2">
        <v>47603</v>
      </c>
      <c r="C1947" t="s">
        <v>311</v>
      </c>
      <c r="D1947" t="s">
        <v>312</v>
      </c>
      <c r="E1947" t="s">
        <v>18</v>
      </c>
      <c r="F1947" t="s">
        <v>19</v>
      </c>
      <c r="G1947" t="s">
        <v>57</v>
      </c>
      <c r="H1947" t="s">
        <v>58</v>
      </c>
      <c r="I1947" t="s">
        <v>59</v>
      </c>
      <c r="J1947">
        <v>3</v>
      </c>
      <c r="K1947">
        <v>5600</v>
      </c>
      <c r="L1947">
        <v>0</v>
      </c>
      <c r="M1947">
        <v>16800</v>
      </c>
      <c r="N1947">
        <v>11700</v>
      </c>
      <c r="O1947">
        <v>5100</v>
      </c>
    </row>
    <row r="1948" spans="1:15" x14ac:dyDescent="0.25">
      <c r="A1948" t="s">
        <v>3001</v>
      </c>
      <c r="B1948" s="2">
        <v>47604</v>
      </c>
      <c r="C1948" t="s">
        <v>1281</v>
      </c>
      <c r="D1948" t="s">
        <v>1282</v>
      </c>
      <c r="E1948" t="s">
        <v>39</v>
      </c>
      <c r="F1948" t="s">
        <v>76</v>
      </c>
      <c r="G1948" t="s">
        <v>28</v>
      </c>
      <c r="H1948" t="s">
        <v>63</v>
      </c>
      <c r="I1948" t="s">
        <v>64</v>
      </c>
      <c r="J1948">
        <v>1</v>
      </c>
      <c r="K1948">
        <v>2400</v>
      </c>
      <c r="L1948">
        <v>0.1</v>
      </c>
      <c r="M1948">
        <v>2160</v>
      </c>
      <c r="N1948">
        <v>1650</v>
      </c>
      <c r="O1948">
        <v>510</v>
      </c>
    </row>
    <row r="1949" spans="1:15" x14ac:dyDescent="0.25">
      <c r="A1949" t="s">
        <v>3002</v>
      </c>
      <c r="B1949" s="2">
        <v>47605</v>
      </c>
      <c r="C1949" t="s">
        <v>1858</v>
      </c>
      <c r="D1949" t="s">
        <v>1859</v>
      </c>
      <c r="E1949" t="s">
        <v>26</v>
      </c>
      <c r="F1949" t="s">
        <v>204</v>
      </c>
      <c r="G1949" t="s">
        <v>57</v>
      </c>
      <c r="H1949" t="s">
        <v>58</v>
      </c>
      <c r="I1949" t="s">
        <v>129</v>
      </c>
      <c r="J1949">
        <v>5</v>
      </c>
      <c r="K1949">
        <v>4800</v>
      </c>
      <c r="L1949">
        <v>0.05</v>
      </c>
      <c r="M1949">
        <v>22800</v>
      </c>
      <c r="N1949">
        <v>16500</v>
      </c>
      <c r="O1949">
        <v>6300</v>
      </c>
    </row>
    <row r="1950" spans="1:15" x14ac:dyDescent="0.25">
      <c r="A1950" t="s">
        <v>3003</v>
      </c>
      <c r="B1950" s="2">
        <v>47606</v>
      </c>
      <c r="C1950" t="s">
        <v>582</v>
      </c>
      <c r="D1950" t="s">
        <v>583</v>
      </c>
      <c r="E1950" t="s">
        <v>96</v>
      </c>
      <c r="F1950" t="s">
        <v>120</v>
      </c>
      <c r="G1950" t="s">
        <v>51</v>
      </c>
      <c r="H1950" t="s">
        <v>52</v>
      </c>
      <c r="I1950" t="s">
        <v>208</v>
      </c>
      <c r="J1950">
        <v>1</v>
      </c>
      <c r="K1950">
        <v>2800</v>
      </c>
      <c r="L1950">
        <v>0.15</v>
      </c>
      <c r="M1950">
        <v>2380</v>
      </c>
      <c r="N1950">
        <v>1800</v>
      </c>
      <c r="O1950">
        <v>580</v>
      </c>
    </row>
    <row r="1951" spans="1:15" x14ac:dyDescent="0.25">
      <c r="A1951" t="s">
        <v>3004</v>
      </c>
      <c r="B1951" s="2">
        <v>47607</v>
      </c>
      <c r="C1951" t="s">
        <v>155</v>
      </c>
      <c r="D1951" t="s">
        <v>156</v>
      </c>
      <c r="E1951" t="s">
        <v>39</v>
      </c>
      <c r="F1951" t="s">
        <v>76</v>
      </c>
      <c r="G1951" t="s">
        <v>51</v>
      </c>
      <c r="H1951" t="s">
        <v>21</v>
      </c>
      <c r="I1951" t="s">
        <v>116</v>
      </c>
      <c r="J1951">
        <v>2</v>
      </c>
      <c r="K1951">
        <v>1400</v>
      </c>
      <c r="L1951">
        <v>0.05</v>
      </c>
      <c r="M1951">
        <v>2660</v>
      </c>
      <c r="N1951">
        <v>1800</v>
      </c>
      <c r="O1951">
        <v>860</v>
      </c>
    </row>
    <row r="1952" spans="1:15" x14ac:dyDescent="0.25">
      <c r="A1952" t="s">
        <v>3005</v>
      </c>
      <c r="B1952" s="2">
        <v>47608</v>
      </c>
      <c r="C1952" t="s">
        <v>491</v>
      </c>
      <c r="D1952" t="s">
        <v>492</v>
      </c>
      <c r="E1952" t="s">
        <v>26</v>
      </c>
      <c r="F1952" t="s">
        <v>34</v>
      </c>
      <c r="G1952" t="s">
        <v>20</v>
      </c>
      <c r="H1952" t="s">
        <v>84</v>
      </c>
      <c r="I1952" t="s">
        <v>85</v>
      </c>
      <c r="J1952">
        <v>1</v>
      </c>
      <c r="K1952">
        <v>280</v>
      </c>
      <c r="L1952">
        <v>0.1</v>
      </c>
      <c r="M1952">
        <v>252</v>
      </c>
      <c r="N1952">
        <v>160</v>
      </c>
      <c r="O1952">
        <v>92</v>
      </c>
    </row>
    <row r="1953" spans="1:15" x14ac:dyDescent="0.25">
      <c r="A1953" t="s">
        <v>3006</v>
      </c>
      <c r="B1953" s="2">
        <v>47609</v>
      </c>
      <c r="C1953" t="s">
        <v>180</v>
      </c>
      <c r="D1953" t="s">
        <v>181</v>
      </c>
      <c r="E1953" t="s">
        <v>39</v>
      </c>
      <c r="F1953" t="s">
        <v>40</v>
      </c>
      <c r="G1953" t="s">
        <v>20</v>
      </c>
      <c r="H1953" t="s">
        <v>84</v>
      </c>
      <c r="I1953" t="s">
        <v>169</v>
      </c>
      <c r="J1953">
        <v>2</v>
      </c>
      <c r="K1953">
        <v>450</v>
      </c>
      <c r="L1953">
        <v>0.05</v>
      </c>
      <c r="M1953">
        <v>855</v>
      </c>
      <c r="N1953">
        <v>520</v>
      </c>
      <c r="O1953">
        <v>335</v>
      </c>
    </row>
    <row r="1954" spans="1:15" x14ac:dyDescent="0.25">
      <c r="A1954" t="s">
        <v>3007</v>
      </c>
      <c r="B1954" s="2">
        <v>47610</v>
      </c>
      <c r="C1954" t="s">
        <v>1758</v>
      </c>
      <c r="D1954" t="s">
        <v>1759</v>
      </c>
      <c r="E1954" t="s">
        <v>39</v>
      </c>
      <c r="F1954" t="s">
        <v>71</v>
      </c>
      <c r="G1954" t="s">
        <v>20</v>
      </c>
      <c r="H1954" t="s">
        <v>41</v>
      </c>
      <c r="I1954" t="s">
        <v>42</v>
      </c>
      <c r="J1954">
        <v>4</v>
      </c>
      <c r="K1954">
        <v>520</v>
      </c>
      <c r="L1954">
        <v>0.15</v>
      </c>
      <c r="M1954">
        <v>1768</v>
      </c>
      <c r="N1954">
        <v>1320</v>
      </c>
      <c r="O1954">
        <v>448</v>
      </c>
    </row>
    <row r="1955" spans="1:15" x14ac:dyDescent="0.25">
      <c r="A1955" t="s">
        <v>3008</v>
      </c>
      <c r="B1955" s="2">
        <v>47611</v>
      </c>
      <c r="C1955" t="s">
        <v>597</v>
      </c>
      <c r="D1955" t="s">
        <v>598</v>
      </c>
      <c r="E1955" t="s">
        <v>18</v>
      </c>
      <c r="F1955" t="s">
        <v>227</v>
      </c>
      <c r="G1955" t="s">
        <v>57</v>
      </c>
      <c r="H1955" t="s">
        <v>188</v>
      </c>
      <c r="I1955" t="s">
        <v>189</v>
      </c>
      <c r="J1955">
        <v>5</v>
      </c>
      <c r="K1955">
        <v>6200</v>
      </c>
      <c r="L1955">
        <v>0</v>
      </c>
      <c r="M1955">
        <v>31000</v>
      </c>
      <c r="N1955">
        <v>21500</v>
      </c>
      <c r="O1955">
        <v>9500</v>
      </c>
    </row>
    <row r="1956" spans="1:15" x14ac:dyDescent="0.25">
      <c r="A1956" t="s">
        <v>3009</v>
      </c>
      <c r="B1956" s="2">
        <v>47612</v>
      </c>
      <c r="C1956" t="s">
        <v>2008</v>
      </c>
      <c r="D1956" t="s">
        <v>2009</v>
      </c>
      <c r="E1956" t="s">
        <v>96</v>
      </c>
      <c r="F1956" t="s">
        <v>120</v>
      </c>
      <c r="G1956" t="s">
        <v>57</v>
      </c>
      <c r="H1956" t="s">
        <v>58</v>
      </c>
      <c r="I1956" t="s">
        <v>59</v>
      </c>
      <c r="J1956">
        <v>2</v>
      </c>
      <c r="K1956">
        <v>5600</v>
      </c>
      <c r="L1956">
        <v>0.15</v>
      </c>
      <c r="M1956">
        <v>9520</v>
      </c>
      <c r="N1956">
        <v>7800</v>
      </c>
      <c r="O1956">
        <v>1720</v>
      </c>
    </row>
    <row r="1957" spans="1:15" x14ac:dyDescent="0.25">
      <c r="A1957" t="s">
        <v>3010</v>
      </c>
      <c r="B1957" s="2">
        <v>47613</v>
      </c>
      <c r="C1957" t="s">
        <v>158</v>
      </c>
      <c r="D1957" t="s">
        <v>159</v>
      </c>
      <c r="E1957" t="s">
        <v>18</v>
      </c>
      <c r="F1957" t="s">
        <v>94</v>
      </c>
      <c r="G1957" t="s">
        <v>51</v>
      </c>
      <c r="H1957" t="s">
        <v>21</v>
      </c>
      <c r="I1957" t="s">
        <v>72</v>
      </c>
      <c r="J1957">
        <v>2</v>
      </c>
      <c r="K1957">
        <v>1800</v>
      </c>
      <c r="L1957">
        <v>0.15</v>
      </c>
      <c r="M1957">
        <v>3060</v>
      </c>
      <c r="N1957">
        <v>2200</v>
      </c>
      <c r="O1957">
        <v>860</v>
      </c>
    </row>
    <row r="1958" spans="1:15" x14ac:dyDescent="0.25">
      <c r="A1958" t="s">
        <v>3011</v>
      </c>
      <c r="B1958" s="2">
        <v>47614</v>
      </c>
      <c r="C1958" t="s">
        <v>562</v>
      </c>
      <c r="D1958" t="s">
        <v>563</v>
      </c>
      <c r="E1958" t="s">
        <v>39</v>
      </c>
      <c r="F1958" t="s">
        <v>71</v>
      </c>
      <c r="G1958" t="s">
        <v>20</v>
      </c>
      <c r="H1958" t="s">
        <v>41</v>
      </c>
      <c r="I1958" t="s">
        <v>42</v>
      </c>
      <c r="J1958">
        <v>3</v>
      </c>
      <c r="K1958">
        <v>520</v>
      </c>
      <c r="L1958">
        <v>0.1</v>
      </c>
      <c r="M1958">
        <v>1404</v>
      </c>
      <c r="N1958">
        <v>990</v>
      </c>
      <c r="O1958">
        <v>414</v>
      </c>
    </row>
    <row r="1959" spans="1:15" x14ac:dyDescent="0.25">
      <c r="A1959" t="s">
        <v>3012</v>
      </c>
      <c r="B1959" s="2">
        <v>47615</v>
      </c>
      <c r="C1959" t="s">
        <v>1138</v>
      </c>
      <c r="D1959" t="s">
        <v>1139</v>
      </c>
      <c r="E1959" t="s">
        <v>18</v>
      </c>
      <c r="F1959" t="s">
        <v>227</v>
      </c>
      <c r="G1959" t="s">
        <v>51</v>
      </c>
      <c r="H1959" t="s">
        <v>89</v>
      </c>
      <c r="I1959" t="s">
        <v>90</v>
      </c>
      <c r="J1959">
        <v>5</v>
      </c>
      <c r="K1959">
        <v>10500</v>
      </c>
      <c r="L1959">
        <v>0.1</v>
      </c>
      <c r="M1959">
        <v>47250</v>
      </c>
      <c r="N1959">
        <v>38000</v>
      </c>
      <c r="O1959">
        <v>9250</v>
      </c>
    </row>
    <row r="1960" spans="1:15" x14ac:dyDescent="0.25">
      <c r="A1960" t="s">
        <v>3013</v>
      </c>
      <c r="B1960" s="2">
        <v>47616</v>
      </c>
      <c r="C1960" t="s">
        <v>1793</v>
      </c>
      <c r="D1960" t="s">
        <v>1794</v>
      </c>
      <c r="E1960" t="s">
        <v>39</v>
      </c>
      <c r="F1960" t="s">
        <v>124</v>
      </c>
      <c r="G1960" t="s">
        <v>28</v>
      </c>
      <c r="H1960" t="s">
        <v>63</v>
      </c>
      <c r="I1960" t="s">
        <v>64</v>
      </c>
      <c r="J1960">
        <v>5</v>
      </c>
      <c r="K1960">
        <v>2400</v>
      </c>
      <c r="L1960">
        <v>0.2</v>
      </c>
      <c r="M1960">
        <v>9600</v>
      </c>
      <c r="N1960">
        <v>8250</v>
      </c>
      <c r="O1960">
        <v>1350</v>
      </c>
    </row>
    <row r="1961" spans="1:15" x14ac:dyDescent="0.25">
      <c r="A1961" t="s">
        <v>3014</v>
      </c>
      <c r="B1961" s="2">
        <v>47617</v>
      </c>
      <c r="C1961" t="s">
        <v>516</v>
      </c>
      <c r="D1961" t="s">
        <v>517</v>
      </c>
      <c r="E1961" t="s">
        <v>26</v>
      </c>
      <c r="F1961" t="s">
        <v>27</v>
      </c>
      <c r="G1961" t="s">
        <v>20</v>
      </c>
      <c r="H1961" t="s">
        <v>84</v>
      </c>
      <c r="I1961" t="s">
        <v>169</v>
      </c>
      <c r="J1961">
        <v>3</v>
      </c>
      <c r="K1961">
        <v>450</v>
      </c>
      <c r="L1961">
        <v>0</v>
      </c>
      <c r="M1961">
        <v>1350</v>
      </c>
      <c r="N1961">
        <v>780</v>
      </c>
      <c r="O1961">
        <v>570</v>
      </c>
    </row>
    <row r="1962" spans="1:15" x14ac:dyDescent="0.25">
      <c r="A1962" t="s">
        <v>3015</v>
      </c>
      <c r="B1962" s="2">
        <v>47618</v>
      </c>
      <c r="C1962" t="s">
        <v>1847</v>
      </c>
      <c r="D1962" t="s">
        <v>1848</v>
      </c>
      <c r="E1962" t="s">
        <v>39</v>
      </c>
      <c r="F1962" t="s">
        <v>76</v>
      </c>
      <c r="G1962" t="s">
        <v>57</v>
      </c>
      <c r="H1962" t="s">
        <v>58</v>
      </c>
      <c r="I1962" t="s">
        <v>59</v>
      </c>
      <c r="J1962">
        <v>4</v>
      </c>
      <c r="K1962">
        <v>5600</v>
      </c>
      <c r="L1962">
        <v>0</v>
      </c>
      <c r="M1962">
        <v>22400</v>
      </c>
      <c r="N1962">
        <v>15600</v>
      </c>
      <c r="O1962">
        <v>6800</v>
      </c>
    </row>
    <row r="1963" spans="1:15" x14ac:dyDescent="0.25">
      <c r="A1963" t="s">
        <v>3016</v>
      </c>
      <c r="B1963" s="2">
        <v>47619</v>
      </c>
      <c r="C1963" t="s">
        <v>2136</v>
      </c>
      <c r="D1963" t="s">
        <v>2137</v>
      </c>
      <c r="E1963" t="s">
        <v>26</v>
      </c>
      <c r="F1963" t="s">
        <v>204</v>
      </c>
      <c r="G1963" t="s">
        <v>51</v>
      </c>
      <c r="H1963" t="s">
        <v>21</v>
      </c>
      <c r="I1963" t="s">
        <v>116</v>
      </c>
      <c r="J1963">
        <v>4</v>
      </c>
      <c r="K1963">
        <v>1400</v>
      </c>
      <c r="L1963">
        <v>0.2</v>
      </c>
      <c r="M1963">
        <v>4480</v>
      </c>
      <c r="N1963">
        <v>3600</v>
      </c>
      <c r="O1963">
        <v>880</v>
      </c>
    </row>
    <row r="1964" spans="1:15" x14ac:dyDescent="0.25">
      <c r="A1964" t="s">
        <v>3017</v>
      </c>
      <c r="B1964" s="2">
        <v>47620</v>
      </c>
      <c r="C1964" t="s">
        <v>1089</v>
      </c>
      <c r="D1964" t="s">
        <v>1090</v>
      </c>
      <c r="E1964" t="s">
        <v>26</v>
      </c>
      <c r="F1964" t="s">
        <v>34</v>
      </c>
      <c r="G1964" t="s">
        <v>20</v>
      </c>
      <c r="H1964" t="s">
        <v>41</v>
      </c>
      <c r="I1964" t="s">
        <v>42</v>
      </c>
      <c r="J1964">
        <v>3</v>
      </c>
      <c r="K1964">
        <v>520</v>
      </c>
      <c r="L1964">
        <v>0.05</v>
      </c>
      <c r="M1964">
        <v>1482</v>
      </c>
      <c r="N1964">
        <v>990</v>
      </c>
      <c r="O1964">
        <v>492</v>
      </c>
    </row>
    <row r="1965" spans="1:15" x14ac:dyDescent="0.25">
      <c r="A1965" t="s">
        <v>3018</v>
      </c>
      <c r="B1965" s="2">
        <v>47621</v>
      </c>
      <c r="C1965" t="s">
        <v>2356</v>
      </c>
      <c r="D1965" t="s">
        <v>2357</v>
      </c>
      <c r="E1965" t="s">
        <v>26</v>
      </c>
      <c r="F1965" t="s">
        <v>128</v>
      </c>
      <c r="G1965" t="s">
        <v>20</v>
      </c>
      <c r="H1965" t="s">
        <v>41</v>
      </c>
      <c r="I1965" t="s">
        <v>42</v>
      </c>
      <c r="J1965">
        <v>3</v>
      </c>
      <c r="K1965">
        <v>520</v>
      </c>
      <c r="L1965">
        <v>0.15</v>
      </c>
      <c r="M1965">
        <v>1326</v>
      </c>
      <c r="N1965">
        <v>990</v>
      </c>
      <c r="O1965">
        <v>336</v>
      </c>
    </row>
    <row r="1966" spans="1:15" x14ac:dyDescent="0.25">
      <c r="A1966" t="s">
        <v>3019</v>
      </c>
      <c r="B1966" s="2">
        <v>47622</v>
      </c>
      <c r="C1966" t="s">
        <v>1000</v>
      </c>
      <c r="D1966" t="s">
        <v>1001</v>
      </c>
      <c r="E1966" t="s">
        <v>39</v>
      </c>
      <c r="F1966" t="s">
        <v>71</v>
      </c>
      <c r="G1966" t="s">
        <v>20</v>
      </c>
      <c r="H1966" t="s">
        <v>84</v>
      </c>
      <c r="I1966" t="s">
        <v>169</v>
      </c>
      <c r="J1966">
        <v>4</v>
      </c>
      <c r="K1966">
        <v>450</v>
      </c>
      <c r="L1966">
        <v>0.2</v>
      </c>
      <c r="M1966">
        <v>1440</v>
      </c>
      <c r="N1966">
        <v>1040</v>
      </c>
      <c r="O1966">
        <v>400</v>
      </c>
    </row>
    <row r="1967" spans="1:15" x14ac:dyDescent="0.25">
      <c r="A1967" t="s">
        <v>3020</v>
      </c>
      <c r="B1967" s="2">
        <v>47623</v>
      </c>
      <c r="C1967" t="s">
        <v>1538</v>
      </c>
      <c r="D1967" t="s">
        <v>1539</v>
      </c>
      <c r="E1967" t="s">
        <v>39</v>
      </c>
      <c r="F1967" t="s">
        <v>71</v>
      </c>
      <c r="G1967" t="s">
        <v>51</v>
      </c>
      <c r="H1967" t="s">
        <v>52</v>
      </c>
      <c r="I1967" t="s">
        <v>208</v>
      </c>
      <c r="J1967">
        <v>4</v>
      </c>
      <c r="K1967">
        <v>2800</v>
      </c>
      <c r="L1967">
        <v>0.05</v>
      </c>
      <c r="M1967">
        <v>10640</v>
      </c>
      <c r="N1967">
        <v>7200</v>
      </c>
      <c r="O1967">
        <v>3440</v>
      </c>
    </row>
    <row r="1968" spans="1:15" x14ac:dyDescent="0.25">
      <c r="A1968" t="s">
        <v>3021</v>
      </c>
      <c r="B1968" s="2">
        <v>47624</v>
      </c>
      <c r="C1968" t="s">
        <v>140</v>
      </c>
      <c r="D1968" t="s">
        <v>141</v>
      </c>
      <c r="E1968" t="s">
        <v>18</v>
      </c>
      <c r="F1968" t="s">
        <v>94</v>
      </c>
      <c r="G1968" t="s">
        <v>51</v>
      </c>
      <c r="H1968" t="s">
        <v>52</v>
      </c>
      <c r="I1968" t="s">
        <v>53</v>
      </c>
      <c r="J1968">
        <v>4</v>
      </c>
      <c r="K1968">
        <v>2200</v>
      </c>
      <c r="L1968">
        <v>0.15</v>
      </c>
      <c r="M1968">
        <v>7480</v>
      </c>
      <c r="N1968">
        <v>5800</v>
      </c>
      <c r="O1968">
        <v>1680</v>
      </c>
    </row>
    <row r="1969" spans="1:15" x14ac:dyDescent="0.25">
      <c r="A1969" t="s">
        <v>3022</v>
      </c>
      <c r="B1969" s="2">
        <v>47625</v>
      </c>
      <c r="C1969" t="s">
        <v>516</v>
      </c>
      <c r="D1969" t="s">
        <v>517</v>
      </c>
      <c r="E1969" t="s">
        <v>26</v>
      </c>
      <c r="F1969" t="s">
        <v>128</v>
      </c>
      <c r="G1969" t="s">
        <v>51</v>
      </c>
      <c r="H1969" t="s">
        <v>52</v>
      </c>
      <c r="I1969" t="s">
        <v>53</v>
      </c>
      <c r="J1969">
        <v>3</v>
      </c>
      <c r="K1969">
        <v>2200</v>
      </c>
      <c r="L1969">
        <v>0.1</v>
      </c>
      <c r="M1969">
        <v>5940</v>
      </c>
      <c r="N1969">
        <v>4350</v>
      </c>
      <c r="O1969">
        <v>1590</v>
      </c>
    </row>
    <row r="1970" spans="1:15" x14ac:dyDescent="0.25">
      <c r="A1970" t="s">
        <v>3023</v>
      </c>
      <c r="B1970" s="2">
        <v>47626</v>
      </c>
      <c r="C1970" t="s">
        <v>2078</v>
      </c>
      <c r="D1970" t="s">
        <v>2079</v>
      </c>
      <c r="E1970" t="s">
        <v>96</v>
      </c>
      <c r="F1970" t="s">
        <v>97</v>
      </c>
      <c r="G1970" t="s">
        <v>57</v>
      </c>
      <c r="H1970" t="s">
        <v>188</v>
      </c>
      <c r="I1970" t="s">
        <v>189</v>
      </c>
      <c r="J1970">
        <v>3</v>
      </c>
      <c r="K1970">
        <v>6200</v>
      </c>
      <c r="L1970">
        <v>0.15</v>
      </c>
      <c r="M1970">
        <v>15810</v>
      </c>
      <c r="N1970">
        <v>12900</v>
      </c>
      <c r="O1970">
        <v>2910</v>
      </c>
    </row>
    <row r="1971" spans="1:15" x14ac:dyDescent="0.25">
      <c r="A1971" t="s">
        <v>3024</v>
      </c>
      <c r="B1971" s="2">
        <v>47627</v>
      </c>
      <c r="C1971" t="s">
        <v>905</v>
      </c>
      <c r="D1971" t="s">
        <v>906</v>
      </c>
      <c r="E1971" t="s">
        <v>96</v>
      </c>
      <c r="F1971" t="s">
        <v>196</v>
      </c>
      <c r="G1971" t="s">
        <v>57</v>
      </c>
      <c r="H1971" t="s">
        <v>188</v>
      </c>
      <c r="I1971" t="s">
        <v>189</v>
      </c>
      <c r="J1971">
        <v>5</v>
      </c>
      <c r="K1971">
        <v>6200</v>
      </c>
      <c r="L1971">
        <v>0.05</v>
      </c>
      <c r="M1971">
        <v>29450</v>
      </c>
      <c r="N1971">
        <v>21500</v>
      </c>
      <c r="O1971">
        <v>7950</v>
      </c>
    </row>
    <row r="1972" spans="1:15" x14ac:dyDescent="0.25">
      <c r="A1972" t="s">
        <v>3025</v>
      </c>
      <c r="B1972" s="2">
        <v>47628</v>
      </c>
      <c r="C1972" t="s">
        <v>1333</v>
      </c>
      <c r="D1972" t="s">
        <v>1334</v>
      </c>
      <c r="E1972" t="s">
        <v>18</v>
      </c>
      <c r="F1972" t="s">
        <v>19</v>
      </c>
      <c r="G1972" t="s">
        <v>28</v>
      </c>
      <c r="H1972" t="s">
        <v>29</v>
      </c>
      <c r="I1972" t="s">
        <v>35</v>
      </c>
      <c r="J1972">
        <v>4</v>
      </c>
      <c r="K1972">
        <v>4200</v>
      </c>
      <c r="L1972">
        <v>0.15</v>
      </c>
      <c r="M1972">
        <v>14280</v>
      </c>
      <c r="N1972">
        <v>11600</v>
      </c>
      <c r="O1972">
        <v>2680</v>
      </c>
    </row>
    <row r="1973" spans="1:15" x14ac:dyDescent="0.25">
      <c r="A1973" t="s">
        <v>3026</v>
      </c>
      <c r="B1973" s="2">
        <v>47629</v>
      </c>
      <c r="C1973" t="s">
        <v>171</v>
      </c>
      <c r="D1973" t="s">
        <v>172</v>
      </c>
      <c r="E1973" t="s">
        <v>26</v>
      </c>
      <c r="F1973" t="s">
        <v>34</v>
      </c>
      <c r="G1973" t="s">
        <v>20</v>
      </c>
      <c r="H1973" t="s">
        <v>84</v>
      </c>
      <c r="I1973" t="s">
        <v>85</v>
      </c>
      <c r="J1973">
        <v>3</v>
      </c>
      <c r="K1973">
        <v>280</v>
      </c>
      <c r="L1973">
        <v>0</v>
      </c>
      <c r="M1973">
        <v>840</v>
      </c>
      <c r="N1973">
        <v>480</v>
      </c>
      <c r="O1973">
        <v>360</v>
      </c>
    </row>
    <row r="1974" spans="1:15" x14ac:dyDescent="0.25">
      <c r="A1974" t="s">
        <v>3027</v>
      </c>
      <c r="B1974" s="2">
        <v>47630</v>
      </c>
      <c r="C1974" t="s">
        <v>865</v>
      </c>
      <c r="D1974" t="s">
        <v>866</v>
      </c>
      <c r="E1974" t="s">
        <v>26</v>
      </c>
      <c r="F1974" t="s">
        <v>46</v>
      </c>
      <c r="G1974" t="s">
        <v>20</v>
      </c>
      <c r="H1974" t="s">
        <v>84</v>
      </c>
      <c r="I1974" t="s">
        <v>210</v>
      </c>
      <c r="J1974">
        <v>1</v>
      </c>
      <c r="K1974">
        <v>300</v>
      </c>
      <c r="L1974">
        <v>0.2</v>
      </c>
      <c r="M1974">
        <v>240</v>
      </c>
      <c r="N1974">
        <v>170</v>
      </c>
      <c r="O1974">
        <v>70</v>
      </c>
    </row>
    <row r="1975" spans="1:15" x14ac:dyDescent="0.25">
      <c r="A1975" t="s">
        <v>3028</v>
      </c>
      <c r="B1975" s="2">
        <v>47631</v>
      </c>
      <c r="C1975" t="s">
        <v>909</v>
      </c>
      <c r="D1975" t="s">
        <v>910</v>
      </c>
      <c r="E1975" t="s">
        <v>96</v>
      </c>
      <c r="F1975" t="s">
        <v>196</v>
      </c>
      <c r="G1975" t="s">
        <v>51</v>
      </c>
      <c r="H1975" t="s">
        <v>21</v>
      </c>
      <c r="I1975" t="s">
        <v>72</v>
      </c>
      <c r="J1975">
        <v>4</v>
      </c>
      <c r="K1975">
        <v>1800</v>
      </c>
      <c r="L1975">
        <v>0.25</v>
      </c>
      <c r="M1975">
        <v>5400</v>
      </c>
      <c r="N1975">
        <v>4400</v>
      </c>
      <c r="O1975">
        <v>1000</v>
      </c>
    </row>
    <row r="1976" spans="1:15" x14ac:dyDescent="0.25">
      <c r="A1976" t="s">
        <v>3029</v>
      </c>
      <c r="B1976" s="2">
        <v>47632</v>
      </c>
      <c r="C1976" t="s">
        <v>700</v>
      </c>
      <c r="D1976" t="s">
        <v>701</v>
      </c>
      <c r="E1976" t="s">
        <v>39</v>
      </c>
      <c r="F1976" t="s">
        <v>40</v>
      </c>
      <c r="G1976" t="s">
        <v>57</v>
      </c>
      <c r="H1976" t="s">
        <v>104</v>
      </c>
      <c r="I1976" t="s">
        <v>105</v>
      </c>
      <c r="J1976">
        <v>2</v>
      </c>
      <c r="K1976">
        <v>7500</v>
      </c>
      <c r="L1976">
        <v>0.2</v>
      </c>
      <c r="M1976">
        <v>12000</v>
      </c>
      <c r="N1976">
        <v>10400</v>
      </c>
      <c r="O1976">
        <v>1600</v>
      </c>
    </row>
    <row r="1977" spans="1:15" x14ac:dyDescent="0.25">
      <c r="A1977" t="s">
        <v>3030</v>
      </c>
      <c r="B1977" s="2">
        <v>47633</v>
      </c>
      <c r="C1977" t="s">
        <v>630</v>
      </c>
      <c r="D1977" t="s">
        <v>631</v>
      </c>
      <c r="E1977" t="s">
        <v>39</v>
      </c>
      <c r="F1977" t="s">
        <v>124</v>
      </c>
      <c r="G1977" t="s">
        <v>51</v>
      </c>
      <c r="H1977" t="s">
        <v>52</v>
      </c>
      <c r="I1977" t="s">
        <v>208</v>
      </c>
      <c r="J1977">
        <v>2</v>
      </c>
      <c r="K1977">
        <v>2800</v>
      </c>
      <c r="L1977">
        <v>0</v>
      </c>
      <c r="M1977">
        <v>5600</v>
      </c>
      <c r="N1977">
        <v>3600</v>
      </c>
      <c r="O1977">
        <v>2000</v>
      </c>
    </row>
    <row r="1978" spans="1:15" x14ac:dyDescent="0.25">
      <c r="A1978" t="s">
        <v>3031</v>
      </c>
      <c r="B1978" s="2">
        <v>47634</v>
      </c>
      <c r="C1978" t="s">
        <v>945</v>
      </c>
      <c r="D1978" t="s">
        <v>946</v>
      </c>
      <c r="E1978" t="s">
        <v>26</v>
      </c>
      <c r="F1978" t="s">
        <v>46</v>
      </c>
      <c r="G1978" t="s">
        <v>20</v>
      </c>
      <c r="H1978" t="s">
        <v>41</v>
      </c>
      <c r="I1978" t="s">
        <v>42</v>
      </c>
      <c r="J1978">
        <v>3</v>
      </c>
      <c r="K1978">
        <v>520</v>
      </c>
      <c r="L1978">
        <v>0.2</v>
      </c>
      <c r="M1978">
        <v>1248</v>
      </c>
      <c r="N1978">
        <v>990</v>
      </c>
      <c r="O1978">
        <v>258</v>
      </c>
    </row>
    <row r="1979" spans="1:15" x14ac:dyDescent="0.25">
      <c r="A1979" t="s">
        <v>3032</v>
      </c>
      <c r="B1979" s="2">
        <v>47635</v>
      </c>
      <c r="C1979" t="s">
        <v>1333</v>
      </c>
      <c r="D1979" t="s">
        <v>1334</v>
      </c>
      <c r="E1979" t="s">
        <v>39</v>
      </c>
      <c r="F1979" t="s">
        <v>71</v>
      </c>
      <c r="G1979" t="s">
        <v>51</v>
      </c>
      <c r="H1979" t="s">
        <v>52</v>
      </c>
      <c r="I1979" t="s">
        <v>208</v>
      </c>
      <c r="J1979">
        <v>3</v>
      </c>
      <c r="K1979">
        <v>2800</v>
      </c>
      <c r="L1979">
        <v>0.05</v>
      </c>
      <c r="M1979">
        <v>7980</v>
      </c>
      <c r="N1979">
        <v>5400</v>
      </c>
      <c r="O1979">
        <v>2580</v>
      </c>
    </row>
    <row r="1980" spans="1:15" x14ac:dyDescent="0.25">
      <c r="A1980" t="s">
        <v>3033</v>
      </c>
      <c r="B1980" s="2">
        <v>47636</v>
      </c>
      <c r="C1980" t="s">
        <v>1176</v>
      </c>
      <c r="D1980" t="s">
        <v>1177</v>
      </c>
      <c r="E1980" t="s">
        <v>26</v>
      </c>
      <c r="F1980" t="s">
        <v>34</v>
      </c>
      <c r="G1980" t="s">
        <v>51</v>
      </c>
      <c r="H1980" t="s">
        <v>21</v>
      </c>
      <c r="I1980" t="s">
        <v>80</v>
      </c>
      <c r="J1980">
        <v>1</v>
      </c>
      <c r="K1980">
        <v>850</v>
      </c>
      <c r="L1980">
        <v>0.15</v>
      </c>
      <c r="M1980">
        <v>722.5</v>
      </c>
      <c r="N1980">
        <v>560</v>
      </c>
      <c r="O1980">
        <v>162.5</v>
      </c>
    </row>
    <row r="1981" spans="1:15" x14ac:dyDescent="0.25">
      <c r="A1981" t="s">
        <v>3034</v>
      </c>
      <c r="B1981" s="2">
        <v>47637</v>
      </c>
      <c r="C1981" t="s">
        <v>990</v>
      </c>
      <c r="D1981" t="s">
        <v>991</v>
      </c>
      <c r="E1981" t="s">
        <v>26</v>
      </c>
      <c r="F1981" t="s">
        <v>27</v>
      </c>
      <c r="G1981" t="s">
        <v>20</v>
      </c>
      <c r="H1981" t="s">
        <v>84</v>
      </c>
      <c r="I1981" t="s">
        <v>85</v>
      </c>
      <c r="J1981">
        <v>4</v>
      </c>
      <c r="K1981">
        <v>280</v>
      </c>
      <c r="L1981">
        <v>0.15</v>
      </c>
      <c r="M1981">
        <v>952</v>
      </c>
      <c r="N1981">
        <v>640</v>
      </c>
      <c r="O1981">
        <v>312</v>
      </c>
    </row>
    <row r="1982" spans="1:15" x14ac:dyDescent="0.25">
      <c r="A1982" t="s">
        <v>3035</v>
      </c>
      <c r="B1982" s="2">
        <v>47638</v>
      </c>
      <c r="C1982" t="s">
        <v>1847</v>
      </c>
      <c r="D1982" t="s">
        <v>1848</v>
      </c>
      <c r="E1982" t="s">
        <v>96</v>
      </c>
      <c r="F1982" t="s">
        <v>97</v>
      </c>
      <c r="G1982" t="s">
        <v>51</v>
      </c>
      <c r="H1982" t="s">
        <v>89</v>
      </c>
      <c r="I1982" t="s">
        <v>90</v>
      </c>
      <c r="J1982">
        <v>3</v>
      </c>
      <c r="K1982">
        <v>10500</v>
      </c>
      <c r="L1982">
        <v>0</v>
      </c>
      <c r="M1982">
        <v>31500</v>
      </c>
      <c r="N1982">
        <v>22800</v>
      </c>
      <c r="O1982">
        <v>8700</v>
      </c>
    </row>
    <row r="1983" spans="1:15" x14ac:dyDescent="0.25">
      <c r="A1983" t="s">
        <v>3036</v>
      </c>
      <c r="B1983" s="2">
        <v>47639</v>
      </c>
      <c r="C1983" t="s">
        <v>597</v>
      </c>
      <c r="D1983" t="s">
        <v>598</v>
      </c>
      <c r="E1983" t="s">
        <v>18</v>
      </c>
      <c r="F1983" t="s">
        <v>94</v>
      </c>
      <c r="G1983" t="s">
        <v>28</v>
      </c>
      <c r="H1983" t="s">
        <v>29</v>
      </c>
      <c r="I1983" t="s">
        <v>30</v>
      </c>
      <c r="J1983">
        <v>2</v>
      </c>
      <c r="K1983">
        <v>1900</v>
      </c>
      <c r="L1983">
        <v>0.1</v>
      </c>
      <c r="M1983">
        <v>3420</v>
      </c>
      <c r="N1983">
        <v>2500</v>
      </c>
      <c r="O1983">
        <v>920</v>
      </c>
    </row>
    <row r="1984" spans="1:15" x14ac:dyDescent="0.25">
      <c r="A1984" t="s">
        <v>3037</v>
      </c>
      <c r="B1984" s="2">
        <v>47640</v>
      </c>
      <c r="C1984" t="s">
        <v>1054</v>
      </c>
      <c r="D1984" t="s">
        <v>1055</v>
      </c>
      <c r="E1984" t="s">
        <v>18</v>
      </c>
      <c r="F1984" t="s">
        <v>19</v>
      </c>
      <c r="G1984" t="s">
        <v>20</v>
      </c>
      <c r="H1984" t="s">
        <v>84</v>
      </c>
      <c r="I1984" t="s">
        <v>169</v>
      </c>
      <c r="J1984">
        <v>2</v>
      </c>
      <c r="K1984">
        <v>450</v>
      </c>
      <c r="L1984">
        <v>0.05</v>
      </c>
      <c r="M1984">
        <v>855</v>
      </c>
      <c r="N1984">
        <v>520</v>
      </c>
      <c r="O1984">
        <v>335</v>
      </c>
    </row>
    <row r="1985" spans="1:15" x14ac:dyDescent="0.25">
      <c r="A1985" t="s">
        <v>3038</v>
      </c>
      <c r="B1985" s="2">
        <v>47641</v>
      </c>
      <c r="C1985" t="s">
        <v>447</v>
      </c>
      <c r="D1985" t="s">
        <v>448</v>
      </c>
      <c r="E1985" t="s">
        <v>96</v>
      </c>
      <c r="F1985" t="s">
        <v>97</v>
      </c>
      <c r="G1985" t="s">
        <v>51</v>
      </c>
      <c r="H1985" t="s">
        <v>89</v>
      </c>
      <c r="I1985" t="s">
        <v>90</v>
      </c>
      <c r="J1985">
        <v>3</v>
      </c>
      <c r="K1985">
        <v>10500</v>
      </c>
      <c r="L1985">
        <v>0.25</v>
      </c>
      <c r="M1985">
        <v>23625</v>
      </c>
      <c r="N1985">
        <v>22800</v>
      </c>
      <c r="O1985">
        <v>825</v>
      </c>
    </row>
    <row r="1986" spans="1:15" x14ac:dyDescent="0.25">
      <c r="A1986" t="s">
        <v>3039</v>
      </c>
      <c r="B1986" s="2">
        <v>47642</v>
      </c>
      <c r="C1986" t="s">
        <v>724</v>
      </c>
      <c r="D1986" t="s">
        <v>725</v>
      </c>
      <c r="E1986" t="s">
        <v>26</v>
      </c>
      <c r="F1986" t="s">
        <v>34</v>
      </c>
      <c r="G1986" t="s">
        <v>20</v>
      </c>
      <c r="H1986" t="s">
        <v>84</v>
      </c>
      <c r="I1986" t="s">
        <v>85</v>
      </c>
      <c r="J1986">
        <v>1</v>
      </c>
      <c r="K1986">
        <v>280</v>
      </c>
      <c r="L1986">
        <v>0.05</v>
      </c>
      <c r="M1986">
        <v>266</v>
      </c>
      <c r="N1986">
        <v>160</v>
      </c>
      <c r="O1986">
        <v>106</v>
      </c>
    </row>
    <row r="1987" spans="1:15" x14ac:dyDescent="0.25">
      <c r="A1987" t="s">
        <v>3040</v>
      </c>
      <c r="B1987" s="2">
        <v>47643</v>
      </c>
      <c r="C1987" t="s">
        <v>1471</v>
      </c>
      <c r="D1987" t="s">
        <v>1472</v>
      </c>
      <c r="E1987" t="s">
        <v>18</v>
      </c>
      <c r="F1987" t="s">
        <v>227</v>
      </c>
      <c r="G1987" t="s">
        <v>20</v>
      </c>
      <c r="H1987" t="s">
        <v>41</v>
      </c>
      <c r="I1987" t="s">
        <v>42</v>
      </c>
      <c r="J1987">
        <v>5</v>
      </c>
      <c r="K1987">
        <v>520</v>
      </c>
      <c r="L1987">
        <v>0.1</v>
      </c>
      <c r="M1987">
        <v>2340</v>
      </c>
      <c r="N1987">
        <v>1650</v>
      </c>
      <c r="O1987">
        <v>690</v>
      </c>
    </row>
    <row r="1988" spans="1:15" x14ac:dyDescent="0.25">
      <c r="A1988" t="s">
        <v>3041</v>
      </c>
      <c r="B1988" s="2">
        <v>47644</v>
      </c>
      <c r="C1988" t="s">
        <v>1384</v>
      </c>
      <c r="D1988" t="s">
        <v>1385</v>
      </c>
      <c r="E1988" t="s">
        <v>39</v>
      </c>
      <c r="F1988" t="s">
        <v>76</v>
      </c>
      <c r="G1988" t="s">
        <v>28</v>
      </c>
      <c r="H1988" t="s">
        <v>29</v>
      </c>
      <c r="I1988" t="s">
        <v>47</v>
      </c>
      <c r="J1988">
        <v>1</v>
      </c>
      <c r="K1988">
        <v>6800</v>
      </c>
      <c r="L1988">
        <v>0.05</v>
      </c>
      <c r="M1988">
        <v>6460</v>
      </c>
      <c r="N1988">
        <v>4700</v>
      </c>
      <c r="O1988">
        <v>1760</v>
      </c>
    </row>
    <row r="1989" spans="1:15" x14ac:dyDescent="0.25">
      <c r="A1989" t="s">
        <v>3042</v>
      </c>
      <c r="B1989" s="2">
        <v>47645</v>
      </c>
      <c r="C1989" t="s">
        <v>1034</v>
      </c>
      <c r="D1989" t="s">
        <v>1035</v>
      </c>
      <c r="E1989" t="s">
        <v>18</v>
      </c>
      <c r="F1989" t="s">
        <v>94</v>
      </c>
      <c r="G1989" t="s">
        <v>51</v>
      </c>
      <c r="H1989" t="s">
        <v>21</v>
      </c>
      <c r="I1989" t="s">
        <v>80</v>
      </c>
      <c r="J1989">
        <v>1</v>
      </c>
      <c r="K1989">
        <v>850</v>
      </c>
      <c r="L1989">
        <v>0.2</v>
      </c>
      <c r="M1989">
        <v>680</v>
      </c>
      <c r="N1989">
        <v>560</v>
      </c>
      <c r="O1989">
        <v>120</v>
      </c>
    </row>
    <row r="1990" spans="1:15" x14ac:dyDescent="0.25">
      <c r="A1990" t="s">
        <v>3043</v>
      </c>
      <c r="B1990" s="2">
        <v>47646</v>
      </c>
      <c r="C1990" t="s">
        <v>1201</v>
      </c>
      <c r="D1990" t="s">
        <v>1202</v>
      </c>
      <c r="E1990" t="s">
        <v>39</v>
      </c>
      <c r="F1990" t="s">
        <v>71</v>
      </c>
      <c r="G1990" t="s">
        <v>20</v>
      </c>
      <c r="H1990" t="s">
        <v>84</v>
      </c>
      <c r="I1990" t="s">
        <v>210</v>
      </c>
      <c r="J1990">
        <v>1</v>
      </c>
      <c r="K1990">
        <v>300</v>
      </c>
      <c r="L1990">
        <v>0.05</v>
      </c>
      <c r="M1990">
        <v>285</v>
      </c>
      <c r="N1990">
        <v>170</v>
      </c>
      <c r="O1990">
        <v>115</v>
      </c>
    </row>
    <row r="1991" spans="1:15" x14ac:dyDescent="0.25">
      <c r="A1991" t="s">
        <v>3044</v>
      </c>
      <c r="B1991" s="2">
        <v>47647</v>
      </c>
      <c r="C1991" t="s">
        <v>360</v>
      </c>
      <c r="D1991" t="s">
        <v>361</v>
      </c>
      <c r="E1991" t="s">
        <v>18</v>
      </c>
      <c r="F1991" t="s">
        <v>94</v>
      </c>
      <c r="G1991" t="s">
        <v>51</v>
      </c>
      <c r="H1991" t="s">
        <v>21</v>
      </c>
      <c r="I1991" t="s">
        <v>116</v>
      </c>
      <c r="J1991">
        <v>1</v>
      </c>
      <c r="K1991">
        <v>1400</v>
      </c>
      <c r="L1991">
        <v>0.1</v>
      </c>
      <c r="M1991">
        <v>1260</v>
      </c>
      <c r="N1991">
        <v>900</v>
      </c>
      <c r="O1991">
        <v>360</v>
      </c>
    </row>
    <row r="1992" spans="1:15" x14ac:dyDescent="0.25">
      <c r="A1992" t="s">
        <v>3045</v>
      </c>
      <c r="B1992" s="2">
        <v>47648</v>
      </c>
      <c r="C1992" t="s">
        <v>977</v>
      </c>
      <c r="D1992" t="s">
        <v>978</v>
      </c>
      <c r="E1992" t="s">
        <v>26</v>
      </c>
      <c r="F1992" t="s">
        <v>46</v>
      </c>
      <c r="G1992" t="s">
        <v>57</v>
      </c>
      <c r="H1992" t="s">
        <v>188</v>
      </c>
      <c r="I1992" t="s">
        <v>189</v>
      </c>
      <c r="J1992">
        <v>2</v>
      </c>
      <c r="K1992">
        <v>6200</v>
      </c>
      <c r="L1992">
        <v>0.2</v>
      </c>
      <c r="M1992">
        <v>9920</v>
      </c>
      <c r="N1992">
        <v>8600</v>
      </c>
      <c r="O1992">
        <v>1320</v>
      </c>
    </row>
    <row r="1993" spans="1:15" x14ac:dyDescent="0.25">
      <c r="A1993" t="s">
        <v>3046</v>
      </c>
      <c r="B1993" s="2">
        <v>47649</v>
      </c>
      <c r="C1993" t="s">
        <v>1932</v>
      </c>
      <c r="D1993" t="s">
        <v>1933</v>
      </c>
      <c r="E1993" t="s">
        <v>18</v>
      </c>
      <c r="F1993" t="s">
        <v>19</v>
      </c>
      <c r="G1993" t="s">
        <v>51</v>
      </c>
      <c r="H1993" t="s">
        <v>21</v>
      </c>
      <c r="I1993" t="s">
        <v>72</v>
      </c>
      <c r="J1993">
        <v>4</v>
      </c>
      <c r="K1993">
        <v>1800</v>
      </c>
      <c r="L1993">
        <v>0.25</v>
      </c>
      <c r="M1993">
        <v>5400</v>
      </c>
      <c r="N1993">
        <v>4400</v>
      </c>
      <c r="O1993">
        <v>1000</v>
      </c>
    </row>
    <row r="1994" spans="1:15" x14ac:dyDescent="0.25">
      <c r="A1994" t="s">
        <v>3047</v>
      </c>
      <c r="B1994" s="2">
        <v>47650</v>
      </c>
      <c r="C1994" t="s">
        <v>475</v>
      </c>
      <c r="D1994" t="s">
        <v>476</v>
      </c>
      <c r="E1994" t="s">
        <v>26</v>
      </c>
      <c r="F1994" t="s">
        <v>46</v>
      </c>
      <c r="G1994" t="s">
        <v>51</v>
      </c>
      <c r="H1994" t="s">
        <v>52</v>
      </c>
      <c r="I1994" t="s">
        <v>53</v>
      </c>
      <c r="J1994">
        <v>5</v>
      </c>
      <c r="K1994">
        <v>2200</v>
      </c>
      <c r="L1994">
        <v>0.15</v>
      </c>
      <c r="M1994">
        <v>9350</v>
      </c>
      <c r="N1994">
        <v>7250</v>
      </c>
      <c r="O1994">
        <v>2100</v>
      </c>
    </row>
    <row r="1995" spans="1:15" x14ac:dyDescent="0.25">
      <c r="A1995" t="s">
        <v>3048</v>
      </c>
      <c r="B1995" s="2">
        <v>47651</v>
      </c>
      <c r="C1995" t="s">
        <v>417</v>
      </c>
      <c r="D1995" t="s">
        <v>418</v>
      </c>
      <c r="E1995" t="s">
        <v>26</v>
      </c>
      <c r="F1995" t="s">
        <v>46</v>
      </c>
      <c r="G1995" t="s">
        <v>28</v>
      </c>
      <c r="H1995" t="s">
        <v>29</v>
      </c>
      <c r="I1995" t="s">
        <v>30</v>
      </c>
      <c r="J1995">
        <v>3</v>
      </c>
      <c r="K1995">
        <v>1900</v>
      </c>
      <c r="L1995">
        <v>0.05</v>
      </c>
      <c r="M1995">
        <v>5415</v>
      </c>
      <c r="N1995">
        <v>3750</v>
      </c>
      <c r="O1995">
        <v>1665</v>
      </c>
    </row>
    <row r="1996" spans="1:15" x14ac:dyDescent="0.25">
      <c r="A1996" t="s">
        <v>3049</v>
      </c>
      <c r="B1996" s="2">
        <v>47652</v>
      </c>
      <c r="C1996" t="s">
        <v>2015</v>
      </c>
      <c r="D1996" t="s">
        <v>2016</v>
      </c>
      <c r="E1996" t="s">
        <v>26</v>
      </c>
      <c r="F1996" t="s">
        <v>204</v>
      </c>
      <c r="G1996" t="s">
        <v>28</v>
      </c>
      <c r="H1996" t="s">
        <v>29</v>
      </c>
      <c r="I1996" t="s">
        <v>35</v>
      </c>
      <c r="J1996">
        <v>1</v>
      </c>
      <c r="K1996">
        <v>4200</v>
      </c>
      <c r="L1996">
        <v>0.2</v>
      </c>
      <c r="M1996">
        <v>3360</v>
      </c>
      <c r="N1996">
        <v>2900</v>
      </c>
      <c r="O1996">
        <v>460</v>
      </c>
    </row>
    <row r="1997" spans="1:15" x14ac:dyDescent="0.25">
      <c r="A1997" t="s">
        <v>3050</v>
      </c>
      <c r="B1997" s="2">
        <v>47653</v>
      </c>
      <c r="C1997" t="s">
        <v>934</v>
      </c>
      <c r="D1997" t="s">
        <v>935</v>
      </c>
      <c r="E1997" t="s">
        <v>26</v>
      </c>
      <c r="F1997" t="s">
        <v>204</v>
      </c>
      <c r="G1997" t="s">
        <v>51</v>
      </c>
      <c r="H1997" t="s">
        <v>52</v>
      </c>
      <c r="I1997" t="s">
        <v>53</v>
      </c>
      <c r="J1997">
        <v>4</v>
      </c>
      <c r="K1997">
        <v>2200</v>
      </c>
      <c r="L1997">
        <v>0.05</v>
      </c>
      <c r="M1997">
        <v>8360</v>
      </c>
      <c r="N1997">
        <v>5800</v>
      </c>
      <c r="O1997">
        <v>2560</v>
      </c>
    </row>
    <row r="1998" spans="1:15" x14ac:dyDescent="0.25">
      <c r="A1998" t="s">
        <v>3051</v>
      </c>
      <c r="B1998" s="2">
        <v>47654</v>
      </c>
      <c r="C1998" t="s">
        <v>1176</v>
      </c>
      <c r="D1998" t="s">
        <v>1177</v>
      </c>
      <c r="E1998" t="s">
        <v>26</v>
      </c>
      <c r="F1998" t="s">
        <v>27</v>
      </c>
      <c r="G1998" t="s">
        <v>57</v>
      </c>
      <c r="H1998" t="s">
        <v>58</v>
      </c>
      <c r="I1998" t="s">
        <v>59</v>
      </c>
      <c r="J1998">
        <v>3</v>
      </c>
      <c r="K1998">
        <v>5600</v>
      </c>
      <c r="L1998">
        <v>0</v>
      </c>
      <c r="M1998">
        <v>16800</v>
      </c>
      <c r="N1998">
        <v>11700</v>
      </c>
      <c r="O1998">
        <v>5100</v>
      </c>
    </row>
    <row r="1999" spans="1:15" x14ac:dyDescent="0.25">
      <c r="A1999" t="s">
        <v>3052</v>
      </c>
      <c r="B1999" s="2">
        <v>47655</v>
      </c>
      <c r="C1999" t="s">
        <v>1393</v>
      </c>
      <c r="D1999" t="s">
        <v>1394</v>
      </c>
      <c r="E1999" t="s">
        <v>26</v>
      </c>
      <c r="F1999" t="s">
        <v>27</v>
      </c>
      <c r="G1999" t="s">
        <v>57</v>
      </c>
      <c r="H1999" t="s">
        <v>58</v>
      </c>
      <c r="I1999" t="s">
        <v>59</v>
      </c>
      <c r="J1999">
        <v>2</v>
      </c>
      <c r="K1999">
        <v>5600</v>
      </c>
      <c r="L1999">
        <v>0.2</v>
      </c>
      <c r="M1999">
        <v>8960</v>
      </c>
      <c r="N1999">
        <v>7800</v>
      </c>
      <c r="O1999">
        <v>1160</v>
      </c>
    </row>
    <row r="2000" spans="1:15" x14ac:dyDescent="0.25">
      <c r="A2000" t="s">
        <v>3053</v>
      </c>
      <c r="B2000" s="2">
        <v>47656</v>
      </c>
      <c r="C2000" t="s">
        <v>1404</v>
      </c>
      <c r="D2000" t="s">
        <v>1405</v>
      </c>
      <c r="E2000" t="s">
        <v>26</v>
      </c>
      <c r="F2000" t="s">
        <v>128</v>
      </c>
      <c r="G2000" t="s">
        <v>51</v>
      </c>
      <c r="H2000" t="s">
        <v>52</v>
      </c>
      <c r="I2000" t="s">
        <v>53</v>
      </c>
      <c r="J2000">
        <v>3</v>
      </c>
      <c r="K2000">
        <v>2200</v>
      </c>
      <c r="L2000">
        <v>0.15</v>
      </c>
      <c r="M2000">
        <v>5610</v>
      </c>
      <c r="N2000">
        <v>4350</v>
      </c>
      <c r="O2000">
        <v>1260</v>
      </c>
    </row>
    <row r="2001" spans="1:15" x14ac:dyDescent="0.25">
      <c r="A2001" t="s">
        <v>3054</v>
      </c>
      <c r="B2001" s="2">
        <v>47657</v>
      </c>
      <c r="C2001" t="s">
        <v>1551</v>
      </c>
      <c r="D2001" t="s">
        <v>1552</v>
      </c>
      <c r="E2001" t="s">
        <v>26</v>
      </c>
      <c r="F2001" t="s">
        <v>46</v>
      </c>
      <c r="G2001" t="s">
        <v>51</v>
      </c>
      <c r="H2001" t="s">
        <v>21</v>
      </c>
      <c r="I2001" t="s">
        <v>116</v>
      </c>
      <c r="J2001">
        <v>3</v>
      </c>
      <c r="K2001">
        <v>1400</v>
      </c>
      <c r="L2001">
        <v>0.1</v>
      </c>
      <c r="M2001">
        <v>3780</v>
      </c>
      <c r="N2001">
        <v>2700</v>
      </c>
      <c r="O2001">
        <v>1080</v>
      </c>
    </row>
    <row r="2002" spans="1:15" x14ac:dyDescent="0.25">
      <c r="A2002" t="s">
        <v>3055</v>
      </c>
      <c r="B2002" s="2">
        <v>47658</v>
      </c>
      <c r="C2002" t="s">
        <v>1847</v>
      </c>
      <c r="D2002" t="s">
        <v>1848</v>
      </c>
      <c r="E2002" t="s">
        <v>26</v>
      </c>
      <c r="F2002" t="s">
        <v>128</v>
      </c>
      <c r="G2002" t="s">
        <v>28</v>
      </c>
      <c r="H2002" t="s">
        <v>29</v>
      </c>
      <c r="I2002" t="s">
        <v>35</v>
      </c>
      <c r="J2002">
        <v>4</v>
      </c>
      <c r="K2002">
        <v>4200</v>
      </c>
      <c r="L2002">
        <v>0.05</v>
      </c>
      <c r="M2002">
        <v>15960</v>
      </c>
      <c r="N2002">
        <v>11600</v>
      </c>
      <c r="O2002">
        <v>4360</v>
      </c>
    </row>
    <row r="2003" spans="1:15" x14ac:dyDescent="0.25">
      <c r="A2003" t="s">
        <v>3056</v>
      </c>
      <c r="B2003" s="2">
        <v>47659</v>
      </c>
      <c r="C2003" t="s">
        <v>2136</v>
      </c>
      <c r="D2003" t="s">
        <v>2137</v>
      </c>
      <c r="E2003" t="s">
        <v>39</v>
      </c>
      <c r="F2003" t="s">
        <v>124</v>
      </c>
      <c r="G2003" t="s">
        <v>28</v>
      </c>
      <c r="H2003" t="s">
        <v>63</v>
      </c>
      <c r="I2003" t="s">
        <v>64</v>
      </c>
      <c r="J2003">
        <v>5</v>
      </c>
      <c r="K2003">
        <v>2400</v>
      </c>
      <c r="L2003">
        <v>0.2</v>
      </c>
      <c r="M2003">
        <v>9600</v>
      </c>
      <c r="N2003">
        <v>8250</v>
      </c>
      <c r="O2003">
        <v>1350</v>
      </c>
    </row>
    <row r="2004" spans="1:15" x14ac:dyDescent="0.25">
      <c r="A2004" t="s">
        <v>3057</v>
      </c>
      <c r="B2004" s="2">
        <v>47660</v>
      </c>
      <c r="C2004" t="s">
        <v>78</v>
      </c>
      <c r="D2004" t="s">
        <v>79</v>
      </c>
      <c r="E2004" t="s">
        <v>26</v>
      </c>
      <c r="F2004" t="s">
        <v>27</v>
      </c>
      <c r="G2004" t="s">
        <v>20</v>
      </c>
      <c r="H2004" t="s">
        <v>21</v>
      </c>
      <c r="I2004" t="s">
        <v>22</v>
      </c>
      <c r="J2004">
        <v>3</v>
      </c>
      <c r="K2004">
        <v>650</v>
      </c>
      <c r="L2004">
        <v>0.1</v>
      </c>
      <c r="M2004">
        <v>1755</v>
      </c>
      <c r="N2004">
        <v>1170</v>
      </c>
      <c r="O2004">
        <v>585</v>
      </c>
    </row>
    <row r="2005" spans="1:15" x14ac:dyDescent="0.25">
      <c r="A2005" t="s">
        <v>3058</v>
      </c>
      <c r="B2005" s="2">
        <v>47661</v>
      </c>
      <c r="C2005" t="s">
        <v>475</v>
      </c>
      <c r="D2005" t="s">
        <v>476</v>
      </c>
      <c r="E2005" t="s">
        <v>18</v>
      </c>
      <c r="F2005" t="s">
        <v>115</v>
      </c>
      <c r="G2005" t="s">
        <v>20</v>
      </c>
      <c r="H2005" t="s">
        <v>84</v>
      </c>
      <c r="I2005" t="s">
        <v>85</v>
      </c>
      <c r="J2005">
        <v>4</v>
      </c>
      <c r="K2005">
        <v>280</v>
      </c>
      <c r="L2005">
        <v>0</v>
      </c>
      <c r="M2005">
        <v>1120</v>
      </c>
      <c r="N2005">
        <v>640</v>
      </c>
      <c r="O2005">
        <v>480</v>
      </c>
    </row>
    <row r="2006" spans="1:15" x14ac:dyDescent="0.25">
      <c r="A2006" t="s">
        <v>3059</v>
      </c>
      <c r="B2006" s="2">
        <v>47662</v>
      </c>
      <c r="C2006" t="s">
        <v>1514</v>
      </c>
      <c r="D2006" t="s">
        <v>1515</v>
      </c>
      <c r="E2006" t="s">
        <v>26</v>
      </c>
      <c r="F2006" t="s">
        <v>46</v>
      </c>
      <c r="G2006" t="s">
        <v>51</v>
      </c>
      <c r="H2006" t="s">
        <v>21</v>
      </c>
      <c r="I2006" t="s">
        <v>80</v>
      </c>
      <c r="J2006">
        <v>4</v>
      </c>
      <c r="K2006">
        <v>850</v>
      </c>
      <c r="L2006">
        <v>0.1</v>
      </c>
      <c r="M2006">
        <v>3060</v>
      </c>
      <c r="N2006">
        <v>2240</v>
      </c>
      <c r="O2006">
        <v>820</v>
      </c>
    </row>
    <row r="2007" spans="1:15" x14ac:dyDescent="0.25">
      <c r="A2007" t="s">
        <v>3060</v>
      </c>
      <c r="B2007" s="2">
        <v>47663</v>
      </c>
      <c r="C2007" t="s">
        <v>350</v>
      </c>
      <c r="D2007" t="s">
        <v>351</v>
      </c>
      <c r="E2007" t="s">
        <v>96</v>
      </c>
      <c r="F2007" t="s">
        <v>120</v>
      </c>
      <c r="G2007" t="s">
        <v>28</v>
      </c>
      <c r="H2007" t="s">
        <v>29</v>
      </c>
      <c r="I2007" t="s">
        <v>30</v>
      </c>
      <c r="J2007">
        <v>1</v>
      </c>
      <c r="K2007">
        <v>1900</v>
      </c>
      <c r="L2007">
        <v>0.1</v>
      </c>
      <c r="M2007">
        <v>1710</v>
      </c>
      <c r="N2007">
        <v>1250</v>
      </c>
      <c r="O2007">
        <v>460</v>
      </c>
    </row>
    <row r="2008" spans="1:15" x14ac:dyDescent="0.25">
      <c r="A2008" t="s">
        <v>3061</v>
      </c>
      <c r="B2008" s="2">
        <v>47664</v>
      </c>
      <c r="C2008" t="s">
        <v>1040</v>
      </c>
      <c r="D2008" t="s">
        <v>1041</v>
      </c>
      <c r="E2008" t="s">
        <v>39</v>
      </c>
      <c r="F2008" t="s">
        <v>76</v>
      </c>
      <c r="G2008" t="s">
        <v>20</v>
      </c>
      <c r="H2008" t="s">
        <v>41</v>
      </c>
      <c r="I2008" t="s">
        <v>42</v>
      </c>
      <c r="J2008">
        <v>5</v>
      </c>
      <c r="K2008">
        <v>520</v>
      </c>
      <c r="L2008">
        <v>0.05</v>
      </c>
      <c r="M2008">
        <v>2470</v>
      </c>
      <c r="N2008">
        <v>1650</v>
      </c>
      <c r="O2008">
        <v>820</v>
      </c>
    </row>
    <row r="2009" spans="1:15" x14ac:dyDescent="0.25">
      <c r="A2009" t="s">
        <v>3062</v>
      </c>
      <c r="B2009" s="2">
        <v>47665</v>
      </c>
      <c r="C2009" t="s">
        <v>3063</v>
      </c>
      <c r="D2009" t="s">
        <v>3064</v>
      </c>
      <c r="E2009" t="s">
        <v>18</v>
      </c>
      <c r="F2009" t="s">
        <v>115</v>
      </c>
      <c r="G2009" t="s">
        <v>51</v>
      </c>
      <c r="H2009" t="s">
        <v>21</v>
      </c>
      <c r="I2009" t="s">
        <v>72</v>
      </c>
      <c r="J2009">
        <v>4</v>
      </c>
      <c r="K2009">
        <v>1800</v>
      </c>
      <c r="L2009">
        <v>0.05</v>
      </c>
      <c r="M2009">
        <v>6840</v>
      </c>
      <c r="N2009">
        <v>4400</v>
      </c>
      <c r="O2009">
        <v>2440</v>
      </c>
    </row>
    <row r="2010" spans="1:15" x14ac:dyDescent="0.25">
      <c r="A2010" t="s">
        <v>3065</v>
      </c>
      <c r="B2010" s="2">
        <v>47666</v>
      </c>
      <c r="C2010" t="s">
        <v>357</v>
      </c>
      <c r="D2010" t="s">
        <v>358</v>
      </c>
      <c r="E2010" t="s">
        <v>26</v>
      </c>
      <c r="F2010" t="s">
        <v>204</v>
      </c>
      <c r="G2010" t="s">
        <v>57</v>
      </c>
      <c r="H2010" t="s">
        <v>104</v>
      </c>
      <c r="I2010" t="s">
        <v>105</v>
      </c>
      <c r="J2010">
        <v>4</v>
      </c>
      <c r="K2010">
        <v>7500</v>
      </c>
      <c r="L2010">
        <v>0.25</v>
      </c>
      <c r="M2010">
        <v>22500</v>
      </c>
      <c r="N2010">
        <v>20800</v>
      </c>
      <c r="O2010">
        <v>1700</v>
      </c>
    </row>
    <row r="2011" spans="1:15" x14ac:dyDescent="0.25">
      <c r="A2011" t="s">
        <v>3066</v>
      </c>
      <c r="B2011" s="2">
        <v>47667</v>
      </c>
      <c r="C2011" t="s">
        <v>1375</v>
      </c>
      <c r="D2011" t="s">
        <v>1376</v>
      </c>
      <c r="E2011" t="s">
        <v>39</v>
      </c>
      <c r="F2011" t="s">
        <v>76</v>
      </c>
      <c r="G2011" t="s">
        <v>51</v>
      </c>
      <c r="H2011" t="s">
        <v>21</v>
      </c>
      <c r="I2011" t="s">
        <v>116</v>
      </c>
      <c r="J2011">
        <v>5</v>
      </c>
      <c r="K2011">
        <v>1400</v>
      </c>
      <c r="L2011">
        <v>0.05</v>
      </c>
      <c r="M2011">
        <v>6650</v>
      </c>
      <c r="N2011">
        <v>4500</v>
      </c>
      <c r="O2011">
        <v>2150</v>
      </c>
    </row>
    <row r="2012" spans="1:15" x14ac:dyDescent="0.25">
      <c r="A2012" t="s">
        <v>3067</v>
      </c>
      <c r="B2012" s="2">
        <v>47668</v>
      </c>
      <c r="C2012" t="s">
        <v>1085</v>
      </c>
      <c r="D2012" t="s">
        <v>1086</v>
      </c>
      <c r="E2012" t="s">
        <v>18</v>
      </c>
      <c r="F2012" t="s">
        <v>227</v>
      </c>
      <c r="G2012" t="s">
        <v>20</v>
      </c>
      <c r="H2012" t="s">
        <v>21</v>
      </c>
      <c r="I2012" t="s">
        <v>22</v>
      </c>
      <c r="J2012">
        <v>2</v>
      </c>
      <c r="K2012">
        <v>650</v>
      </c>
      <c r="L2012">
        <v>0.2</v>
      </c>
      <c r="M2012">
        <v>1040</v>
      </c>
      <c r="N2012">
        <v>780</v>
      </c>
      <c r="O2012">
        <v>260</v>
      </c>
    </row>
    <row r="2013" spans="1:15" x14ac:dyDescent="0.25">
      <c r="A2013" t="s">
        <v>3068</v>
      </c>
      <c r="B2013" s="2">
        <v>47669</v>
      </c>
      <c r="C2013" t="s">
        <v>1130</v>
      </c>
      <c r="D2013" t="s">
        <v>1131</v>
      </c>
      <c r="E2013" t="s">
        <v>96</v>
      </c>
      <c r="F2013" t="s">
        <v>196</v>
      </c>
      <c r="G2013" t="s">
        <v>57</v>
      </c>
      <c r="H2013" t="s">
        <v>58</v>
      </c>
      <c r="I2013" t="s">
        <v>129</v>
      </c>
      <c r="J2013">
        <v>3</v>
      </c>
      <c r="K2013">
        <v>4800</v>
      </c>
      <c r="L2013">
        <v>0.15</v>
      </c>
      <c r="M2013">
        <v>12240</v>
      </c>
      <c r="N2013">
        <v>9900</v>
      </c>
      <c r="O2013">
        <v>2340</v>
      </c>
    </row>
    <row r="2014" spans="1:15" x14ac:dyDescent="0.25">
      <c r="A2014" t="s">
        <v>3069</v>
      </c>
      <c r="B2014" s="2">
        <v>47670</v>
      </c>
      <c r="C2014" t="s">
        <v>1037</v>
      </c>
      <c r="D2014" t="s">
        <v>1038</v>
      </c>
      <c r="E2014" t="s">
        <v>26</v>
      </c>
      <c r="F2014" t="s">
        <v>34</v>
      </c>
      <c r="G2014" t="s">
        <v>57</v>
      </c>
      <c r="H2014" t="s">
        <v>188</v>
      </c>
      <c r="I2014" t="s">
        <v>189</v>
      </c>
      <c r="J2014">
        <v>4</v>
      </c>
      <c r="K2014">
        <v>6200</v>
      </c>
      <c r="L2014">
        <v>0.25</v>
      </c>
      <c r="M2014">
        <v>18600</v>
      </c>
      <c r="N2014">
        <v>17200</v>
      </c>
      <c r="O2014">
        <v>1400</v>
      </c>
    </row>
    <row r="2015" spans="1:15" x14ac:dyDescent="0.25">
      <c r="A2015" t="s">
        <v>3070</v>
      </c>
      <c r="B2015" s="2">
        <v>47671</v>
      </c>
      <c r="C2015" t="s">
        <v>191</v>
      </c>
      <c r="D2015" t="s">
        <v>192</v>
      </c>
      <c r="E2015" t="s">
        <v>26</v>
      </c>
      <c r="F2015" t="s">
        <v>27</v>
      </c>
      <c r="G2015" t="s">
        <v>57</v>
      </c>
      <c r="H2015" t="s">
        <v>58</v>
      </c>
      <c r="I2015" t="s">
        <v>59</v>
      </c>
      <c r="J2015">
        <v>4</v>
      </c>
      <c r="K2015">
        <v>5600</v>
      </c>
      <c r="L2015">
        <v>0.05</v>
      </c>
      <c r="M2015">
        <v>21280</v>
      </c>
      <c r="N2015">
        <v>15600</v>
      </c>
      <c r="O2015">
        <v>5680</v>
      </c>
    </row>
    <row r="2016" spans="1:15" x14ac:dyDescent="0.25">
      <c r="A2016" t="s">
        <v>3071</v>
      </c>
      <c r="B2016" s="2">
        <v>47672</v>
      </c>
      <c r="C2016" t="s">
        <v>1920</v>
      </c>
      <c r="D2016" t="s">
        <v>1921</v>
      </c>
      <c r="E2016" t="s">
        <v>39</v>
      </c>
      <c r="F2016" t="s">
        <v>124</v>
      </c>
      <c r="G2016" t="s">
        <v>51</v>
      </c>
      <c r="H2016" t="s">
        <v>89</v>
      </c>
      <c r="I2016" t="s">
        <v>90</v>
      </c>
      <c r="J2016">
        <v>4</v>
      </c>
      <c r="K2016">
        <v>10500</v>
      </c>
      <c r="L2016">
        <v>0.15</v>
      </c>
      <c r="M2016">
        <v>35700</v>
      </c>
      <c r="N2016">
        <v>30400</v>
      </c>
      <c r="O2016">
        <v>5300</v>
      </c>
    </row>
    <row r="2017" spans="1:15" x14ac:dyDescent="0.25">
      <c r="A2017" t="s">
        <v>3072</v>
      </c>
      <c r="B2017" s="2">
        <v>47673</v>
      </c>
      <c r="C2017" t="s">
        <v>281</v>
      </c>
      <c r="D2017" t="s">
        <v>282</v>
      </c>
      <c r="E2017" t="s">
        <v>26</v>
      </c>
      <c r="F2017" t="s">
        <v>27</v>
      </c>
      <c r="G2017" t="s">
        <v>28</v>
      </c>
      <c r="H2017" t="s">
        <v>29</v>
      </c>
      <c r="I2017" t="s">
        <v>30</v>
      </c>
      <c r="J2017">
        <v>3</v>
      </c>
      <c r="K2017">
        <v>1900</v>
      </c>
      <c r="L2017">
        <v>0.1</v>
      </c>
      <c r="M2017">
        <v>5130</v>
      </c>
      <c r="N2017">
        <v>3750</v>
      </c>
      <c r="O2017">
        <v>1380</v>
      </c>
    </row>
    <row r="2018" spans="1:15" x14ac:dyDescent="0.25">
      <c r="A2018" t="s">
        <v>3073</v>
      </c>
      <c r="B2018" s="2">
        <v>47674</v>
      </c>
      <c r="C2018" t="s">
        <v>469</v>
      </c>
      <c r="D2018" t="s">
        <v>470</v>
      </c>
      <c r="E2018" t="s">
        <v>96</v>
      </c>
      <c r="F2018" t="s">
        <v>200</v>
      </c>
      <c r="G2018" t="s">
        <v>20</v>
      </c>
      <c r="H2018" t="s">
        <v>84</v>
      </c>
      <c r="I2018" t="s">
        <v>210</v>
      </c>
      <c r="J2018">
        <v>5</v>
      </c>
      <c r="K2018">
        <v>300</v>
      </c>
      <c r="L2018">
        <v>0</v>
      </c>
      <c r="M2018">
        <v>1500</v>
      </c>
      <c r="N2018">
        <v>850</v>
      </c>
      <c r="O2018">
        <v>650</v>
      </c>
    </row>
    <row r="2019" spans="1:15" x14ac:dyDescent="0.25">
      <c r="A2019" t="s">
        <v>3074</v>
      </c>
      <c r="B2019" s="2">
        <v>47675</v>
      </c>
      <c r="C2019" t="s">
        <v>232</v>
      </c>
      <c r="D2019" t="s">
        <v>233</v>
      </c>
      <c r="E2019" t="s">
        <v>26</v>
      </c>
      <c r="F2019" t="s">
        <v>34</v>
      </c>
      <c r="G2019" t="s">
        <v>20</v>
      </c>
      <c r="H2019" t="s">
        <v>41</v>
      </c>
      <c r="I2019" t="s">
        <v>42</v>
      </c>
      <c r="J2019">
        <v>5</v>
      </c>
      <c r="K2019">
        <v>520</v>
      </c>
      <c r="L2019">
        <v>0.2</v>
      </c>
      <c r="M2019">
        <v>2080</v>
      </c>
      <c r="N2019">
        <v>1650</v>
      </c>
      <c r="O2019">
        <v>430</v>
      </c>
    </row>
    <row r="2020" spans="1:15" x14ac:dyDescent="0.25">
      <c r="A2020" t="s">
        <v>3075</v>
      </c>
      <c r="B2020" s="2">
        <v>47676</v>
      </c>
      <c r="C2020" t="s">
        <v>1755</v>
      </c>
      <c r="D2020" t="s">
        <v>1756</v>
      </c>
      <c r="E2020" t="s">
        <v>26</v>
      </c>
      <c r="F2020" t="s">
        <v>46</v>
      </c>
      <c r="G2020" t="s">
        <v>28</v>
      </c>
      <c r="H2020" t="s">
        <v>29</v>
      </c>
      <c r="I2020" t="s">
        <v>30</v>
      </c>
      <c r="J2020">
        <v>1</v>
      </c>
      <c r="K2020">
        <v>1900</v>
      </c>
      <c r="L2020">
        <v>0.15</v>
      </c>
      <c r="M2020">
        <v>1615</v>
      </c>
      <c r="N2020">
        <v>1250</v>
      </c>
      <c r="O2020">
        <v>365</v>
      </c>
    </row>
    <row r="2021" spans="1:15" x14ac:dyDescent="0.25">
      <c r="A2021" t="s">
        <v>3076</v>
      </c>
      <c r="B2021" s="2">
        <v>47677</v>
      </c>
      <c r="C2021" t="s">
        <v>685</v>
      </c>
      <c r="D2021" t="s">
        <v>686</v>
      </c>
      <c r="E2021" t="s">
        <v>96</v>
      </c>
      <c r="F2021" t="s">
        <v>196</v>
      </c>
      <c r="G2021" t="s">
        <v>57</v>
      </c>
      <c r="H2021" t="s">
        <v>104</v>
      </c>
      <c r="I2021" t="s">
        <v>105</v>
      </c>
      <c r="J2021">
        <v>5</v>
      </c>
      <c r="K2021">
        <v>7500</v>
      </c>
      <c r="L2021">
        <v>0.1</v>
      </c>
      <c r="M2021">
        <v>33750</v>
      </c>
      <c r="N2021">
        <v>26000</v>
      </c>
      <c r="O2021">
        <v>7750</v>
      </c>
    </row>
    <row r="2022" spans="1:15" x14ac:dyDescent="0.25">
      <c r="A2022" t="s">
        <v>3077</v>
      </c>
      <c r="B2022" s="2">
        <v>47678</v>
      </c>
      <c r="C2022" t="s">
        <v>1498</v>
      </c>
      <c r="D2022" t="s">
        <v>1499</v>
      </c>
      <c r="E2022" t="s">
        <v>96</v>
      </c>
      <c r="F2022" t="s">
        <v>200</v>
      </c>
      <c r="G2022" t="s">
        <v>28</v>
      </c>
      <c r="H2022" t="s">
        <v>29</v>
      </c>
      <c r="I2022" t="s">
        <v>30</v>
      </c>
      <c r="J2022">
        <v>5</v>
      </c>
      <c r="K2022">
        <v>1900</v>
      </c>
      <c r="L2022">
        <v>0.05</v>
      </c>
      <c r="M2022">
        <v>9025</v>
      </c>
      <c r="N2022">
        <v>6250</v>
      </c>
      <c r="O2022">
        <v>2775</v>
      </c>
    </row>
    <row r="2023" spans="1:15" x14ac:dyDescent="0.25">
      <c r="A2023" t="s">
        <v>3078</v>
      </c>
      <c r="B2023" s="2">
        <v>47679</v>
      </c>
      <c r="C2023" t="s">
        <v>1461</v>
      </c>
      <c r="D2023" t="s">
        <v>1462</v>
      </c>
      <c r="E2023" t="s">
        <v>96</v>
      </c>
      <c r="F2023" t="s">
        <v>196</v>
      </c>
      <c r="G2023" t="s">
        <v>20</v>
      </c>
      <c r="H2023" t="s">
        <v>21</v>
      </c>
      <c r="I2023" t="s">
        <v>22</v>
      </c>
      <c r="J2023">
        <v>1</v>
      </c>
      <c r="K2023">
        <v>650</v>
      </c>
      <c r="L2023">
        <v>0.1</v>
      </c>
      <c r="M2023">
        <v>585</v>
      </c>
      <c r="N2023">
        <v>390</v>
      </c>
      <c r="O2023">
        <v>195</v>
      </c>
    </row>
    <row r="2024" spans="1:15" x14ac:dyDescent="0.25">
      <c r="A2024" t="s">
        <v>3079</v>
      </c>
      <c r="B2024" s="2">
        <v>47680</v>
      </c>
      <c r="C2024" t="s">
        <v>3080</v>
      </c>
      <c r="D2024" t="s">
        <v>3081</v>
      </c>
      <c r="E2024" t="s">
        <v>39</v>
      </c>
      <c r="F2024" t="s">
        <v>76</v>
      </c>
      <c r="G2024" t="s">
        <v>51</v>
      </c>
      <c r="H2024" t="s">
        <v>21</v>
      </c>
      <c r="I2024" t="s">
        <v>72</v>
      </c>
      <c r="J2024">
        <v>1</v>
      </c>
      <c r="K2024">
        <v>1800</v>
      </c>
      <c r="L2024">
        <v>0.15</v>
      </c>
      <c r="M2024">
        <v>1530</v>
      </c>
      <c r="N2024">
        <v>1100</v>
      </c>
      <c r="O2024">
        <v>430</v>
      </c>
    </row>
    <row r="2025" spans="1:15" x14ac:dyDescent="0.25">
      <c r="A2025" t="s">
        <v>3082</v>
      </c>
      <c r="B2025" s="2">
        <v>47681</v>
      </c>
      <c r="C2025" t="s">
        <v>2230</v>
      </c>
      <c r="D2025" t="s">
        <v>2231</v>
      </c>
      <c r="E2025" t="s">
        <v>26</v>
      </c>
      <c r="F2025" t="s">
        <v>46</v>
      </c>
      <c r="G2025" t="s">
        <v>51</v>
      </c>
      <c r="H2025" t="s">
        <v>89</v>
      </c>
      <c r="I2025" t="s">
        <v>90</v>
      </c>
      <c r="J2025">
        <v>3</v>
      </c>
      <c r="K2025">
        <v>10500</v>
      </c>
      <c r="L2025">
        <v>0.15</v>
      </c>
      <c r="M2025">
        <v>26775</v>
      </c>
      <c r="N2025">
        <v>22800</v>
      </c>
      <c r="O2025">
        <v>3975</v>
      </c>
    </row>
    <row r="2026" spans="1:15" x14ac:dyDescent="0.25">
      <c r="A2026" t="s">
        <v>3083</v>
      </c>
      <c r="B2026" s="2">
        <v>47682</v>
      </c>
      <c r="C2026" t="s">
        <v>186</v>
      </c>
      <c r="D2026" t="s">
        <v>187</v>
      </c>
      <c r="E2026" t="s">
        <v>26</v>
      </c>
      <c r="F2026" t="s">
        <v>34</v>
      </c>
      <c r="G2026" t="s">
        <v>57</v>
      </c>
      <c r="H2026" t="s">
        <v>188</v>
      </c>
      <c r="I2026" t="s">
        <v>189</v>
      </c>
      <c r="J2026">
        <v>4</v>
      </c>
      <c r="K2026">
        <v>6200</v>
      </c>
      <c r="L2026">
        <v>0.1</v>
      </c>
      <c r="M2026">
        <v>22320</v>
      </c>
      <c r="N2026">
        <v>17200</v>
      </c>
      <c r="O2026">
        <v>5120</v>
      </c>
    </row>
    <row r="2027" spans="1:15" x14ac:dyDescent="0.25">
      <c r="A2027" t="s">
        <v>3084</v>
      </c>
      <c r="B2027" s="2">
        <v>47683</v>
      </c>
      <c r="C2027" t="s">
        <v>399</v>
      </c>
      <c r="D2027" t="s">
        <v>400</v>
      </c>
      <c r="E2027" t="s">
        <v>26</v>
      </c>
      <c r="F2027" t="s">
        <v>34</v>
      </c>
      <c r="G2027" t="s">
        <v>51</v>
      </c>
      <c r="H2027" t="s">
        <v>52</v>
      </c>
      <c r="I2027" t="s">
        <v>208</v>
      </c>
      <c r="J2027">
        <v>5</v>
      </c>
      <c r="K2027">
        <v>2800</v>
      </c>
      <c r="L2027">
        <v>0.15</v>
      </c>
      <c r="M2027">
        <v>11900</v>
      </c>
      <c r="N2027">
        <v>9000</v>
      </c>
      <c r="O2027">
        <v>2900</v>
      </c>
    </row>
    <row r="2028" spans="1:15" x14ac:dyDescent="0.25">
      <c r="A2028" t="s">
        <v>3085</v>
      </c>
      <c r="B2028" s="2">
        <v>47684</v>
      </c>
      <c r="C2028" t="s">
        <v>1323</v>
      </c>
      <c r="D2028" t="s">
        <v>1324</v>
      </c>
      <c r="E2028" t="s">
        <v>96</v>
      </c>
      <c r="F2028" t="s">
        <v>97</v>
      </c>
      <c r="G2028" t="s">
        <v>51</v>
      </c>
      <c r="H2028" t="s">
        <v>21</v>
      </c>
      <c r="I2028" t="s">
        <v>80</v>
      </c>
      <c r="J2028">
        <v>1</v>
      </c>
      <c r="K2028">
        <v>850</v>
      </c>
      <c r="L2028">
        <v>0.1</v>
      </c>
      <c r="M2028">
        <v>765</v>
      </c>
      <c r="N2028">
        <v>560</v>
      </c>
      <c r="O2028">
        <v>205</v>
      </c>
    </row>
    <row r="2029" spans="1:15" x14ac:dyDescent="0.25">
      <c r="A2029" t="s">
        <v>3086</v>
      </c>
      <c r="B2029" s="2">
        <v>47685</v>
      </c>
      <c r="C2029" t="s">
        <v>186</v>
      </c>
      <c r="D2029" t="s">
        <v>187</v>
      </c>
      <c r="E2029" t="s">
        <v>96</v>
      </c>
      <c r="F2029" t="s">
        <v>120</v>
      </c>
      <c r="G2029" t="s">
        <v>51</v>
      </c>
      <c r="H2029" t="s">
        <v>21</v>
      </c>
      <c r="I2029" t="s">
        <v>80</v>
      </c>
      <c r="J2029">
        <v>2</v>
      </c>
      <c r="K2029">
        <v>850</v>
      </c>
      <c r="L2029">
        <v>0.1</v>
      </c>
      <c r="M2029">
        <v>1530</v>
      </c>
      <c r="N2029">
        <v>1120</v>
      </c>
      <c r="O2029">
        <v>410</v>
      </c>
    </row>
    <row r="2030" spans="1:15" x14ac:dyDescent="0.25">
      <c r="A2030" t="s">
        <v>3087</v>
      </c>
      <c r="B2030" s="2">
        <v>47686</v>
      </c>
      <c r="C2030" t="s">
        <v>853</v>
      </c>
      <c r="D2030" t="s">
        <v>854</v>
      </c>
      <c r="E2030" t="s">
        <v>26</v>
      </c>
      <c r="F2030" t="s">
        <v>204</v>
      </c>
      <c r="G2030" t="s">
        <v>51</v>
      </c>
      <c r="H2030" t="s">
        <v>21</v>
      </c>
      <c r="I2030" t="s">
        <v>116</v>
      </c>
      <c r="J2030">
        <v>4</v>
      </c>
      <c r="K2030">
        <v>1400</v>
      </c>
      <c r="L2030">
        <v>0.05</v>
      </c>
      <c r="M2030">
        <v>5320</v>
      </c>
      <c r="N2030">
        <v>3600</v>
      </c>
      <c r="O2030">
        <v>1720</v>
      </c>
    </row>
    <row r="2031" spans="1:15" x14ac:dyDescent="0.25">
      <c r="A2031" t="s">
        <v>3088</v>
      </c>
      <c r="B2031" s="2">
        <v>47687</v>
      </c>
      <c r="C2031" t="s">
        <v>582</v>
      </c>
      <c r="D2031" t="s">
        <v>583</v>
      </c>
      <c r="E2031" t="s">
        <v>26</v>
      </c>
      <c r="F2031" t="s">
        <v>46</v>
      </c>
      <c r="G2031" t="s">
        <v>20</v>
      </c>
      <c r="H2031" t="s">
        <v>84</v>
      </c>
      <c r="I2031" t="s">
        <v>85</v>
      </c>
      <c r="J2031">
        <v>3</v>
      </c>
      <c r="K2031">
        <v>280</v>
      </c>
      <c r="L2031">
        <v>0</v>
      </c>
      <c r="M2031">
        <v>840</v>
      </c>
      <c r="N2031">
        <v>480</v>
      </c>
      <c r="O2031">
        <v>360</v>
      </c>
    </row>
    <row r="2032" spans="1:15" x14ac:dyDescent="0.25">
      <c r="A2032" t="s">
        <v>3089</v>
      </c>
      <c r="B2032" s="2">
        <v>47688</v>
      </c>
      <c r="C2032" t="s">
        <v>893</v>
      </c>
      <c r="D2032" t="s">
        <v>894</v>
      </c>
      <c r="E2032" t="s">
        <v>96</v>
      </c>
      <c r="F2032" t="s">
        <v>196</v>
      </c>
      <c r="G2032" t="s">
        <v>20</v>
      </c>
      <c r="H2032" t="s">
        <v>41</v>
      </c>
      <c r="I2032" t="s">
        <v>42</v>
      </c>
      <c r="J2032">
        <v>2</v>
      </c>
      <c r="K2032">
        <v>520</v>
      </c>
      <c r="L2032">
        <v>0.1</v>
      </c>
      <c r="M2032">
        <v>936</v>
      </c>
      <c r="N2032">
        <v>660</v>
      </c>
      <c r="O2032">
        <v>276</v>
      </c>
    </row>
    <row r="2033" spans="1:15" x14ac:dyDescent="0.25">
      <c r="A2033" t="s">
        <v>3090</v>
      </c>
      <c r="B2033" s="2">
        <v>47689</v>
      </c>
      <c r="C2033" t="s">
        <v>265</v>
      </c>
      <c r="D2033" t="s">
        <v>266</v>
      </c>
      <c r="E2033" t="s">
        <v>26</v>
      </c>
      <c r="F2033" t="s">
        <v>34</v>
      </c>
      <c r="G2033" t="s">
        <v>51</v>
      </c>
      <c r="H2033" t="s">
        <v>52</v>
      </c>
      <c r="I2033" t="s">
        <v>208</v>
      </c>
      <c r="J2033">
        <v>4</v>
      </c>
      <c r="K2033">
        <v>2800</v>
      </c>
      <c r="L2033">
        <v>0.25</v>
      </c>
      <c r="M2033">
        <v>8400</v>
      </c>
      <c r="N2033">
        <v>7200</v>
      </c>
      <c r="O2033">
        <v>1200</v>
      </c>
    </row>
    <row r="2034" spans="1:15" x14ac:dyDescent="0.25">
      <c r="A2034" t="s">
        <v>3091</v>
      </c>
      <c r="B2034" s="2">
        <v>47690</v>
      </c>
      <c r="C2034" t="s">
        <v>393</v>
      </c>
      <c r="D2034" t="s">
        <v>394</v>
      </c>
      <c r="E2034" t="s">
        <v>18</v>
      </c>
      <c r="F2034" t="s">
        <v>115</v>
      </c>
      <c r="G2034" t="s">
        <v>51</v>
      </c>
      <c r="H2034" t="s">
        <v>21</v>
      </c>
      <c r="I2034" t="s">
        <v>72</v>
      </c>
      <c r="J2034">
        <v>5</v>
      </c>
      <c r="K2034">
        <v>1800</v>
      </c>
      <c r="L2034">
        <v>0.05</v>
      </c>
      <c r="M2034">
        <v>8550</v>
      </c>
      <c r="N2034">
        <v>5500</v>
      </c>
      <c r="O2034">
        <v>3050</v>
      </c>
    </row>
    <row r="2035" spans="1:15" x14ac:dyDescent="0.25">
      <c r="A2035" t="s">
        <v>3092</v>
      </c>
      <c r="B2035" s="2">
        <v>47691</v>
      </c>
      <c r="C2035" t="s">
        <v>507</v>
      </c>
      <c r="D2035" t="s">
        <v>508</v>
      </c>
      <c r="E2035" t="s">
        <v>26</v>
      </c>
      <c r="F2035" t="s">
        <v>128</v>
      </c>
      <c r="G2035" t="s">
        <v>57</v>
      </c>
      <c r="H2035" t="s">
        <v>58</v>
      </c>
      <c r="I2035" t="s">
        <v>129</v>
      </c>
      <c r="J2035">
        <v>2</v>
      </c>
      <c r="K2035">
        <v>4800</v>
      </c>
      <c r="L2035">
        <v>0.05</v>
      </c>
      <c r="M2035">
        <v>9120</v>
      </c>
      <c r="N2035">
        <v>6600</v>
      </c>
      <c r="O2035">
        <v>2520</v>
      </c>
    </row>
    <row r="2036" spans="1:15" x14ac:dyDescent="0.25">
      <c r="A2036" t="s">
        <v>3093</v>
      </c>
      <c r="B2036" s="2">
        <v>47692</v>
      </c>
      <c r="C2036" t="s">
        <v>2518</v>
      </c>
      <c r="D2036" t="s">
        <v>2519</v>
      </c>
      <c r="E2036" t="s">
        <v>26</v>
      </c>
      <c r="F2036" t="s">
        <v>128</v>
      </c>
      <c r="G2036" t="s">
        <v>28</v>
      </c>
      <c r="H2036" t="s">
        <v>29</v>
      </c>
      <c r="I2036" t="s">
        <v>30</v>
      </c>
      <c r="J2036">
        <v>1</v>
      </c>
      <c r="K2036">
        <v>1900</v>
      </c>
      <c r="L2036">
        <v>0.15</v>
      </c>
      <c r="M2036">
        <v>1615</v>
      </c>
      <c r="N2036">
        <v>1250</v>
      </c>
      <c r="O2036">
        <v>365</v>
      </c>
    </row>
    <row r="2037" spans="1:15" x14ac:dyDescent="0.25">
      <c r="A2037" t="s">
        <v>3094</v>
      </c>
      <c r="B2037" s="2">
        <v>47693</v>
      </c>
      <c r="C2037" t="s">
        <v>2335</v>
      </c>
      <c r="D2037" t="s">
        <v>2336</v>
      </c>
      <c r="E2037" t="s">
        <v>96</v>
      </c>
      <c r="F2037" t="s">
        <v>120</v>
      </c>
      <c r="G2037" t="s">
        <v>51</v>
      </c>
      <c r="H2037" t="s">
        <v>52</v>
      </c>
      <c r="I2037" t="s">
        <v>208</v>
      </c>
      <c r="J2037">
        <v>4</v>
      </c>
      <c r="K2037">
        <v>2800</v>
      </c>
      <c r="L2037">
        <v>0.1</v>
      </c>
      <c r="M2037">
        <v>10080</v>
      </c>
      <c r="N2037">
        <v>7200</v>
      </c>
      <c r="O2037">
        <v>2880</v>
      </c>
    </row>
    <row r="2038" spans="1:15" x14ac:dyDescent="0.25">
      <c r="A2038" t="s">
        <v>3095</v>
      </c>
      <c r="B2038" s="2">
        <v>47694</v>
      </c>
      <c r="C2038" t="s">
        <v>1589</v>
      </c>
      <c r="D2038" t="s">
        <v>1590</v>
      </c>
      <c r="E2038" t="s">
        <v>96</v>
      </c>
      <c r="F2038" t="s">
        <v>120</v>
      </c>
      <c r="G2038" t="s">
        <v>51</v>
      </c>
      <c r="H2038" t="s">
        <v>52</v>
      </c>
      <c r="I2038" t="s">
        <v>53</v>
      </c>
      <c r="J2038">
        <v>3</v>
      </c>
      <c r="K2038">
        <v>2200</v>
      </c>
      <c r="L2038">
        <v>0</v>
      </c>
      <c r="M2038">
        <v>6600</v>
      </c>
      <c r="N2038">
        <v>4350</v>
      </c>
      <c r="O2038">
        <v>2250</v>
      </c>
    </row>
    <row r="2039" spans="1:15" x14ac:dyDescent="0.25">
      <c r="A2039" t="s">
        <v>3096</v>
      </c>
      <c r="B2039" s="2">
        <v>47695</v>
      </c>
      <c r="C2039" t="s">
        <v>887</v>
      </c>
      <c r="D2039" t="s">
        <v>888</v>
      </c>
      <c r="E2039" t="s">
        <v>39</v>
      </c>
      <c r="F2039" t="s">
        <v>124</v>
      </c>
      <c r="G2039" t="s">
        <v>28</v>
      </c>
      <c r="H2039" t="s">
        <v>29</v>
      </c>
      <c r="I2039" t="s">
        <v>30</v>
      </c>
      <c r="J2039">
        <v>3</v>
      </c>
      <c r="K2039">
        <v>1900</v>
      </c>
      <c r="L2039">
        <v>0.1</v>
      </c>
      <c r="M2039">
        <v>5130</v>
      </c>
      <c r="N2039">
        <v>3750</v>
      </c>
      <c r="O2039">
        <v>1380</v>
      </c>
    </row>
    <row r="2040" spans="1:15" x14ac:dyDescent="0.25">
      <c r="A2040" t="s">
        <v>3097</v>
      </c>
      <c r="B2040" s="2">
        <v>47696</v>
      </c>
      <c r="C2040" t="s">
        <v>535</v>
      </c>
      <c r="D2040" t="s">
        <v>536</v>
      </c>
      <c r="E2040" t="s">
        <v>39</v>
      </c>
      <c r="F2040" t="s">
        <v>40</v>
      </c>
      <c r="G2040" t="s">
        <v>20</v>
      </c>
      <c r="H2040" t="s">
        <v>84</v>
      </c>
      <c r="I2040" t="s">
        <v>85</v>
      </c>
      <c r="J2040">
        <v>2</v>
      </c>
      <c r="K2040">
        <v>280</v>
      </c>
      <c r="L2040">
        <v>0.1</v>
      </c>
      <c r="M2040">
        <v>504</v>
      </c>
      <c r="N2040">
        <v>320</v>
      </c>
      <c r="O2040">
        <v>184</v>
      </c>
    </row>
    <row r="2041" spans="1:15" x14ac:dyDescent="0.25">
      <c r="A2041" t="s">
        <v>3098</v>
      </c>
      <c r="B2041" s="2">
        <v>47697</v>
      </c>
      <c r="C2041" t="s">
        <v>1079</v>
      </c>
      <c r="D2041" t="s">
        <v>1080</v>
      </c>
      <c r="E2041" t="s">
        <v>39</v>
      </c>
      <c r="F2041" t="s">
        <v>40</v>
      </c>
      <c r="G2041" t="s">
        <v>51</v>
      </c>
      <c r="H2041" t="s">
        <v>89</v>
      </c>
      <c r="I2041" t="s">
        <v>90</v>
      </c>
      <c r="J2041">
        <v>5</v>
      </c>
      <c r="K2041">
        <v>10500</v>
      </c>
      <c r="L2041">
        <v>0.1</v>
      </c>
      <c r="M2041">
        <v>47250</v>
      </c>
      <c r="N2041">
        <v>38000</v>
      </c>
      <c r="O2041">
        <v>9250</v>
      </c>
    </row>
    <row r="2042" spans="1:15" x14ac:dyDescent="0.25">
      <c r="A2042" t="s">
        <v>3099</v>
      </c>
      <c r="B2042" s="2">
        <v>47698</v>
      </c>
      <c r="C2042" t="s">
        <v>573</v>
      </c>
      <c r="D2042" t="s">
        <v>574</v>
      </c>
      <c r="E2042" t="s">
        <v>39</v>
      </c>
      <c r="F2042" t="s">
        <v>76</v>
      </c>
      <c r="G2042" t="s">
        <v>51</v>
      </c>
      <c r="H2042" t="s">
        <v>52</v>
      </c>
      <c r="I2042" t="s">
        <v>208</v>
      </c>
      <c r="J2042">
        <v>5</v>
      </c>
      <c r="K2042">
        <v>2800</v>
      </c>
      <c r="L2042">
        <v>0</v>
      </c>
      <c r="M2042">
        <v>14000</v>
      </c>
      <c r="N2042">
        <v>9000</v>
      </c>
      <c r="O2042">
        <v>5000</v>
      </c>
    </row>
    <row r="2043" spans="1:15" x14ac:dyDescent="0.25">
      <c r="A2043" t="s">
        <v>3100</v>
      </c>
      <c r="B2043" s="2">
        <v>47699</v>
      </c>
      <c r="C2043" t="s">
        <v>2449</v>
      </c>
      <c r="D2043" t="s">
        <v>2450</v>
      </c>
      <c r="E2043" t="s">
        <v>18</v>
      </c>
      <c r="F2043" t="s">
        <v>227</v>
      </c>
      <c r="G2043" t="s">
        <v>20</v>
      </c>
      <c r="H2043" t="s">
        <v>84</v>
      </c>
      <c r="I2043" t="s">
        <v>210</v>
      </c>
      <c r="J2043">
        <v>4</v>
      </c>
      <c r="K2043">
        <v>300</v>
      </c>
      <c r="L2043">
        <v>0.15</v>
      </c>
      <c r="M2043">
        <v>1020</v>
      </c>
      <c r="N2043">
        <v>680</v>
      </c>
      <c r="O2043">
        <v>340</v>
      </c>
    </row>
    <row r="2044" spans="1:15" x14ac:dyDescent="0.25">
      <c r="A2044" t="s">
        <v>3101</v>
      </c>
      <c r="B2044" s="2">
        <v>47700</v>
      </c>
      <c r="C2044" t="s">
        <v>317</v>
      </c>
      <c r="D2044" t="s">
        <v>318</v>
      </c>
      <c r="E2044" t="s">
        <v>18</v>
      </c>
      <c r="F2044" t="s">
        <v>115</v>
      </c>
      <c r="G2044" t="s">
        <v>20</v>
      </c>
      <c r="H2044" t="s">
        <v>84</v>
      </c>
      <c r="I2044" t="s">
        <v>169</v>
      </c>
      <c r="J2044">
        <v>4</v>
      </c>
      <c r="K2044">
        <v>450</v>
      </c>
      <c r="L2044">
        <v>0.2</v>
      </c>
      <c r="M2044">
        <v>1440</v>
      </c>
      <c r="N2044">
        <v>1040</v>
      </c>
      <c r="O2044">
        <v>400</v>
      </c>
    </row>
    <row r="2045" spans="1:15" x14ac:dyDescent="0.25">
      <c r="A2045" t="s">
        <v>3102</v>
      </c>
      <c r="B2045" s="2">
        <v>47701</v>
      </c>
      <c r="C2045" t="s">
        <v>1358</v>
      </c>
      <c r="D2045" t="s">
        <v>1359</v>
      </c>
      <c r="E2045" t="s">
        <v>26</v>
      </c>
      <c r="F2045" t="s">
        <v>34</v>
      </c>
      <c r="G2045" t="s">
        <v>51</v>
      </c>
      <c r="H2045" t="s">
        <v>21</v>
      </c>
      <c r="I2045" t="s">
        <v>80</v>
      </c>
      <c r="J2045">
        <v>3</v>
      </c>
      <c r="K2045">
        <v>850</v>
      </c>
      <c r="L2045">
        <v>0.1</v>
      </c>
      <c r="M2045">
        <v>2295</v>
      </c>
      <c r="N2045">
        <v>1680</v>
      </c>
      <c r="O2045">
        <v>615</v>
      </c>
    </row>
    <row r="2046" spans="1:15" x14ac:dyDescent="0.25">
      <c r="A2046" t="s">
        <v>3103</v>
      </c>
      <c r="B2046" s="2">
        <v>47702</v>
      </c>
      <c r="C2046" t="s">
        <v>753</v>
      </c>
      <c r="D2046" t="s">
        <v>754</v>
      </c>
      <c r="E2046" t="s">
        <v>39</v>
      </c>
      <c r="F2046" t="s">
        <v>76</v>
      </c>
      <c r="G2046" t="s">
        <v>51</v>
      </c>
      <c r="H2046" t="s">
        <v>21</v>
      </c>
      <c r="I2046" t="s">
        <v>116</v>
      </c>
      <c r="J2046">
        <v>4</v>
      </c>
      <c r="K2046">
        <v>1400</v>
      </c>
      <c r="L2046">
        <v>0.05</v>
      </c>
      <c r="M2046">
        <v>5320</v>
      </c>
      <c r="N2046">
        <v>3600</v>
      </c>
      <c r="O2046">
        <v>1720</v>
      </c>
    </row>
    <row r="2047" spans="1:15" x14ac:dyDescent="0.25">
      <c r="A2047" t="s">
        <v>3104</v>
      </c>
      <c r="B2047" s="2">
        <v>47703</v>
      </c>
      <c r="C2047" t="s">
        <v>1022</v>
      </c>
      <c r="D2047" t="s">
        <v>1023</v>
      </c>
      <c r="E2047" t="s">
        <v>26</v>
      </c>
      <c r="F2047" t="s">
        <v>204</v>
      </c>
      <c r="G2047" t="s">
        <v>20</v>
      </c>
      <c r="H2047" t="s">
        <v>84</v>
      </c>
      <c r="I2047" t="s">
        <v>85</v>
      </c>
      <c r="J2047">
        <v>4</v>
      </c>
      <c r="K2047">
        <v>280</v>
      </c>
      <c r="L2047">
        <v>0.15</v>
      </c>
      <c r="M2047">
        <v>952</v>
      </c>
      <c r="N2047">
        <v>640</v>
      </c>
      <c r="O2047">
        <v>312</v>
      </c>
    </row>
    <row r="2048" spans="1:15" x14ac:dyDescent="0.25">
      <c r="A2048" t="s">
        <v>3105</v>
      </c>
      <c r="B2048" s="2">
        <v>47704</v>
      </c>
      <c r="C2048" t="s">
        <v>1413</v>
      </c>
      <c r="D2048" t="s">
        <v>1414</v>
      </c>
      <c r="E2048" t="s">
        <v>96</v>
      </c>
      <c r="F2048" t="s">
        <v>196</v>
      </c>
      <c r="G2048" t="s">
        <v>20</v>
      </c>
      <c r="H2048" t="s">
        <v>41</v>
      </c>
      <c r="I2048" t="s">
        <v>42</v>
      </c>
      <c r="J2048">
        <v>4</v>
      </c>
      <c r="K2048">
        <v>520</v>
      </c>
      <c r="L2048">
        <v>0.05</v>
      </c>
      <c r="M2048">
        <v>1976</v>
      </c>
      <c r="N2048">
        <v>1320</v>
      </c>
      <c r="O2048">
        <v>656</v>
      </c>
    </row>
    <row r="2049" spans="1:15" x14ac:dyDescent="0.25">
      <c r="A2049" t="s">
        <v>3106</v>
      </c>
      <c r="B2049" s="2">
        <v>47705</v>
      </c>
      <c r="C2049" t="s">
        <v>1186</v>
      </c>
      <c r="D2049" t="s">
        <v>1187</v>
      </c>
      <c r="E2049" t="s">
        <v>26</v>
      </c>
      <c r="F2049" t="s">
        <v>128</v>
      </c>
      <c r="G2049" t="s">
        <v>20</v>
      </c>
      <c r="H2049" t="s">
        <v>41</v>
      </c>
      <c r="I2049" t="s">
        <v>42</v>
      </c>
      <c r="J2049">
        <v>2</v>
      </c>
      <c r="K2049">
        <v>520</v>
      </c>
      <c r="L2049">
        <v>0.15</v>
      </c>
      <c r="M2049">
        <v>884</v>
      </c>
      <c r="N2049">
        <v>660</v>
      </c>
      <c r="O2049">
        <v>224</v>
      </c>
    </row>
    <row r="2050" spans="1:15" x14ac:dyDescent="0.25">
      <c r="A2050" t="s">
        <v>3107</v>
      </c>
      <c r="B2050" s="2">
        <v>47706</v>
      </c>
      <c r="C2050" t="s">
        <v>1240</v>
      </c>
      <c r="D2050" t="s">
        <v>1241</v>
      </c>
      <c r="E2050" t="s">
        <v>39</v>
      </c>
      <c r="F2050" t="s">
        <v>124</v>
      </c>
      <c r="G2050" t="s">
        <v>20</v>
      </c>
      <c r="H2050" t="s">
        <v>41</v>
      </c>
      <c r="I2050" t="s">
        <v>42</v>
      </c>
      <c r="J2050">
        <v>5</v>
      </c>
      <c r="K2050">
        <v>520</v>
      </c>
      <c r="L2050">
        <v>0.1</v>
      </c>
      <c r="M2050">
        <v>2340</v>
      </c>
      <c r="N2050">
        <v>1650</v>
      </c>
      <c r="O2050">
        <v>690</v>
      </c>
    </row>
    <row r="2051" spans="1:15" x14ac:dyDescent="0.25">
      <c r="A2051" t="s">
        <v>3108</v>
      </c>
      <c r="B2051" s="2">
        <v>47707</v>
      </c>
      <c r="C2051" t="s">
        <v>1724</v>
      </c>
      <c r="D2051" t="s">
        <v>1725</v>
      </c>
      <c r="E2051" t="s">
        <v>26</v>
      </c>
      <c r="F2051" t="s">
        <v>204</v>
      </c>
      <c r="G2051" t="s">
        <v>20</v>
      </c>
      <c r="H2051" t="s">
        <v>84</v>
      </c>
      <c r="I2051" t="s">
        <v>210</v>
      </c>
      <c r="J2051">
        <v>5</v>
      </c>
      <c r="K2051">
        <v>300</v>
      </c>
      <c r="L2051">
        <v>0.2</v>
      </c>
      <c r="M2051">
        <v>1200</v>
      </c>
      <c r="N2051">
        <v>850</v>
      </c>
      <c r="O2051">
        <v>350</v>
      </c>
    </row>
    <row r="2052" spans="1:15" x14ac:dyDescent="0.25">
      <c r="A2052" t="s">
        <v>3109</v>
      </c>
      <c r="B2052" s="2">
        <v>47708</v>
      </c>
      <c r="C2052" t="s">
        <v>2182</v>
      </c>
      <c r="D2052" t="s">
        <v>2183</v>
      </c>
      <c r="E2052" t="s">
        <v>96</v>
      </c>
      <c r="F2052" t="s">
        <v>200</v>
      </c>
      <c r="G2052" t="s">
        <v>57</v>
      </c>
      <c r="H2052" t="s">
        <v>188</v>
      </c>
      <c r="I2052" t="s">
        <v>189</v>
      </c>
      <c r="J2052">
        <v>3</v>
      </c>
      <c r="K2052">
        <v>6200</v>
      </c>
      <c r="L2052">
        <v>0.15</v>
      </c>
      <c r="M2052">
        <v>15810</v>
      </c>
      <c r="N2052">
        <v>12900</v>
      </c>
      <c r="O2052">
        <v>2910</v>
      </c>
    </row>
    <row r="2053" spans="1:15" x14ac:dyDescent="0.25">
      <c r="A2053" t="s">
        <v>3110</v>
      </c>
      <c r="B2053" s="2">
        <v>47709</v>
      </c>
      <c r="C2053" t="s">
        <v>1127</v>
      </c>
      <c r="D2053" t="s">
        <v>1128</v>
      </c>
      <c r="E2053" t="s">
        <v>26</v>
      </c>
      <c r="F2053" t="s">
        <v>27</v>
      </c>
      <c r="G2053" t="s">
        <v>51</v>
      </c>
      <c r="H2053" t="s">
        <v>21</v>
      </c>
      <c r="I2053" t="s">
        <v>72</v>
      </c>
      <c r="J2053">
        <v>2</v>
      </c>
      <c r="K2053">
        <v>1800</v>
      </c>
      <c r="L2053">
        <v>0.25</v>
      </c>
      <c r="M2053">
        <v>2700</v>
      </c>
      <c r="N2053">
        <v>2200</v>
      </c>
      <c r="O2053">
        <v>500</v>
      </c>
    </row>
    <row r="2054" spans="1:15" x14ac:dyDescent="0.25">
      <c r="A2054" t="s">
        <v>3111</v>
      </c>
      <c r="B2054" s="2">
        <v>47710</v>
      </c>
      <c r="C2054" t="s">
        <v>1598</v>
      </c>
      <c r="D2054" t="s">
        <v>1599</v>
      </c>
      <c r="E2054" t="s">
        <v>26</v>
      </c>
      <c r="F2054" t="s">
        <v>27</v>
      </c>
      <c r="G2054" t="s">
        <v>57</v>
      </c>
      <c r="H2054" t="s">
        <v>58</v>
      </c>
      <c r="I2054" t="s">
        <v>129</v>
      </c>
      <c r="J2054">
        <v>3</v>
      </c>
      <c r="K2054">
        <v>4800</v>
      </c>
      <c r="L2054">
        <v>0</v>
      </c>
      <c r="M2054">
        <v>14400</v>
      </c>
      <c r="N2054">
        <v>9900</v>
      </c>
      <c r="O2054">
        <v>4500</v>
      </c>
    </row>
    <row r="2055" spans="1:15" x14ac:dyDescent="0.25">
      <c r="A2055" t="s">
        <v>3112</v>
      </c>
      <c r="B2055" s="2">
        <v>47711</v>
      </c>
      <c r="C2055" t="s">
        <v>655</v>
      </c>
      <c r="D2055" t="s">
        <v>656</v>
      </c>
      <c r="E2055" t="s">
        <v>96</v>
      </c>
      <c r="F2055" t="s">
        <v>196</v>
      </c>
      <c r="G2055" t="s">
        <v>28</v>
      </c>
      <c r="H2055" t="s">
        <v>29</v>
      </c>
      <c r="I2055" t="s">
        <v>47</v>
      </c>
      <c r="J2055">
        <v>4</v>
      </c>
      <c r="K2055">
        <v>6800</v>
      </c>
      <c r="L2055">
        <v>0.2</v>
      </c>
      <c r="M2055">
        <v>21760</v>
      </c>
      <c r="N2055">
        <v>18800</v>
      </c>
      <c r="O2055">
        <v>2960</v>
      </c>
    </row>
    <row r="2056" spans="1:15" x14ac:dyDescent="0.25">
      <c r="A2056" t="s">
        <v>3113</v>
      </c>
      <c r="B2056" s="2">
        <v>47712</v>
      </c>
      <c r="C2056" t="s">
        <v>436</v>
      </c>
      <c r="D2056" t="s">
        <v>437</v>
      </c>
      <c r="E2056" t="s">
        <v>18</v>
      </c>
      <c r="F2056" t="s">
        <v>19</v>
      </c>
      <c r="G2056" t="s">
        <v>20</v>
      </c>
      <c r="H2056" t="s">
        <v>21</v>
      </c>
      <c r="I2056" t="s">
        <v>22</v>
      </c>
      <c r="J2056">
        <v>4</v>
      </c>
      <c r="K2056">
        <v>650</v>
      </c>
      <c r="L2056">
        <v>0.1</v>
      </c>
      <c r="M2056">
        <v>2340</v>
      </c>
      <c r="N2056">
        <v>1560</v>
      </c>
      <c r="O2056">
        <v>780</v>
      </c>
    </row>
    <row r="2057" spans="1:15" x14ac:dyDescent="0.25">
      <c r="A2057" t="s">
        <v>3114</v>
      </c>
      <c r="B2057" s="2">
        <v>47713</v>
      </c>
      <c r="C2057" t="s">
        <v>1948</v>
      </c>
      <c r="D2057" t="s">
        <v>1949</v>
      </c>
      <c r="E2057" t="s">
        <v>26</v>
      </c>
      <c r="F2057" t="s">
        <v>46</v>
      </c>
      <c r="G2057" t="s">
        <v>51</v>
      </c>
      <c r="H2057" t="s">
        <v>21</v>
      </c>
      <c r="I2057" t="s">
        <v>80</v>
      </c>
      <c r="J2057">
        <v>4</v>
      </c>
      <c r="K2057">
        <v>850</v>
      </c>
      <c r="L2057">
        <v>0</v>
      </c>
      <c r="M2057">
        <v>3400</v>
      </c>
      <c r="N2057">
        <v>2240</v>
      </c>
      <c r="O2057">
        <v>1160</v>
      </c>
    </row>
    <row r="2058" spans="1:15" x14ac:dyDescent="0.25">
      <c r="A2058" t="s">
        <v>3115</v>
      </c>
      <c r="B2058" s="2">
        <v>47714</v>
      </c>
      <c r="C2058" t="s">
        <v>252</v>
      </c>
      <c r="D2058" t="s">
        <v>253</v>
      </c>
      <c r="E2058" t="s">
        <v>26</v>
      </c>
      <c r="F2058" t="s">
        <v>128</v>
      </c>
      <c r="G2058" t="s">
        <v>51</v>
      </c>
      <c r="H2058" t="s">
        <v>21</v>
      </c>
      <c r="I2058" t="s">
        <v>72</v>
      </c>
      <c r="J2058">
        <v>5</v>
      </c>
      <c r="K2058">
        <v>1800</v>
      </c>
      <c r="L2058">
        <v>0.2</v>
      </c>
      <c r="M2058">
        <v>7200</v>
      </c>
      <c r="N2058">
        <v>5500</v>
      </c>
      <c r="O2058">
        <v>1700</v>
      </c>
    </row>
    <row r="2059" spans="1:15" x14ac:dyDescent="0.25">
      <c r="A2059" t="s">
        <v>3116</v>
      </c>
      <c r="B2059" s="2">
        <v>47715</v>
      </c>
      <c r="C2059" t="s">
        <v>235</v>
      </c>
      <c r="D2059" t="s">
        <v>236</v>
      </c>
      <c r="E2059" t="s">
        <v>26</v>
      </c>
      <c r="F2059" t="s">
        <v>34</v>
      </c>
      <c r="G2059" t="s">
        <v>20</v>
      </c>
      <c r="H2059" t="s">
        <v>84</v>
      </c>
      <c r="I2059" t="s">
        <v>210</v>
      </c>
      <c r="J2059">
        <v>5</v>
      </c>
      <c r="K2059">
        <v>300</v>
      </c>
      <c r="L2059">
        <v>0.05</v>
      </c>
      <c r="M2059">
        <v>1425</v>
      </c>
      <c r="N2059">
        <v>850</v>
      </c>
      <c r="O2059">
        <v>575</v>
      </c>
    </row>
    <row r="2060" spans="1:15" x14ac:dyDescent="0.25">
      <c r="A2060" t="s">
        <v>3117</v>
      </c>
      <c r="B2060" s="2">
        <v>47716</v>
      </c>
      <c r="C2060" t="s">
        <v>655</v>
      </c>
      <c r="D2060" t="s">
        <v>656</v>
      </c>
      <c r="E2060" t="s">
        <v>18</v>
      </c>
      <c r="F2060" t="s">
        <v>94</v>
      </c>
      <c r="G2060" t="s">
        <v>51</v>
      </c>
      <c r="H2060" t="s">
        <v>21</v>
      </c>
      <c r="I2060" t="s">
        <v>80</v>
      </c>
      <c r="J2060">
        <v>2</v>
      </c>
      <c r="K2060">
        <v>850</v>
      </c>
      <c r="L2060">
        <v>0.1</v>
      </c>
      <c r="M2060">
        <v>1530</v>
      </c>
      <c r="N2060">
        <v>1120</v>
      </c>
      <c r="O2060">
        <v>410</v>
      </c>
    </row>
    <row r="2061" spans="1:15" x14ac:dyDescent="0.25">
      <c r="A2061" t="s">
        <v>3118</v>
      </c>
      <c r="B2061" s="2">
        <v>47717</v>
      </c>
      <c r="C2061" t="s">
        <v>974</v>
      </c>
      <c r="D2061" t="s">
        <v>975</v>
      </c>
      <c r="E2061" t="s">
        <v>96</v>
      </c>
      <c r="F2061" t="s">
        <v>200</v>
      </c>
      <c r="G2061" t="s">
        <v>20</v>
      </c>
      <c r="H2061" t="s">
        <v>84</v>
      </c>
      <c r="I2061" t="s">
        <v>210</v>
      </c>
      <c r="J2061">
        <v>2</v>
      </c>
      <c r="K2061">
        <v>300</v>
      </c>
      <c r="L2061">
        <v>0.2</v>
      </c>
      <c r="M2061">
        <v>480</v>
      </c>
      <c r="N2061">
        <v>340</v>
      </c>
      <c r="O2061">
        <v>140</v>
      </c>
    </row>
    <row r="2062" spans="1:15" x14ac:dyDescent="0.25">
      <c r="A2062" t="s">
        <v>3119</v>
      </c>
      <c r="B2062" s="2">
        <v>47718</v>
      </c>
      <c r="C2062" t="s">
        <v>3120</v>
      </c>
      <c r="D2062" t="s">
        <v>3121</v>
      </c>
      <c r="E2062" t="s">
        <v>26</v>
      </c>
      <c r="F2062" t="s">
        <v>204</v>
      </c>
      <c r="G2062" t="s">
        <v>57</v>
      </c>
      <c r="H2062" t="s">
        <v>104</v>
      </c>
      <c r="I2062" t="s">
        <v>105</v>
      </c>
      <c r="J2062">
        <v>1</v>
      </c>
      <c r="K2062">
        <v>7500</v>
      </c>
      <c r="L2062">
        <v>0.2</v>
      </c>
      <c r="M2062">
        <v>6000</v>
      </c>
      <c r="N2062">
        <v>5200</v>
      </c>
      <c r="O2062">
        <v>800</v>
      </c>
    </row>
    <row r="2063" spans="1:15" x14ac:dyDescent="0.25">
      <c r="A2063" t="s">
        <v>3122</v>
      </c>
      <c r="B2063" s="2">
        <v>47719</v>
      </c>
      <c r="C2063" t="s">
        <v>2207</v>
      </c>
      <c r="D2063" t="s">
        <v>2208</v>
      </c>
      <c r="E2063" t="s">
        <v>26</v>
      </c>
      <c r="F2063" t="s">
        <v>34</v>
      </c>
      <c r="G2063" t="s">
        <v>20</v>
      </c>
      <c r="H2063" t="s">
        <v>21</v>
      </c>
      <c r="I2063" t="s">
        <v>22</v>
      </c>
      <c r="J2063">
        <v>5</v>
      </c>
      <c r="K2063">
        <v>650</v>
      </c>
      <c r="L2063">
        <v>0.1</v>
      </c>
      <c r="M2063">
        <v>2925</v>
      </c>
      <c r="N2063">
        <v>1950</v>
      </c>
      <c r="O2063">
        <v>975</v>
      </c>
    </row>
    <row r="2064" spans="1:15" x14ac:dyDescent="0.25">
      <c r="A2064" t="s">
        <v>3123</v>
      </c>
      <c r="B2064" s="2">
        <v>47720</v>
      </c>
      <c r="C2064" t="s">
        <v>573</v>
      </c>
      <c r="D2064" t="s">
        <v>574</v>
      </c>
      <c r="E2064" t="s">
        <v>26</v>
      </c>
      <c r="F2064" t="s">
        <v>27</v>
      </c>
      <c r="G2064" t="s">
        <v>20</v>
      </c>
      <c r="H2064" t="s">
        <v>41</v>
      </c>
      <c r="I2064" t="s">
        <v>42</v>
      </c>
      <c r="J2064">
        <v>1</v>
      </c>
      <c r="K2064">
        <v>520</v>
      </c>
      <c r="L2064">
        <v>0.05</v>
      </c>
      <c r="M2064">
        <v>494</v>
      </c>
      <c r="N2064">
        <v>330</v>
      </c>
      <c r="O2064">
        <v>164</v>
      </c>
    </row>
    <row r="2065" spans="1:15" x14ac:dyDescent="0.25">
      <c r="A2065" t="s">
        <v>3124</v>
      </c>
      <c r="B2065" s="2">
        <v>47721</v>
      </c>
      <c r="C2065" t="s">
        <v>1003</v>
      </c>
      <c r="D2065" t="s">
        <v>1004</v>
      </c>
      <c r="E2065" t="s">
        <v>39</v>
      </c>
      <c r="F2065" t="s">
        <v>40</v>
      </c>
      <c r="G2065" t="s">
        <v>51</v>
      </c>
      <c r="H2065" t="s">
        <v>52</v>
      </c>
      <c r="I2065" t="s">
        <v>208</v>
      </c>
      <c r="J2065">
        <v>5</v>
      </c>
      <c r="K2065">
        <v>2800</v>
      </c>
      <c r="L2065">
        <v>0.05</v>
      </c>
      <c r="M2065">
        <v>13300</v>
      </c>
      <c r="N2065">
        <v>9000</v>
      </c>
      <c r="O2065">
        <v>4300</v>
      </c>
    </row>
    <row r="2066" spans="1:15" x14ac:dyDescent="0.25">
      <c r="A2066" t="s">
        <v>3125</v>
      </c>
      <c r="B2066" s="2">
        <v>47722</v>
      </c>
      <c r="C2066" t="s">
        <v>1071</v>
      </c>
      <c r="D2066" t="s">
        <v>1072</v>
      </c>
      <c r="E2066" t="s">
        <v>18</v>
      </c>
      <c r="F2066" t="s">
        <v>227</v>
      </c>
      <c r="G2066" t="s">
        <v>57</v>
      </c>
      <c r="H2066" t="s">
        <v>188</v>
      </c>
      <c r="I2066" t="s">
        <v>189</v>
      </c>
      <c r="J2066">
        <v>5</v>
      </c>
      <c r="K2066">
        <v>6200</v>
      </c>
      <c r="L2066">
        <v>0</v>
      </c>
      <c r="M2066">
        <v>31000</v>
      </c>
      <c r="N2066">
        <v>21500</v>
      </c>
      <c r="O2066">
        <v>9500</v>
      </c>
    </row>
    <row r="2067" spans="1:15" x14ac:dyDescent="0.25">
      <c r="A2067" t="s">
        <v>3126</v>
      </c>
      <c r="B2067" s="2">
        <v>47723</v>
      </c>
      <c r="C2067" t="s">
        <v>685</v>
      </c>
      <c r="D2067" t="s">
        <v>686</v>
      </c>
      <c r="E2067" t="s">
        <v>26</v>
      </c>
      <c r="F2067" t="s">
        <v>46</v>
      </c>
      <c r="G2067" t="s">
        <v>20</v>
      </c>
      <c r="H2067" t="s">
        <v>84</v>
      </c>
      <c r="I2067" t="s">
        <v>85</v>
      </c>
      <c r="J2067">
        <v>5</v>
      </c>
      <c r="K2067">
        <v>280</v>
      </c>
      <c r="L2067">
        <v>0.2</v>
      </c>
      <c r="M2067">
        <v>1120</v>
      </c>
      <c r="N2067">
        <v>800</v>
      </c>
      <c r="O2067">
        <v>320</v>
      </c>
    </row>
    <row r="2068" spans="1:15" x14ac:dyDescent="0.25">
      <c r="A2068" t="s">
        <v>3127</v>
      </c>
      <c r="B2068" s="2">
        <v>47724</v>
      </c>
      <c r="C2068" t="s">
        <v>107</v>
      </c>
      <c r="D2068" t="s">
        <v>108</v>
      </c>
      <c r="E2068" t="s">
        <v>96</v>
      </c>
      <c r="F2068" t="s">
        <v>200</v>
      </c>
      <c r="G2068" t="s">
        <v>20</v>
      </c>
      <c r="H2068" t="s">
        <v>84</v>
      </c>
      <c r="I2068" t="s">
        <v>210</v>
      </c>
      <c r="J2068">
        <v>5</v>
      </c>
      <c r="K2068">
        <v>300</v>
      </c>
      <c r="L2068">
        <v>0.15</v>
      </c>
      <c r="M2068">
        <v>1275</v>
      </c>
      <c r="N2068">
        <v>850</v>
      </c>
      <c r="O2068">
        <v>425</v>
      </c>
    </row>
    <row r="2069" spans="1:15" x14ac:dyDescent="0.25">
      <c r="A2069" t="s">
        <v>3128</v>
      </c>
      <c r="B2069" s="2">
        <v>47725</v>
      </c>
      <c r="C2069" t="s">
        <v>711</v>
      </c>
      <c r="D2069" t="s">
        <v>712</v>
      </c>
      <c r="E2069" t="s">
        <v>26</v>
      </c>
      <c r="F2069" t="s">
        <v>204</v>
      </c>
      <c r="G2069" t="s">
        <v>51</v>
      </c>
      <c r="H2069" t="s">
        <v>52</v>
      </c>
      <c r="I2069" t="s">
        <v>53</v>
      </c>
      <c r="J2069">
        <v>2</v>
      </c>
      <c r="K2069">
        <v>2200</v>
      </c>
      <c r="L2069">
        <v>0</v>
      </c>
      <c r="M2069">
        <v>4400</v>
      </c>
      <c r="N2069">
        <v>2900</v>
      </c>
      <c r="O2069">
        <v>1500</v>
      </c>
    </row>
    <row r="2070" spans="1:15" x14ac:dyDescent="0.25">
      <c r="A2070" t="s">
        <v>3129</v>
      </c>
      <c r="B2070" s="2">
        <v>47726</v>
      </c>
      <c r="C2070" t="s">
        <v>32</v>
      </c>
      <c r="D2070" t="s">
        <v>33</v>
      </c>
      <c r="E2070" t="s">
        <v>26</v>
      </c>
      <c r="F2070" t="s">
        <v>128</v>
      </c>
      <c r="G2070" t="s">
        <v>28</v>
      </c>
      <c r="H2070" t="s">
        <v>29</v>
      </c>
      <c r="I2070" t="s">
        <v>35</v>
      </c>
      <c r="J2070">
        <v>1</v>
      </c>
      <c r="K2070">
        <v>4200</v>
      </c>
      <c r="L2070">
        <v>0.05</v>
      </c>
      <c r="M2070">
        <v>3990</v>
      </c>
      <c r="N2070">
        <v>2900</v>
      </c>
      <c r="O2070">
        <v>1090</v>
      </c>
    </row>
    <row r="2071" spans="1:15" x14ac:dyDescent="0.25">
      <c r="A2071" t="s">
        <v>3130</v>
      </c>
      <c r="B2071" s="2">
        <v>47727</v>
      </c>
      <c r="C2071" t="s">
        <v>600</v>
      </c>
      <c r="D2071" t="s">
        <v>601</v>
      </c>
      <c r="E2071" t="s">
        <v>26</v>
      </c>
      <c r="F2071" t="s">
        <v>128</v>
      </c>
      <c r="G2071" t="s">
        <v>57</v>
      </c>
      <c r="H2071" t="s">
        <v>58</v>
      </c>
      <c r="I2071" t="s">
        <v>129</v>
      </c>
      <c r="J2071">
        <v>4</v>
      </c>
      <c r="K2071">
        <v>4800</v>
      </c>
      <c r="L2071">
        <v>0.1</v>
      </c>
      <c r="M2071">
        <v>17280</v>
      </c>
      <c r="N2071">
        <v>13200</v>
      </c>
      <c r="O2071">
        <v>4080</v>
      </c>
    </row>
    <row r="2072" spans="1:15" x14ac:dyDescent="0.25">
      <c r="A2072" t="s">
        <v>3131</v>
      </c>
      <c r="B2072" s="2">
        <v>47728</v>
      </c>
      <c r="C2072" t="s">
        <v>1567</v>
      </c>
      <c r="D2072" t="s">
        <v>1568</v>
      </c>
      <c r="E2072" t="s">
        <v>39</v>
      </c>
      <c r="F2072" t="s">
        <v>40</v>
      </c>
      <c r="G2072" t="s">
        <v>57</v>
      </c>
      <c r="H2072" t="s">
        <v>104</v>
      </c>
      <c r="I2072" t="s">
        <v>105</v>
      </c>
      <c r="J2072">
        <v>5</v>
      </c>
      <c r="K2072">
        <v>7500</v>
      </c>
      <c r="L2072">
        <v>0.15</v>
      </c>
      <c r="M2072">
        <v>31875</v>
      </c>
      <c r="N2072">
        <v>26000</v>
      </c>
      <c r="O2072">
        <v>5875</v>
      </c>
    </row>
    <row r="2073" spans="1:15" x14ac:dyDescent="0.25">
      <c r="A2073" t="s">
        <v>3132</v>
      </c>
      <c r="B2073" s="2">
        <v>47729</v>
      </c>
      <c r="C2073" t="s">
        <v>945</v>
      </c>
      <c r="D2073" t="s">
        <v>946</v>
      </c>
      <c r="E2073" t="s">
        <v>39</v>
      </c>
      <c r="F2073" t="s">
        <v>40</v>
      </c>
      <c r="G2073" t="s">
        <v>51</v>
      </c>
      <c r="H2073" t="s">
        <v>21</v>
      </c>
      <c r="I2073" t="s">
        <v>72</v>
      </c>
      <c r="J2073">
        <v>1</v>
      </c>
      <c r="K2073">
        <v>1800</v>
      </c>
      <c r="L2073">
        <v>0.1</v>
      </c>
      <c r="M2073">
        <v>1620</v>
      </c>
      <c r="N2073">
        <v>1100</v>
      </c>
      <c r="O2073">
        <v>520</v>
      </c>
    </row>
    <row r="2074" spans="1:15" x14ac:dyDescent="0.25">
      <c r="A2074" t="s">
        <v>3133</v>
      </c>
      <c r="B2074" s="2">
        <v>47730</v>
      </c>
      <c r="C2074" t="s">
        <v>1612</v>
      </c>
      <c r="D2074" t="s">
        <v>1613</v>
      </c>
      <c r="E2074" t="s">
        <v>26</v>
      </c>
      <c r="F2074" t="s">
        <v>46</v>
      </c>
      <c r="G2074" t="s">
        <v>20</v>
      </c>
      <c r="H2074" t="s">
        <v>84</v>
      </c>
      <c r="I2074" t="s">
        <v>169</v>
      </c>
      <c r="J2074">
        <v>2</v>
      </c>
      <c r="K2074">
        <v>450</v>
      </c>
      <c r="L2074">
        <v>0.1</v>
      </c>
      <c r="M2074">
        <v>810</v>
      </c>
      <c r="N2074">
        <v>520</v>
      </c>
      <c r="O2074">
        <v>290</v>
      </c>
    </row>
    <row r="2075" spans="1:15" x14ac:dyDescent="0.25">
      <c r="A2075" t="s">
        <v>3134</v>
      </c>
      <c r="B2075" s="2">
        <v>47731</v>
      </c>
      <c r="C2075" t="s">
        <v>78</v>
      </c>
      <c r="D2075" t="s">
        <v>79</v>
      </c>
      <c r="E2075" t="s">
        <v>96</v>
      </c>
      <c r="F2075" t="s">
        <v>120</v>
      </c>
      <c r="G2075" t="s">
        <v>51</v>
      </c>
      <c r="H2075" t="s">
        <v>21</v>
      </c>
      <c r="I2075" t="s">
        <v>116</v>
      </c>
      <c r="J2075">
        <v>2</v>
      </c>
      <c r="K2075">
        <v>1400</v>
      </c>
      <c r="L2075">
        <v>0.2</v>
      </c>
      <c r="M2075">
        <v>2240</v>
      </c>
      <c r="N2075">
        <v>1800</v>
      </c>
      <c r="O2075">
        <v>440</v>
      </c>
    </row>
    <row r="2076" spans="1:15" x14ac:dyDescent="0.25">
      <c r="A2076" t="s">
        <v>3135</v>
      </c>
      <c r="B2076" s="2">
        <v>47732</v>
      </c>
      <c r="C2076" t="s">
        <v>980</v>
      </c>
      <c r="D2076" t="s">
        <v>981</v>
      </c>
      <c r="E2076" t="s">
        <v>26</v>
      </c>
      <c r="F2076" t="s">
        <v>128</v>
      </c>
      <c r="G2076" t="s">
        <v>20</v>
      </c>
      <c r="H2076" t="s">
        <v>84</v>
      </c>
      <c r="I2076" t="s">
        <v>85</v>
      </c>
      <c r="J2076">
        <v>4</v>
      </c>
      <c r="K2076">
        <v>280</v>
      </c>
      <c r="L2076">
        <v>0.05</v>
      </c>
      <c r="M2076">
        <v>1064</v>
      </c>
      <c r="N2076">
        <v>640</v>
      </c>
      <c r="O2076">
        <v>424</v>
      </c>
    </row>
    <row r="2077" spans="1:15" x14ac:dyDescent="0.25">
      <c r="A2077" t="s">
        <v>3136</v>
      </c>
      <c r="B2077" s="2">
        <v>47733</v>
      </c>
      <c r="C2077" t="s">
        <v>541</v>
      </c>
      <c r="D2077" t="s">
        <v>542</v>
      </c>
      <c r="E2077" t="s">
        <v>18</v>
      </c>
      <c r="F2077" t="s">
        <v>19</v>
      </c>
      <c r="G2077" t="s">
        <v>51</v>
      </c>
      <c r="H2077" t="s">
        <v>21</v>
      </c>
      <c r="I2077" t="s">
        <v>80</v>
      </c>
      <c r="J2077">
        <v>5</v>
      </c>
      <c r="K2077">
        <v>850</v>
      </c>
      <c r="L2077">
        <v>0.1</v>
      </c>
      <c r="M2077">
        <v>3825</v>
      </c>
      <c r="N2077">
        <v>2800</v>
      </c>
      <c r="O2077">
        <v>1025</v>
      </c>
    </row>
    <row r="2078" spans="1:15" x14ac:dyDescent="0.25">
      <c r="A2078" t="s">
        <v>3137</v>
      </c>
      <c r="B2078" s="2">
        <v>47734</v>
      </c>
      <c r="C2078" t="s">
        <v>2233</v>
      </c>
      <c r="D2078" t="s">
        <v>2234</v>
      </c>
      <c r="E2078" t="s">
        <v>39</v>
      </c>
      <c r="F2078" t="s">
        <v>76</v>
      </c>
      <c r="G2078" t="s">
        <v>51</v>
      </c>
      <c r="H2078" t="s">
        <v>21</v>
      </c>
      <c r="I2078" t="s">
        <v>80</v>
      </c>
      <c r="J2078">
        <v>5</v>
      </c>
      <c r="K2078">
        <v>850</v>
      </c>
      <c r="L2078">
        <v>0.05</v>
      </c>
      <c r="M2078">
        <v>4037.5</v>
      </c>
      <c r="N2078">
        <v>2800</v>
      </c>
      <c r="O2078">
        <v>1237.5</v>
      </c>
    </row>
    <row r="2079" spans="1:15" x14ac:dyDescent="0.25">
      <c r="A2079" t="s">
        <v>3138</v>
      </c>
      <c r="B2079" s="2">
        <v>47735</v>
      </c>
      <c r="C2079" t="s">
        <v>1259</v>
      </c>
      <c r="D2079" t="s">
        <v>1260</v>
      </c>
      <c r="E2079" t="s">
        <v>18</v>
      </c>
      <c r="F2079" t="s">
        <v>94</v>
      </c>
      <c r="G2079" t="s">
        <v>57</v>
      </c>
      <c r="H2079" t="s">
        <v>188</v>
      </c>
      <c r="I2079" t="s">
        <v>189</v>
      </c>
      <c r="J2079">
        <v>3</v>
      </c>
      <c r="K2079">
        <v>6200</v>
      </c>
      <c r="L2079">
        <v>0.25</v>
      </c>
      <c r="M2079">
        <v>13950</v>
      </c>
      <c r="N2079">
        <v>12900</v>
      </c>
      <c r="O2079">
        <v>1050</v>
      </c>
    </row>
    <row r="2080" spans="1:15" x14ac:dyDescent="0.25">
      <c r="A2080" t="s">
        <v>3139</v>
      </c>
      <c r="B2080" s="2">
        <v>47736</v>
      </c>
      <c r="C2080" t="s">
        <v>447</v>
      </c>
      <c r="D2080" t="s">
        <v>448</v>
      </c>
      <c r="E2080" t="s">
        <v>18</v>
      </c>
      <c r="F2080" t="s">
        <v>115</v>
      </c>
      <c r="G2080" t="s">
        <v>20</v>
      </c>
      <c r="H2080" t="s">
        <v>84</v>
      </c>
      <c r="I2080" t="s">
        <v>169</v>
      </c>
      <c r="J2080">
        <v>5</v>
      </c>
      <c r="K2080">
        <v>450</v>
      </c>
      <c r="L2080">
        <v>0.15</v>
      </c>
      <c r="M2080">
        <v>1912.5</v>
      </c>
      <c r="N2080">
        <v>1300</v>
      </c>
      <c r="O2080">
        <v>612.5</v>
      </c>
    </row>
    <row r="2081" spans="1:15" x14ac:dyDescent="0.25">
      <c r="A2081" t="s">
        <v>3140</v>
      </c>
      <c r="B2081" s="2">
        <v>47737</v>
      </c>
      <c r="C2081" t="s">
        <v>1448</v>
      </c>
      <c r="D2081" t="s">
        <v>1449</v>
      </c>
      <c r="E2081" t="s">
        <v>96</v>
      </c>
      <c r="F2081" t="s">
        <v>196</v>
      </c>
      <c r="G2081" t="s">
        <v>20</v>
      </c>
      <c r="H2081" t="s">
        <v>84</v>
      </c>
      <c r="I2081" t="s">
        <v>169</v>
      </c>
      <c r="J2081">
        <v>1</v>
      </c>
      <c r="K2081">
        <v>450</v>
      </c>
      <c r="L2081">
        <v>0.1</v>
      </c>
      <c r="M2081">
        <v>405</v>
      </c>
      <c r="N2081">
        <v>260</v>
      </c>
      <c r="O2081">
        <v>145</v>
      </c>
    </row>
    <row r="2082" spans="1:15" x14ac:dyDescent="0.25">
      <c r="A2082" t="s">
        <v>3141</v>
      </c>
      <c r="B2082" s="2">
        <v>47738</v>
      </c>
      <c r="C2082" t="s">
        <v>3142</v>
      </c>
      <c r="D2082" t="s">
        <v>3143</v>
      </c>
      <c r="E2082" t="s">
        <v>26</v>
      </c>
      <c r="F2082" t="s">
        <v>204</v>
      </c>
      <c r="G2082" t="s">
        <v>51</v>
      </c>
      <c r="H2082" t="s">
        <v>21</v>
      </c>
      <c r="I2082" t="s">
        <v>80</v>
      </c>
      <c r="J2082">
        <v>2</v>
      </c>
      <c r="K2082">
        <v>850</v>
      </c>
      <c r="L2082">
        <v>0.15</v>
      </c>
      <c r="M2082">
        <v>1445</v>
      </c>
      <c r="N2082">
        <v>1120</v>
      </c>
      <c r="O2082">
        <v>325</v>
      </c>
    </row>
    <row r="2083" spans="1:15" x14ac:dyDescent="0.25">
      <c r="A2083" t="s">
        <v>3144</v>
      </c>
      <c r="B2083" s="2">
        <v>47739</v>
      </c>
      <c r="C2083" t="s">
        <v>809</v>
      </c>
      <c r="D2083" t="s">
        <v>810</v>
      </c>
      <c r="E2083" t="s">
        <v>96</v>
      </c>
      <c r="F2083" t="s">
        <v>196</v>
      </c>
      <c r="G2083" t="s">
        <v>51</v>
      </c>
      <c r="H2083" t="s">
        <v>21</v>
      </c>
      <c r="I2083" t="s">
        <v>72</v>
      </c>
      <c r="J2083">
        <v>2</v>
      </c>
      <c r="K2083">
        <v>1800</v>
      </c>
      <c r="L2083">
        <v>0.1</v>
      </c>
      <c r="M2083">
        <v>3240</v>
      </c>
      <c r="N2083">
        <v>2200</v>
      </c>
      <c r="O2083">
        <v>1040</v>
      </c>
    </row>
    <row r="2084" spans="1:15" x14ac:dyDescent="0.25">
      <c r="A2084" t="s">
        <v>3145</v>
      </c>
      <c r="B2084" s="2">
        <v>47740</v>
      </c>
      <c r="C2084" t="s">
        <v>1836</v>
      </c>
      <c r="D2084" t="s">
        <v>1837</v>
      </c>
      <c r="E2084" t="s">
        <v>26</v>
      </c>
      <c r="F2084" t="s">
        <v>204</v>
      </c>
      <c r="G2084" t="s">
        <v>28</v>
      </c>
      <c r="H2084" t="s">
        <v>29</v>
      </c>
      <c r="I2084" t="s">
        <v>35</v>
      </c>
      <c r="J2084">
        <v>1</v>
      </c>
      <c r="K2084">
        <v>4200</v>
      </c>
      <c r="L2084">
        <v>0.05</v>
      </c>
      <c r="M2084">
        <v>3990</v>
      </c>
      <c r="N2084">
        <v>2900</v>
      </c>
      <c r="O2084">
        <v>1090</v>
      </c>
    </row>
    <row r="2085" spans="1:15" x14ac:dyDescent="0.25">
      <c r="A2085" t="s">
        <v>3146</v>
      </c>
      <c r="B2085" s="2">
        <v>47741</v>
      </c>
      <c r="C2085" t="s">
        <v>232</v>
      </c>
      <c r="D2085" t="s">
        <v>233</v>
      </c>
      <c r="E2085" t="s">
        <v>39</v>
      </c>
      <c r="F2085" t="s">
        <v>124</v>
      </c>
      <c r="G2085" t="s">
        <v>51</v>
      </c>
      <c r="H2085" t="s">
        <v>21</v>
      </c>
      <c r="I2085" t="s">
        <v>72</v>
      </c>
      <c r="J2085">
        <v>2</v>
      </c>
      <c r="K2085">
        <v>1800</v>
      </c>
      <c r="L2085">
        <v>0.25</v>
      </c>
      <c r="M2085">
        <v>2700</v>
      </c>
      <c r="N2085">
        <v>2200</v>
      </c>
      <c r="O2085">
        <v>500</v>
      </c>
    </row>
    <row r="2086" spans="1:15" x14ac:dyDescent="0.25">
      <c r="A2086" t="s">
        <v>3147</v>
      </c>
      <c r="B2086" s="2">
        <v>47742</v>
      </c>
      <c r="C2086" t="s">
        <v>513</v>
      </c>
      <c r="D2086" t="s">
        <v>514</v>
      </c>
      <c r="E2086" t="s">
        <v>96</v>
      </c>
      <c r="F2086" t="s">
        <v>120</v>
      </c>
      <c r="G2086" t="s">
        <v>51</v>
      </c>
      <c r="H2086" t="s">
        <v>52</v>
      </c>
      <c r="I2086" t="s">
        <v>53</v>
      </c>
      <c r="J2086">
        <v>1</v>
      </c>
      <c r="K2086">
        <v>2200</v>
      </c>
      <c r="L2086">
        <v>0.2</v>
      </c>
      <c r="M2086">
        <v>1760</v>
      </c>
      <c r="N2086">
        <v>1450</v>
      </c>
      <c r="O2086">
        <v>310</v>
      </c>
    </row>
    <row r="2087" spans="1:15" x14ac:dyDescent="0.25">
      <c r="A2087" t="s">
        <v>3148</v>
      </c>
      <c r="B2087" s="2">
        <v>47743</v>
      </c>
      <c r="C2087" t="s">
        <v>1333</v>
      </c>
      <c r="D2087" t="s">
        <v>1334</v>
      </c>
      <c r="E2087" t="s">
        <v>39</v>
      </c>
      <c r="F2087" t="s">
        <v>40</v>
      </c>
      <c r="G2087" t="s">
        <v>57</v>
      </c>
      <c r="H2087" t="s">
        <v>188</v>
      </c>
      <c r="I2087" t="s">
        <v>189</v>
      </c>
      <c r="J2087">
        <v>1</v>
      </c>
      <c r="K2087">
        <v>6200</v>
      </c>
      <c r="L2087">
        <v>0</v>
      </c>
      <c r="M2087">
        <v>6200</v>
      </c>
      <c r="N2087">
        <v>4300</v>
      </c>
      <c r="O2087">
        <v>1900</v>
      </c>
    </row>
    <row r="2088" spans="1:15" x14ac:dyDescent="0.25">
      <c r="A2088" t="s">
        <v>3149</v>
      </c>
      <c r="B2088" s="2">
        <v>47744</v>
      </c>
      <c r="C2088" t="s">
        <v>32</v>
      </c>
      <c r="D2088" t="s">
        <v>33</v>
      </c>
      <c r="E2088" t="s">
        <v>39</v>
      </c>
      <c r="F2088" t="s">
        <v>71</v>
      </c>
      <c r="G2088" t="s">
        <v>20</v>
      </c>
      <c r="H2088" t="s">
        <v>84</v>
      </c>
      <c r="I2088" t="s">
        <v>169</v>
      </c>
      <c r="J2088">
        <v>3</v>
      </c>
      <c r="K2088">
        <v>450</v>
      </c>
      <c r="L2088">
        <v>0.15</v>
      </c>
      <c r="M2088">
        <v>1147.5</v>
      </c>
      <c r="N2088">
        <v>780</v>
      </c>
      <c r="O2088">
        <v>367.5</v>
      </c>
    </row>
    <row r="2089" spans="1:15" x14ac:dyDescent="0.25">
      <c r="A2089" t="s">
        <v>3150</v>
      </c>
      <c r="B2089" s="2">
        <v>47745</v>
      </c>
      <c r="C2089" t="s">
        <v>1022</v>
      </c>
      <c r="D2089" t="s">
        <v>1023</v>
      </c>
      <c r="E2089" t="s">
        <v>96</v>
      </c>
      <c r="F2089" t="s">
        <v>196</v>
      </c>
      <c r="G2089" t="s">
        <v>28</v>
      </c>
      <c r="H2089" t="s">
        <v>29</v>
      </c>
      <c r="I2089" t="s">
        <v>35</v>
      </c>
      <c r="J2089">
        <v>1</v>
      </c>
      <c r="K2089">
        <v>4200</v>
      </c>
      <c r="L2089">
        <v>0.15</v>
      </c>
      <c r="M2089">
        <v>3570</v>
      </c>
      <c r="N2089">
        <v>2900</v>
      </c>
      <c r="O2089">
        <v>670</v>
      </c>
    </row>
    <row r="2090" spans="1:15" x14ac:dyDescent="0.25">
      <c r="A2090" t="s">
        <v>3151</v>
      </c>
      <c r="B2090" s="2">
        <v>47746</v>
      </c>
      <c r="C2090" t="s">
        <v>1471</v>
      </c>
      <c r="D2090" t="s">
        <v>1472</v>
      </c>
      <c r="E2090" t="s">
        <v>26</v>
      </c>
      <c r="F2090" t="s">
        <v>204</v>
      </c>
      <c r="G2090" t="s">
        <v>20</v>
      </c>
      <c r="H2090" t="s">
        <v>41</v>
      </c>
      <c r="I2090" t="s">
        <v>42</v>
      </c>
      <c r="J2090">
        <v>2</v>
      </c>
      <c r="K2090">
        <v>520</v>
      </c>
      <c r="L2090">
        <v>0.05</v>
      </c>
      <c r="M2090">
        <v>988</v>
      </c>
      <c r="N2090">
        <v>660</v>
      </c>
      <c r="O2090">
        <v>328</v>
      </c>
    </row>
    <row r="2091" spans="1:15" x14ac:dyDescent="0.25">
      <c r="A2091" t="s">
        <v>3152</v>
      </c>
      <c r="B2091" s="2">
        <v>47747</v>
      </c>
      <c r="C2091" t="s">
        <v>284</v>
      </c>
      <c r="D2091" t="s">
        <v>285</v>
      </c>
      <c r="E2091" t="s">
        <v>96</v>
      </c>
      <c r="F2091" t="s">
        <v>196</v>
      </c>
      <c r="G2091" t="s">
        <v>57</v>
      </c>
      <c r="H2091" t="s">
        <v>188</v>
      </c>
      <c r="I2091" t="s">
        <v>189</v>
      </c>
      <c r="J2091">
        <v>2</v>
      </c>
      <c r="K2091">
        <v>6200</v>
      </c>
      <c r="L2091">
        <v>0.2</v>
      </c>
      <c r="M2091">
        <v>9920</v>
      </c>
      <c r="N2091">
        <v>8600</v>
      </c>
      <c r="O2091">
        <v>1320</v>
      </c>
    </row>
    <row r="2092" spans="1:15" x14ac:dyDescent="0.25">
      <c r="A2092" t="s">
        <v>3153</v>
      </c>
      <c r="B2092" s="2">
        <v>47748</v>
      </c>
      <c r="C2092" t="s">
        <v>2470</v>
      </c>
      <c r="D2092" t="s">
        <v>2471</v>
      </c>
      <c r="E2092" t="s">
        <v>26</v>
      </c>
      <c r="F2092" t="s">
        <v>27</v>
      </c>
      <c r="G2092" t="s">
        <v>51</v>
      </c>
      <c r="H2092" t="s">
        <v>52</v>
      </c>
      <c r="I2092" t="s">
        <v>208</v>
      </c>
      <c r="J2092">
        <v>4</v>
      </c>
      <c r="K2092">
        <v>2800</v>
      </c>
      <c r="L2092">
        <v>0.1</v>
      </c>
      <c r="M2092">
        <v>10080</v>
      </c>
      <c r="N2092">
        <v>7200</v>
      </c>
      <c r="O2092">
        <v>2880</v>
      </c>
    </row>
    <row r="2093" spans="1:15" x14ac:dyDescent="0.25">
      <c r="A2093" t="s">
        <v>3154</v>
      </c>
      <c r="B2093" s="2">
        <v>47749</v>
      </c>
      <c r="C2093" t="s">
        <v>1210</v>
      </c>
      <c r="D2093" t="s">
        <v>1211</v>
      </c>
      <c r="E2093" t="s">
        <v>96</v>
      </c>
      <c r="F2093" t="s">
        <v>196</v>
      </c>
      <c r="G2093" t="s">
        <v>51</v>
      </c>
      <c r="H2093" t="s">
        <v>21</v>
      </c>
      <c r="I2093" t="s">
        <v>80</v>
      </c>
      <c r="J2093">
        <v>1</v>
      </c>
      <c r="K2093">
        <v>850</v>
      </c>
      <c r="L2093">
        <v>0.25</v>
      </c>
      <c r="M2093">
        <v>637.5</v>
      </c>
      <c r="N2093">
        <v>560</v>
      </c>
      <c r="O2093">
        <v>77.5</v>
      </c>
    </row>
    <row r="2094" spans="1:15" x14ac:dyDescent="0.25">
      <c r="A2094" t="s">
        <v>3155</v>
      </c>
      <c r="B2094" s="2">
        <v>47750</v>
      </c>
      <c r="C2094" t="s">
        <v>1127</v>
      </c>
      <c r="D2094" t="s">
        <v>1128</v>
      </c>
      <c r="E2094" t="s">
        <v>96</v>
      </c>
      <c r="F2094" t="s">
        <v>97</v>
      </c>
      <c r="G2094" t="s">
        <v>57</v>
      </c>
      <c r="H2094" t="s">
        <v>58</v>
      </c>
      <c r="I2094" t="s">
        <v>129</v>
      </c>
      <c r="J2094">
        <v>1</v>
      </c>
      <c r="K2094">
        <v>4800</v>
      </c>
      <c r="L2094">
        <v>0.05</v>
      </c>
      <c r="M2094">
        <v>4560</v>
      </c>
      <c r="N2094">
        <v>3300</v>
      </c>
      <c r="O2094">
        <v>1260</v>
      </c>
    </row>
    <row r="2095" spans="1:15" x14ac:dyDescent="0.25">
      <c r="A2095" t="s">
        <v>3156</v>
      </c>
      <c r="B2095" s="2">
        <v>47751</v>
      </c>
      <c r="C2095" t="s">
        <v>1108</v>
      </c>
      <c r="D2095" t="s">
        <v>1109</v>
      </c>
      <c r="E2095" t="s">
        <v>39</v>
      </c>
      <c r="F2095" t="s">
        <v>124</v>
      </c>
      <c r="G2095" t="s">
        <v>20</v>
      </c>
      <c r="H2095" t="s">
        <v>84</v>
      </c>
      <c r="I2095" t="s">
        <v>85</v>
      </c>
      <c r="J2095">
        <v>5</v>
      </c>
      <c r="K2095">
        <v>280</v>
      </c>
      <c r="L2095">
        <v>0.1</v>
      </c>
      <c r="M2095">
        <v>1260</v>
      </c>
      <c r="N2095">
        <v>800</v>
      </c>
      <c r="O2095">
        <v>460</v>
      </c>
    </row>
    <row r="2096" spans="1:15" x14ac:dyDescent="0.25">
      <c r="A2096" t="s">
        <v>3157</v>
      </c>
      <c r="B2096" s="2">
        <v>47752</v>
      </c>
      <c r="C2096" t="s">
        <v>630</v>
      </c>
      <c r="D2096" t="s">
        <v>631</v>
      </c>
      <c r="E2096" t="s">
        <v>96</v>
      </c>
      <c r="F2096" t="s">
        <v>97</v>
      </c>
      <c r="G2096" t="s">
        <v>57</v>
      </c>
      <c r="H2096" t="s">
        <v>58</v>
      </c>
      <c r="I2096" t="s">
        <v>59</v>
      </c>
      <c r="J2096">
        <v>5</v>
      </c>
      <c r="K2096">
        <v>5600</v>
      </c>
      <c r="L2096">
        <v>0</v>
      </c>
      <c r="M2096">
        <v>28000</v>
      </c>
      <c r="N2096">
        <v>19500</v>
      </c>
      <c r="O2096">
        <v>8500</v>
      </c>
    </row>
    <row r="2097" spans="1:15" x14ac:dyDescent="0.25">
      <c r="A2097" t="s">
        <v>3158</v>
      </c>
      <c r="B2097" s="2">
        <v>47753</v>
      </c>
      <c r="C2097" t="s">
        <v>149</v>
      </c>
      <c r="D2097" t="s">
        <v>150</v>
      </c>
      <c r="E2097" t="s">
        <v>96</v>
      </c>
      <c r="F2097" t="s">
        <v>97</v>
      </c>
      <c r="G2097" t="s">
        <v>20</v>
      </c>
      <c r="H2097" t="s">
        <v>41</v>
      </c>
      <c r="I2097" t="s">
        <v>42</v>
      </c>
      <c r="J2097">
        <v>2</v>
      </c>
      <c r="K2097">
        <v>520</v>
      </c>
      <c r="L2097">
        <v>0.15</v>
      </c>
      <c r="M2097">
        <v>884</v>
      </c>
      <c r="N2097">
        <v>660</v>
      </c>
      <c r="O2097">
        <v>224</v>
      </c>
    </row>
    <row r="2098" spans="1:15" x14ac:dyDescent="0.25">
      <c r="A2098" t="s">
        <v>3159</v>
      </c>
      <c r="B2098" s="2">
        <v>47754</v>
      </c>
      <c r="C2098" t="s">
        <v>411</v>
      </c>
      <c r="D2098" t="s">
        <v>412</v>
      </c>
      <c r="E2098" t="s">
        <v>39</v>
      </c>
      <c r="F2098" t="s">
        <v>76</v>
      </c>
      <c r="G2098" t="s">
        <v>51</v>
      </c>
      <c r="H2098" t="s">
        <v>21</v>
      </c>
      <c r="I2098" t="s">
        <v>116</v>
      </c>
      <c r="J2098">
        <v>5</v>
      </c>
      <c r="K2098">
        <v>1400</v>
      </c>
      <c r="L2098">
        <v>0.1</v>
      </c>
      <c r="M2098">
        <v>6300</v>
      </c>
      <c r="N2098">
        <v>4500</v>
      </c>
      <c r="O2098">
        <v>1800</v>
      </c>
    </row>
    <row r="2099" spans="1:15" x14ac:dyDescent="0.25">
      <c r="A2099" t="s">
        <v>3160</v>
      </c>
      <c r="B2099" s="2">
        <v>47755</v>
      </c>
      <c r="C2099" t="s">
        <v>2022</v>
      </c>
      <c r="D2099" t="s">
        <v>2023</v>
      </c>
      <c r="E2099" t="s">
        <v>26</v>
      </c>
      <c r="F2099" t="s">
        <v>46</v>
      </c>
      <c r="G2099" t="s">
        <v>51</v>
      </c>
      <c r="H2099" t="s">
        <v>21</v>
      </c>
      <c r="I2099" t="s">
        <v>116</v>
      </c>
      <c r="J2099">
        <v>2</v>
      </c>
      <c r="K2099">
        <v>1400</v>
      </c>
      <c r="L2099">
        <v>0.15</v>
      </c>
      <c r="M2099">
        <v>2380</v>
      </c>
      <c r="N2099">
        <v>1800</v>
      </c>
      <c r="O2099">
        <v>580</v>
      </c>
    </row>
    <row r="2100" spans="1:15" x14ac:dyDescent="0.25">
      <c r="A2100" t="s">
        <v>3161</v>
      </c>
      <c r="B2100" s="2">
        <v>47756</v>
      </c>
      <c r="C2100" t="s">
        <v>2449</v>
      </c>
      <c r="D2100" t="s">
        <v>2450</v>
      </c>
      <c r="E2100" t="s">
        <v>26</v>
      </c>
      <c r="F2100" t="s">
        <v>46</v>
      </c>
      <c r="G2100" t="s">
        <v>28</v>
      </c>
      <c r="H2100" t="s">
        <v>63</v>
      </c>
      <c r="I2100" t="s">
        <v>64</v>
      </c>
      <c r="J2100">
        <v>2</v>
      </c>
      <c r="K2100">
        <v>2400</v>
      </c>
      <c r="L2100">
        <v>0.15</v>
      </c>
      <c r="M2100">
        <v>4080</v>
      </c>
      <c r="N2100">
        <v>3300</v>
      </c>
      <c r="O2100">
        <v>780</v>
      </c>
    </row>
    <row r="2101" spans="1:15" x14ac:dyDescent="0.25">
      <c r="A2101" t="s">
        <v>3162</v>
      </c>
      <c r="B2101" s="2">
        <v>47757</v>
      </c>
      <c r="C2101" t="s">
        <v>134</v>
      </c>
      <c r="D2101" t="s">
        <v>135</v>
      </c>
      <c r="E2101" t="s">
        <v>96</v>
      </c>
      <c r="F2101" t="s">
        <v>97</v>
      </c>
      <c r="G2101" t="s">
        <v>51</v>
      </c>
      <c r="H2101" t="s">
        <v>52</v>
      </c>
      <c r="I2101" t="s">
        <v>53</v>
      </c>
      <c r="J2101">
        <v>5</v>
      </c>
      <c r="K2101">
        <v>2200</v>
      </c>
      <c r="L2101">
        <v>0.2</v>
      </c>
      <c r="M2101">
        <v>8800</v>
      </c>
      <c r="N2101">
        <v>7250</v>
      </c>
      <c r="O2101">
        <v>1550</v>
      </c>
    </row>
    <row r="2102" spans="1:15" x14ac:dyDescent="0.25">
      <c r="A2102" t="s">
        <v>3163</v>
      </c>
      <c r="B2102" s="2">
        <v>47758</v>
      </c>
      <c r="C2102" t="s">
        <v>1186</v>
      </c>
      <c r="D2102" t="s">
        <v>1187</v>
      </c>
      <c r="E2102" t="s">
        <v>26</v>
      </c>
      <c r="F2102" t="s">
        <v>46</v>
      </c>
      <c r="G2102" t="s">
        <v>51</v>
      </c>
      <c r="H2102" t="s">
        <v>52</v>
      </c>
      <c r="I2102" t="s">
        <v>208</v>
      </c>
      <c r="J2102">
        <v>5</v>
      </c>
      <c r="K2102">
        <v>2800</v>
      </c>
      <c r="L2102">
        <v>0.25</v>
      </c>
      <c r="M2102">
        <v>10500</v>
      </c>
      <c r="N2102">
        <v>9000</v>
      </c>
      <c r="O2102">
        <v>1500</v>
      </c>
    </row>
    <row r="2103" spans="1:15" x14ac:dyDescent="0.25">
      <c r="A2103" t="s">
        <v>3164</v>
      </c>
      <c r="B2103" s="2">
        <v>47759</v>
      </c>
      <c r="C2103" t="s">
        <v>853</v>
      </c>
      <c r="D2103" t="s">
        <v>854</v>
      </c>
      <c r="E2103" t="s">
        <v>26</v>
      </c>
      <c r="F2103" t="s">
        <v>204</v>
      </c>
      <c r="G2103" t="s">
        <v>20</v>
      </c>
      <c r="H2103" t="s">
        <v>84</v>
      </c>
      <c r="I2103" t="s">
        <v>85</v>
      </c>
      <c r="J2103">
        <v>2</v>
      </c>
      <c r="K2103">
        <v>280</v>
      </c>
      <c r="L2103">
        <v>0.2</v>
      </c>
      <c r="M2103">
        <v>448</v>
      </c>
      <c r="N2103">
        <v>320</v>
      </c>
      <c r="O2103">
        <v>128</v>
      </c>
    </row>
    <row r="2104" spans="1:15" x14ac:dyDescent="0.25">
      <c r="A2104" t="s">
        <v>3165</v>
      </c>
      <c r="B2104" s="2">
        <v>47760</v>
      </c>
      <c r="C2104" t="s">
        <v>803</v>
      </c>
      <c r="D2104" t="s">
        <v>804</v>
      </c>
      <c r="E2104" t="s">
        <v>96</v>
      </c>
      <c r="F2104" t="s">
        <v>200</v>
      </c>
      <c r="G2104" t="s">
        <v>57</v>
      </c>
      <c r="H2104" t="s">
        <v>58</v>
      </c>
      <c r="I2104" t="s">
        <v>129</v>
      </c>
      <c r="J2104">
        <v>4</v>
      </c>
      <c r="K2104">
        <v>4800</v>
      </c>
      <c r="L2104">
        <v>0.15</v>
      </c>
      <c r="M2104">
        <v>16320</v>
      </c>
      <c r="N2104">
        <v>13200</v>
      </c>
      <c r="O2104">
        <v>3120</v>
      </c>
    </row>
    <row r="2105" spans="1:15" x14ac:dyDescent="0.25">
      <c r="A2105" t="s">
        <v>3166</v>
      </c>
      <c r="B2105" s="2">
        <v>47761</v>
      </c>
      <c r="C2105" t="s">
        <v>849</v>
      </c>
      <c r="D2105" t="s">
        <v>850</v>
      </c>
      <c r="E2105" t="s">
        <v>26</v>
      </c>
      <c r="F2105" t="s">
        <v>27</v>
      </c>
      <c r="G2105" t="s">
        <v>20</v>
      </c>
      <c r="H2105" t="s">
        <v>84</v>
      </c>
      <c r="I2105" t="s">
        <v>169</v>
      </c>
      <c r="J2105">
        <v>3</v>
      </c>
      <c r="K2105">
        <v>450</v>
      </c>
      <c r="L2105">
        <v>0.1</v>
      </c>
      <c r="M2105">
        <v>1215</v>
      </c>
      <c r="N2105">
        <v>780</v>
      </c>
      <c r="O2105">
        <v>435</v>
      </c>
    </row>
    <row r="2106" spans="1:15" x14ac:dyDescent="0.25">
      <c r="A2106" t="s">
        <v>3167</v>
      </c>
      <c r="B2106" s="2">
        <v>47762</v>
      </c>
      <c r="C2106" t="s">
        <v>278</v>
      </c>
      <c r="D2106" t="s">
        <v>279</v>
      </c>
      <c r="E2106" t="s">
        <v>96</v>
      </c>
      <c r="F2106" t="s">
        <v>120</v>
      </c>
      <c r="G2106" t="s">
        <v>28</v>
      </c>
      <c r="H2106" t="s">
        <v>29</v>
      </c>
      <c r="I2106" t="s">
        <v>30</v>
      </c>
      <c r="J2106">
        <v>4</v>
      </c>
      <c r="K2106">
        <v>1900</v>
      </c>
      <c r="L2106">
        <v>0.1</v>
      </c>
      <c r="M2106">
        <v>6840</v>
      </c>
      <c r="N2106">
        <v>5000</v>
      </c>
      <c r="O2106">
        <v>1840</v>
      </c>
    </row>
    <row r="2107" spans="1:15" x14ac:dyDescent="0.25">
      <c r="A2107" t="s">
        <v>3168</v>
      </c>
      <c r="B2107" s="2">
        <v>47763</v>
      </c>
      <c r="C2107" t="s">
        <v>222</v>
      </c>
      <c r="D2107" t="s">
        <v>223</v>
      </c>
      <c r="E2107" t="s">
        <v>18</v>
      </c>
      <c r="F2107" t="s">
        <v>227</v>
      </c>
      <c r="G2107" t="s">
        <v>51</v>
      </c>
      <c r="H2107" t="s">
        <v>52</v>
      </c>
      <c r="I2107" t="s">
        <v>208</v>
      </c>
      <c r="J2107">
        <v>1</v>
      </c>
      <c r="K2107">
        <v>2800</v>
      </c>
      <c r="L2107">
        <v>0</v>
      </c>
      <c r="M2107">
        <v>2800</v>
      </c>
      <c r="N2107">
        <v>1800</v>
      </c>
      <c r="O2107">
        <v>1000</v>
      </c>
    </row>
    <row r="2108" spans="1:15" x14ac:dyDescent="0.25">
      <c r="A2108" t="s">
        <v>3169</v>
      </c>
      <c r="B2108" s="2">
        <v>47764</v>
      </c>
      <c r="C2108" t="s">
        <v>314</v>
      </c>
      <c r="D2108" t="s">
        <v>315</v>
      </c>
      <c r="E2108" t="s">
        <v>96</v>
      </c>
      <c r="F2108" t="s">
        <v>120</v>
      </c>
      <c r="G2108" t="s">
        <v>57</v>
      </c>
      <c r="H2108" t="s">
        <v>188</v>
      </c>
      <c r="I2108" t="s">
        <v>189</v>
      </c>
      <c r="J2108">
        <v>2</v>
      </c>
      <c r="K2108">
        <v>6200</v>
      </c>
      <c r="L2108">
        <v>0.1</v>
      </c>
      <c r="M2108">
        <v>11160</v>
      </c>
      <c r="N2108">
        <v>8600</v>
      </c>
      <c r="O2108">
        <v>2560</v>
      </c>
    </row>
    <row r="2109" spans="1:15" x14ac:dyDescent="0.25">
      <c r="A2109" t="s">
        <v>3170</v>
      </c>
      <c r="B2109" s="2">
        <v>47765</v>
      </c>
      <c r="C2109" t="s">
        <v>225</v>
      </c>
      <c r="D2109" t="s">
        <v>226</v>
      </c>
      <c r="E2109" t="s">
        <v>96</v>
      </c>
      <c r="F2109" t="s">
        <v>97</v>
      </c>
      <c r="G2109" t="s">
        <v>51</v>
      </c>
      <c r="H2109" t="s">
        <v>21</v>
      </c>
      <c r="I2109" t="s">
        <v>116</v>
      </c>
      <c r="J2109">
        <v>3</v>
      </c>
      <c r="K2109">
        <v>1400</v>
      </c>
      <c r="L2109">
        <v>0</v>
      </c>
      <c r="M2109">
        <v>4200</v>
      </c>
      <c r="N2109">
        <v>2700</v>
      </c>
      <c r="O2109">
        <v>1500</v>
      </c>
    </row>
    <row r="2110" spans="1:15" x14ac:dyDescent="0.25">
      <c r="A2110" t="s">
        <v>3171</v>
      </c>
      <c r="B2110" s="2">
        <v>47766</v>
      </c>
      <c r="C2110" t="s">
        <v>2687</v>
      </c>
      <c r="D2110" t="s">
        <v>2688</v>
      </c>
      <c r="E2110" t="s">
        <v>39</v>
      </c>
      <c r="F2110" t="s">
        <v>76</v>
      </c>
      <c r="G2110" t="s">
        <v>57</v>
      </c>
      <c r="H2110" t="s">
        <v>58</v>
      </c>
      <c r="I2110" t="s">
        <v>129</v>
      </c>
      <c r="J2110">
        <v>2</v>
      </c>
      <c r="K2110">
        <v>4800</v>
      </c>
      <c r="L2110">
        <v>0.25</v>
      </c>
      <c r="M2110">
        <v>7200</v>
      </c>
      <c r="N2110">
        <v>6600</v>
      </c>
      <c r="O2110">
        <v>600</v>
      </c>
    </row>
    <row r="2111" spans="1:15" x14ac:dyDescent="0.25">
      <c r="A2111" t="s">
        <v>3172</v>
      </c>
      <c r="B2111" s="2">
        <v>47767</v>
      </c>
      <c r="C2111" t="s">
        <v>1059</v>
      </c>
      <c r="D2111" t="s">
        <v>1060</v>
      </c>
      <c r="E2111" t="s">
        <v>26</v>
      </c>
      <c r="F2111" t="s">
        <v>204</v>
      </c>
      <c r="G2111" t="s">
        <v>57</v>
      </c>
      <c r="H2111" t="s">
        <v>104</v>
      </c>
      <c r="I2111" t="s">
        <v>105</v>
      </c>
      <c r="J2111">
        <v>2</v>
      </c>
      <c r="K2111">
        <v>7500</v>
      </c>
      <c r="L2111">
        <v>0.05</v>
      </c>
      <c r="M2111">
        <v>14250</v>
      </c>
      <c r="N2111">
        <v>10400</v>
      </c>
      <c r="O2111">
        <v>3850</v>
      </c>
    </row>
    <row r="2112" spans="1:15" x14ac:dyDescent="0.25">
      <c r="A2112" t="s">
        <v>3173</v>
      </c>
      <c r="B2112" s="2">
        <v>47768</v>
      </c>
      <c r="C2112" t="s">
        <v>902</v>
      </c>
      <c r="D2112" t="s">
        <v>903</v>
      </c>
      <c r="E2112" t="s">
        <v>39</v>
      </c>
      <c r="F2112" t="s">
        <v>76</v>
      </c>
      <c r="G2112" t="s">
        <v>57</v>
      </c>
      <c r="H2112" t="s">
        <v>58</v>
      </c>
      <c r="I2112" t="s">
        <v>59</v>
      </c>
      <c r="J2112">
        <v>2</v>
      </c>
      <c r="K2112">
        <v>5600</v>
      </c>
      <c r="L2112">
        <v>0.15</v>
      </c>
      <c r="M2112">
        <v>9520</v>
      </c>
      <c r="N2112">
        <v>7800</v>
      </c>
      <c r="O2112">
        <v>1720</v>
      </c>
    </row>
    <row r="2113" spans="1:15" x14ac:dyDescent="0.25">
      <c r="A2113" t="s">
        <v>3174</v>
      </c>
      <c r="B2113" s="2">
        <v>47769</v>
      </c>
      <c r="C2113" t="s">
        <v>974</v>
      </c>
      <c r="D2113" t="s">
        <v>975</v>
      </c>
      <c r="E2113" t="s">
        <v>26</v>
      </c>
      <c r="F2113" t="s">
        <v>128</v>
      </c>
      <c r="G2113" t="s">
        <v>20</v>
      </c>
      <c r="H2113" t="s">
        <v>41</v>
      </c>
      <c r="I2113" t="s">
        <v>42</v>
      </c>
      <c r="J2113">
        <v>1</v>
      </c>
      <c r="K2113">
        <v>520</v>
      </c>
      <c r="L2113">
        <v>0.05</v>
      </c>
      <c r="M2113">
        <v>494</v>
      </c>
      <c r="N2113">
        <v>330</v>
      </c>
      <c r="O2113">
        <v>164</v>
      </c>
    </row>
    <row r="2114" spans="1:15" x14ac:dyDescent="0.25">
      <c r="A2114" t="s">
        <v>3175</v>
      </c>
      <c r="B2114" s="2">
        <v>47770</v>
      </c>
      <c r="C2114" t="s">
        <v>1393</v>
      </c>
      <c r="D2114" t="s">
        <v>1394</v>
      </c>
      <c r="E2114" t="s">
        <v>26</v>
      </c>
      <c r="F2114" t="s">
        <v>204</v>
      </c>
      <c r="G2114" t="s">
        <v>57</v>
      </c>
      <c r="H2114" t="s">
        <v>188</v>
      </c>
      <c r="I2114" t="s">
        <v>189</v>
      </c>
      <c r="J2114">
        <v>2</v>
      </c>
      <c r="K2114">
        <v>6200</v>
      </c>
      <c r="L2114">
        <v>0.15</v>
      </c>
      <c r="M2114">
        <v>10540</v>
      </c>
      <c r="N2114">
        <v>8600</v>
      </c>
      <c r="O2114">
        <v>1940</v>
      </c>
    </row>
    <row r="2115" spans="1:15" x14ac:dyDescent="0.25">
      <c r="A2115" t="s">
        <v>3176</v>
      </c>
      <c r="B2115" s="2">
        <v>47771</v>
      </c>
      <c r="C2115" t="s">
        <v>821</v>
      </c>
      <c r="D2115" t="s">
        <v>822</v>
      </c>
      <c r="E2115" t="s">
        <v>39</v>
      </c>
      <c r="F2115" t="s">
        <v>71</v>
      </c>
      <c r="G2115" t="s">
        <v>51</v>
      </c>
      <c r="H2115" t="s">
        <v>21</v>
      </c>
      <c r="I2115" t="s">
        <v>72</v>
      </c>
      <c r="J2115">
        <v>1</v>
      </c>
      <c r="K2115">
        <v>1800</v>
      </c>
      <c r="L2115">
        <v>0.1</v>
      </c>
      <c r="M2115">
        <v>1620</v>
      </c>
      <c r="N2115">
        <v>1100</v>
      </c>
      <c r="O2115">
        <v>520</v>
      </c>
    </row>
    <row r="2116" spans="1:15" x14ac:dyDescent="0.25">
      <c r="A2116" t="s">
        <v>3177</v>
      </c>
      <c r="B2116" s="2">
        <v>47772</v>
      </c>
      <c r="C2116" t="s">
        <v>420</v>
      </c>
      <c r="D2116" t="s">
        <v>421</v>
      </c>
      <c r="E2116" t="s">
        <v>26</v>
      </c>
      <c r="F2116" t="s">
        <v>34</v>
      </c>
      <c r="G2116" t="s">
        <v>20</v>
      </c>
      <c r="H2116" t="s">
        <v>21</v>
      </c>
      <c r="I2116" t="s">
        <v>22</v>
      </c>
      <c r="J2116">
        <v>4</v>
      </c>
      <c r="K2116">
        <v>650</v>
      </c>
      <c r="L2116">
        <v>0.1</v>
      </c>
      <c r="M2116">
        <v>2340</v>
      </c>
      <c r="N2116">
        <v>1560</v>
      </c>
      <c r="O2116">
        <v>780</v>
      </c>
    </row>
    <row r="2117" spans="1:15" x14ac:dyDescent="0.25">
      <c r="A2117" t="s">
        <v>3178</v>
      </c>
      <c r="B2117" s="2">
        <v>47773</v>
      </c>
      <c r="C2117" t="s">
        <v>1240</v>
      </c>
      <c r="D2117" t="s">
        <v>1241</v>
      </c>
      <c r="E2117" t="s">
        <v>39</v>
      </c>
      <c r="F2117" t="s">
        <v>124</v>
      </c>
      <c r="G2117" t="s">
        <v>51</v>
      </c>
      <c r="H2117" t="s">
        <v>52</v>
      </c>
      <c r="I2117" t="s">
        <v>53</v>
      </c>
      <c r="J2117">
        <v>4</v>
      </c>
      <c r="K2117">
        <v>2200</v>
      </c>
      <c r="L2117">
        <v>0.1</v>
      </c>
      <c r="M2117">
        <v>7920</v>
      </c>
      <c r="N2117">
        <v>5800</v>
      </c>
      <c r="O2117">
        <v>2120</v>
      </c>
    </row>
    <row r="2118" spans="1:15" x14ac:dyDescent="0.25">
      <c r="A2118" t="s">
        <v>3179</v>
      </c>
      <c r="B2118" s="2">
        <v>47774</v>
      </c>
      <c r="C2118" t="s">
        <v>2102</v>
      </c>
      <c r="D2118" t="s">
        <v>2103</v>
      </c>
      <c r="E2118" t="s">
        <v>18</v>
      </c>
      <c r="F2118" t="s">
        <v>19</v>
      </c>
      <c r="G2118" t="s">
        <v>57</v>
      </c>
      <c r="H2118" t="s">
        <v>188</v>
      </c>
      <c r="I2118" t="s">
        <v>189</v>
      </c>
      <c r="J2118">
        <v>2</v>
      </c>
      <c r="K2118">
        <v>6200</v>
      </c>
      <c r="L2118">
        <v>0.15</v>
      </c>
      <c r="M2118">
        <v>10540</v>
      </c>
      <c r="N2118">
        <v>8600</v>
      </c>
      <c r="O2118">
        <v>1940</v>
      </c>
    </row>
    <row r="2119" spans="1:15" x14ac:dyDescent="0.25">
      <c r="A2119" t="s">
        <v>3180</v>
      </c>
      <c r="B2119" s="2">
        <v>47775</v>
      </c>
      <c r="C2119" t="s">
        <v>1308</v>
      </c>
      <c r="D2119" t="s">
        <v>1309</v>
      </c>
      <c r="E2119" t="s">
        <v>39</v>
      </c>
      <c r="F2119" t="s">
        <v>40</v>
      </c>
      <c r="G2119" t="s">
        <v>57</v>
      </c>
      <c r="H2119" t="s">
        <v>58</v>
      </c>
      <c r="I2119" t="s">
        <v>59</v>
      </c>
      <c r="J2119">
        <v>3</v>
      </c>
      <c r="K2119">
        <v>5600</v>
      </c>
      <c r="L2119">
        <v>0.25</v>
      </c>
      <c r="M2119">
        <v>12600</v>
      </c>
      <c r="N2119">
        <v>11700</v>
      </c>
      <c r="O2119">
        <v>900</v>
      </c>
    </row>
    <row r="2120" spans="1:15" x14ac:dyDescent="0.25">
      <c r="A2120" t="s">
        <v>3181</v>
      </c>
      <c r="B2120" s="2">
        <v>47776</v>
      </c>
      <c r="C2120" t="s">
        <v>1731</v>
      </c>
      <c r="D2120" t="s">
        <v>1732</v>
      </c>
      <c r="E2120" t="s">
        <v>26</v>
      </c>
      <c r="F2120" t="s">
        <v>27</v>
      </c>
      <c r="G2120" t="s">
        <v>51</v>
      </c>
      <c r="H2120" t="s">
        <v>21</v>
      </c>
      <c r="I2120" t="s">
        <v>116</v>
      </c>
      <c r="J2120">
        <v>4</v>
      </c>
      <c r="K2120">
        <v>1400</v>
      </c>
      <c r="L2120">
        <v>0.1</v>
      </c>
      <c r="M2120">
        <v>5040</v>
      </c>
      <c r="N2120">
        <v>3600</v>
      </c>
      <c r="O2120">
        <v>1440</v>
      </c>
    </row>
    <row r="2121" spans="1:15" x14ac:dyDescent="0.25">
      <c r="A2121" t="s">
        <v>3182</v>
      </c>
      <c r="B2121" s="2">
        <v>47777</v>
      </c>
      <c r="C2121" t="s">
        <v>235</v>
      </c>
      <c r="D2121" t="s">
        <v>236</v>
      </c>
      <c r="E2121" t="s">
        <v>39</v>
      </c>
      <c r="F2121" t="s">
        <v>76</v>
      </c>
      <c r="G2121" t="s">
        <v>28</v>
      </c>
      <c r="H2121" t="s">
        <v>63</v>
      </c>
      <c r="I2121" t="s">
        <v>64</v>
      </c>
      <c r="J2121">
        <v>2</v>
      </c>
      <c r="K2121">
        <v>2400</v>
      </c>
      <c r="L2121">
        <v>0.1</v>
      </c>
      <c r="M2121">
        <v>4320</v>
      </c>
      <c r="N2121">
        <v>3300</v>
      </c>
      <c r="O2121">
        <v>1020</v>
      </c>
    </row>
    <row r="2122" spans="1:15" x14ac:dyDescent="0.25">
      <c r="A2122" t="s">
        <v>3183</v>
      </c>
      <c r="B2122" s="2">
        <v>47778</v>
      </c>
      <c r="C2122" t="s">
        <v>1092</v>
      </c>
      <c r="D2122" t="s">
        <v>1093</v>
      </c>
      <c r="E2122" t="s">
        <v>96</v>
      </c>
      <c r="F2122" t="s">
        <v>120</v>
      </c>
      <c r="G2122" t="s">
        <v>51</v>
      </c>
      <c r="H2122" t="s">
        <v>52</v>
      </c>
      <c r="I2122" t="s">
        <v>208</v>
      </c>
      <c r="J2122">
        <v>4</v>
      </c>
      <c r="K2122">
        <v>2800</v>
      </c>
      <c r="L2122">
        <v>0.15</v>
      </c>
      <c r="M2122">
        <v>9520</v>
      </c>
      <c r="N2122">
        <v>7200</v>
      </c>
      <c r="O2122">
        <v>2320</v>
      </c>
    </row>
    <row r="2123" spans="1:15" x14ac:dyDescent="0.25">
      <c r="A2123" t="s">
        <v>3184</v>
      </c>
      <c r="B2123" s="2">
        <v>47779</v>
      </c>
      <c r="C2123" t="s">
        <v>1847</v>
      </c>
      <c r="D2123" t="s">
        <v>1848</v>
      </c>
      <c r="E2123" t="s">
        <v>96</v>
      </c>
      <c r="F2123" t="s">
        <v>196</v>
      </c>
      <c r="G2123" t="s">
        <v>51</v>
      </c>
      <c r="H2123" t="s">
        <v>21</v>
      </c>
      <c r="I2123" t="s">
        <v>116</v>
      </c>
      <c r="J2123">
        <v>3</v>
      </c>
      <c r="K2123">
        <v>1400</v>
      </c>
      <c r="L2123">
        <v>0</v>
      </c>
      <c r="M2123">
        <v>4200</v>
      </c>
      <c r="N2123">
        <v>2700</v>
      </c>
      <c r="O2123">
        <v>1500</v>
      </c>
    </row>
    <row r="2124" spans="1:15" x14ac:dyDescent="0.25">
      <c r="A2124" t="s">
        <v>3185</v>
      </c>
      <c r="B2124" s="2">
        <v>47780</v>
      </c>
      <c r="C2124" t="s">
        <v>1111</v>
      </c>
      <c r="D2124" t="s">
        <v>1112</v>
      </c>
      <c r="E2124" t="s">
        <v>26</v>
      </c>
      <c r="F2124" t="s">
        <v>128</v>
      </c>
      <c r="G2124" t="s">
        <v>57</v>
      </c>
      <c r="H2124" t="s">
        <v>58</v>
      </c>
      <c r="I2124" t="s">
        <v>59</v>
      </c>
      <c r="J2124">
        <v>3</v>
      </c>
      <c r="K2124">
        <v>5600</v>
      </c>
      <c r="L2124">
        <v>0</v>
      </c>
      <c r="M2124">
        <v>16800</v>
      </c>
      <c r="N2124">
        <v>11700</v>
      </c>
      <c r="O2124">
        <v>5100</v>
      </c>
    </row>
    <row r="2125" spans="1:15" x14ac:dyDescent="0.25">
      <c r="A2125" t="s">
        <v>3186</v>
      </c>
      <c r="B2125" s="2">
        <v>47781</v>
      </c>
      <c r="C2125" t="s">
        <v>902</v>
      </c>
      <c r="D2125" t="s">
        <v>903</v>
      </c>
      <c r="E2125" t="s">
        <v>26</v>
      </c>
      <c r="F2125" t="s">
        <v>34</v>
      </c>
      <c r="G2125" t="s">
        <v>51</v>
      </c>
      <c r="H2125" t="s">
        <v>52</v>
      </c>
      <c r="I2125" t="s">
        <v>208</v>
      </c>
      <c r="J2125">
        <v>1</v>
      </c>
      <c r="K2125">
        <v>2800</v>
      </c>
      <c r="L2125">
        <v>0.2</v>
      </c>
      <c r="M2125">
        <v>2240</v>
      </c>
      <c r="N2125">
        <v>1800</v>
      </c>
      <c r="O2125">
        <v>440</v>
      </c>
    </row>
    <row r="2126" spans="1:15" x14ac:dyDescent="0.25">
      <c r="A2126" t="s">
        <v>3187</v>
      </c>
      <c r="B2126" s="2">
        <v>47782</v>
      </c>
      <c r="C2126" t="s">
        <v>1494</v>
      </c>
      <c r="D2126" t="s">
        <v>1495</v>
      </c>
      <c r="E2126" t="s">
        <v>26</v>
      </c>
      <c r="F2126" t="s">
        <v>27</v>
      </c>
      <c r="G2126" t="s">
        <v>20</v>
      </c>
      <c r="H2126" t="s">
        <v>41</v>
      </c>
      <c r="I2126" t="s">
        <v>42</v>
      </c>
      <c r="J2126">
        <v>5</v>
      </c>
      <c r="K2126">
        <v>520</v>
      </c>
      <c r="L2126">
        <v>0</v>
      </c>
      <c r="M2126">
        <v>2600</v>
      </c>
      <c r="N2126">
        <v>1650</v>
      </c>
      <c r="O2126">
        <v>950</v>
      </c>
    </row>
    <row r="2127" spans="1:15" x14ac:dyDescent="0.25">
      <c r="A2127" t="s">
        <v>3188</v>
      </c>
      <c r="B2127" s="2">
        <v>47783</v>
      </c>
      <c r="C2127" t="s">
        <v>252</v>
      </c>
      <c r="D2127" t="s">
        <v>253</v>
      </c>
      <c r="E2127" t="s">
        <v>26</v>
      </c>
      <c r="F2127" t="s">
        <v>27</v>
      </c>
      <c r="G2127" t="s">
        <v>57</v>
      </c>
      <c r="H2127" t="s">
        <v>58</v>
      </c>
      <c r="I2127" t="s">
        <v>59</v>
      </c>
      <c r="J2127">
        <v>5</v>
      </c>
      <c r="K2127">
        <v>5600</v>
      </c>
      <c r="L2127">
        <v>0.15</v>
      </c>
      <c r="M2127">
        <v>23800</v>
      </c>
      <c r="N2127">
        <v>19500</v>
      </c>
      <c r="O2127">
        <v>4300</v>
      </c>
    </row>
    <row r="2128" spans="1:15" x14ac:dyDescent="0.25">
      <c r="A2128" t="s">
        <v>3189</v>
      </c>
      <c r="B2128" s="2">
        <v>47784</v>
      </c>
      <c r="C2128" t="s">
        <v>623</v>
      </c>
      <c r="D2128" t="s">
        <v>624</v>
      </c>
      <c r="E2128" t="s">
        <v>26</v>
      </c>
      <c r="F2128" t="s">
        <v>27</v>
      </c>
      <c r="G2128" t="s">
        <v>20</v>
      </c>
      <c r="H2128" t="s">
        <v>84</v>
      </c>
      <c r="I2128" t="s">
        <v>85</v>
      </c>
      <c r="J2128">
        <v>4</v>
      </c>
      <c r="K2128">
        <v>280</v>
      </c>
      <c r="L2128">
        <v>0.25</v>
      </c>
      <c r="M2128">
        <v>840</v>
      </c>
      <c r="N2128">
        <v>640</v>
      </c>
      <c r="O2128">
        <v>200</v>
      </c>
    </row>
    <row r="2129" spans="1:15" x14ac:dyDescent="0.25">
      <c r="A2129" t="s">
        <v>3190</v>
      </c>
      <c r="B2129" s="2">
        <v>47785</v>
      </c>
      <c r="C2129" t="s">
        <v>2574</v>
      </c>
      <c r="D2129" t="s">
        <v>2575</v>
      </c>
      <c r="E2129" t="s">
        <v>18</v>
      </c>
      <c r="F2129" t="s">
        <v>227</v>
      </c>
      <c r="G2129" t="s">
        <v>20</v>
      </c>
      <c r="H2129" t="s">
        <v>41</v>
      </c>
      <c r="I2129" t="s">
        <v>42</v>
      </c>
      <c r="J2129">
        <v>3</v>
      </c>
      <c r="K2129">
        <v>520</v>
      </c>
      <c r="L2129">
        <v>0.15</v>
      </c>
      <c r="M2129">
        <v>1326</v>
      </c>
      <c r="N2129">
        <v>990</v>
      </c>
      <c r="O2129">
        <v>336</v>
      </c>
    </row>
    <row r="2130" spans="1:15" x14ac:dyDescent="0.25">
      <c r="A2130" t="s">
        <v>3191</v>
      </c>
      <c r="B2130" s="2">
        <v>47786</v>
      </c>
      <c r="C2130" t="s">
        <v>1724</v>
      </c>
      <c r="D2130" t="s">
        <v>1725</v>
      </c>
      <c r="E2130" t="s">
        <v>18</v>
      </c>
      <c r="F2130" t="s">
        <v>94</v>
      </c>
      <c r="G2130" t="s">
        <v>28</v>
      </c>
      <c r="H2130" t="s">
        <v>29</v>
      </c>
      <c r="I2130" t="s">
        <v>30</v>
      </c>
      <c r="J2130">
        <v>3</v>
      </c>
      <c r="K2130">
        <v>1900</v>
      </c>
      <c r="L2130">
        <v>0.05</v>
      </c>
      <c r="M2130">
        <v>5415</v>
      </c>
      <c r="N2130">
        <v>3750</v>
      </c>
      <c r="O2130">
        <v>1665</v>
      </c>
    </row>
    <row r="2131" spans="1:15" x14ac:dyDescent="0.25">
      <c r="A2131" t="s">
        <v>3192</v>
      </c>
      <c r="B2131" s="2">
        <v>47787</v>
      </c>
      <c r="C2131" t="s">
        <v>2247</v>
      </c>
      <c r="D2131" t="s">
        <v>2248</v>
      </c>
      <c r="E2131" t="s">
        <v>26</v>
      </c>
      <c r="F2131" t="s">
        <v>128</v>
      </c>
      <c r="G2131" t="s">
        <v>20</v>
      </c>
      <c r="H2131" t="s">
        <v>84</v>
      </c>
      <c r="I2131" t="s">
        <v>169</v>
      </c>
      <c r="J2131">
        <v>5</v>
      </c>
      <c r="K2131">
        <v>450</v>
      </c>
      <c r="L2131">
        <v>0.15</v>
      </c>
      <c r="M2131">
        <v>1912.5</v>
      </c>
      <c r="N2131">
        <v>1300</v>
      </c>
      <c r="O2131">
        <v>612.5</v>
      </c>
    </row>
    <row r="2132" spans="1:15" x14ac:dyDescent="0.25">
      <c r="A2132" t="s">
        <v>3193</v>
      </c>
      <c r="B2132" s="2">
        <v>47788</v>
      </c>
      <c r="C2132" t="s">
        <v>423</v>
      </c>
      <c r="D2132" t="s">
        <v>424</v>
      </c>
      <c r="E2132" t="s">
        <v>18</v>
      </c>
      <c r="F2132" t="s">
        <v>19</v>
      </c>
      <c r="G2132" t="s">
        <v>57</v>
      </c>
      <c r="H2132" t="s">
        <v>58</v>
      </c>
      <c r="I2132" t="s">
        <v>129</v>
      </c>
      <c r="J2132">
        <v>4</v>
      </c>
      <c r="K2132">
        <v>4800</v>
      </c>
      <c r="L2132">
        <v>0.15</v>
      </c>
      <c r="M2132">
        <v>16320</v>
      </c>
      <c r="N2132">
        <v>13200</v>
      </c>
      <c r="O2132">
        <v>3120</v>
      </c>
    </row>
    <row r="2133" spans="1:15" x14ac:dyDescent="0.25">
      <c r="A2133" t="s">
        <v>3194</v>
      </c>
      <c r="B2133" s="2">
        <v>47789</v>
      </c>
      <c r="C2133" t="s">
        <v>744</v>
      </c>
      <c r="D2133" t="s">
        <v>745</v>
      </c>
      <c r="E2133" t="s">
        <v>18</v>
      </c>
      <c r="F2133" t="s">
        <v>19</v>
      </c>
      <c r="G2133" t="s">
        <v>57</v>
      </c>
      <c r="H2133" t="s">
        <v>58</v>
      </c>
      <c r="I2133" t="s">
        <v>59</v>
      </c>
      <c r="J2133">
        <v>3</v>
      </c>
      <c r="K2133">
        <v>5600</v>
      </c>
      <c r="L2133">
        <v>0.1</v>
      </c>
      <c r="M2133">
        <v>15120</v>
      </c>
      <c r="N2133">
        <v>11700</v>
      </c>
      <c r="O2133">
        <v>3420</v>
      </c>
    </row>
    <row r="2134" spans="1:15" x14ac:dyDescent="0.25">
      <c r="A2134" t="s">
        <v>3195</v>
      </c>
      <c r="B2134" s="2">
        <v>47790</v>
      </c>
      <c r="C2134" t="s">
        <v>427</v>
      </c>
      <c r="D2134" t="s">
        <v>428</v>
      </c>
      <c r="E2134" t="s">
        <v>26</v>
      </c>
      <c r="F2134" t="s">
        <v>204</v>
      </c>
      <c r="G2134" t="s">
        <v>20</v>
      </c>
      <c r="H2134" t="s">
        <v>84</v>
      </c>
      <c r="I2134" t="s">
        <v>210</v>
      </c>
      <c r="J2134">
        <v>2</v>
      </c>
      <c r="K2134">
        <v>300</v>
      </c>
      <c r="L2134">
        <v>0</v>
      </c>
      <c r="M2134">
        <v>600</v>
      </c>
      <c r="N2134">
        <v>340</v>
      </c>
      <c r="O2134">
        <v>260</v>
      </c>
    </row>
    <row r="2135" spans="1:15" x14ac:dyDescent="0.25">
      <c r="A2135" t="s">
        <v>3196</v>
      </c>
      <c r="B2135" s="2">
        <v>47791</v>
      </c>
      <c r="C2135" t="s">
        <v>194</v>
      </c>
      <c r="D2135" t="s">
        <v>195</v>
      </c>
      <c r="E2135" t="s">
        <v>18</v>
      </c>
      <c r="F2135" t="s">
        <v>115</v>
      </c>
      <c r="G2135" t="s">
        <v>51</v>
      </c>
      <c r="H2135" t="s">
        <v>89</v>
      </c>
      <c r="I2135" t="s">
        <v>90</v>
      </c>
      <c r="J2135">
        <v>5</v>
      </c>
      <c r="K2135">
        <v>10500</v>
      </c>
      <c r="L2135">
        <v>0</v>
      </c>
      <c r="M2135">
        <v>52500</v>
      </c>
      <c r="N2135">
        <v>38000</v>
      </c>
      <c r="O2135">
        <v>14500</v>
      </c>
    </row>
    <row r="2136" spans="1:15" x14ac:dyDescent="0.25">
      <c r="A2136" t="s">
        <v>3197</v>
      </c>
      <c r="B2136" s="2">
        <v>47792</v>
      </c>
      <c r="C2136" t="s">
        <v>1079</v>
      </c>
      <c r="D2136" t="s">
        <v>1080</v>
      </c>
      <c r="E2136" t="s">
        <v>26</v>
      </c>
      <c r="F2136" t="s">
        <v>34</v>
      </c>
      <c r="G2136" t="s">
        <v>20</v>
      </c>
      <c r="H2136" t="s">
        <v>41</v>
      </c>
      <c r="I2136" t="s">
        <v>42</v>
      </c>
      <c r="J2136">
        <v>3</v>
      </c>
      <c r="K2136">
        <v>520</v>
      </c>
      <c r="L2136">
        <v>0.1</v>
      </c>
      <c r="M2136">
        <v>1404</v>
      </c>
      <c r="N2136">
        <v>990</v>
      </c>
      <c r="O2136">
        <v>414</v>
      </c>
    </row>
    <row r="2137" spans="1:15" x14ac:dyDescent="0.25">
      <c r="A2137" t="s">
        <v>3198</v>
      </c>
      <c r="B2137" s="2">
        <v>47793</v>
      </c>
      <c r="C2137" t="s">
        <v>1299</v>
      </c>
      <c r="D2137" t="s">
        <v>1300</v>
      </c>
      <c r="E2137" t="s">
        <v>96</v>
      </c>
      <c r="F2137" t="s">
        <v>196</v>
      </c>
      <c r="G2137" t="s">
        <v>51</v>
      </c>
      <c r="H2137" t="s">
        <v>21</v>
      </c>
      <c r="I2137" t="s">
        <v>80</v>
      </c>
      <c r="J2137">
        <v>1</v>
      </c>
      <c r="K2137">
        <v>850</v>
      </c>
      <c r="L2137">
        <v>0.05</v>
      </c>
      <c r="M2137">
        <v>807.5</v>
      </c>
      <c r="N2137">
        <v>560</v>
      </c>
      <c r="O2137">
        <v>247.5</v>
      </c>
    </row>
    <row r="2138" spans="1:15" x14ac:dyDescent="0.25">
      <c r="A2138" t="s">
        <v>3199</v>
      </c>
      <c r="B2138" s="2">
        <v>47794</v>
      </c>
      <c r="C2138" t="s">
        <v>865</v>
      </c>
      <c r="D2138" t="s">
        <v>866</v>
      </c>
      <c r="E2138" t="s">
        <v>26</v>
      </c>
      <c r="F2138" t="s">
        <v>128</v>
      </c>
      <c r="G2138" t="s">
        <v>57</v>
      </c>
      <c r="H2138" t="s">
        <v>58</v>
      </c>
      <c r="I2138" t="s">
        <v>59</v>
      </c>
      <c r="J2138">
        <v>1</v>
      </c>
      <c r="K2138">
        <v>5600</v>
      </c>
      <c r="L2138">
        <v>0.15</v>
      </c>
      <c r="M2138">
        <v>4760</v>
      </c>
      <c r="N2138">
        <v>3900</v>
      </c>
      <c r="O2138">
        <v>860</v>
      </c>
    </row>
    <row r="2139" spans="1:15" x14ac:dyDescent="0.25">
      <c r="A2139" t="s">
        <v>3200</v>
      </c>
      <c r="B2139" s="2">
        <v>47795</v>
      </c>
      <c r="C2139" t="s">
        <v>2084</v>
      </c>
      <c r="D2139" t="s">
        <v>2085</v>
      </c>
      <c r="E2139" t="s">
        <v>26</v>
      </c>
      <c r="F2139" t="s">
        <v>128</v>
      </c>
      <c r="G2139" t="s">
        <v>20</v>
      </c>
      <c r="H2139" t="s">
        <v>84</v>
      </c>
      <c r="I2139" t="s">
        <v>85</v>
      </c>
      <c r="J2139">
        <v>1</v>
      </c>
      <c r="K2139">
        <v>280</v>
      </c>
      <c r="L2139">
        <v>0.15</v>
      </c>
      <c r="M2139">
        <v>238</v>
      </c>
      <c r="N2139">
        <v>160</v>
      </c>
      <c r="O2139">
        <v>78</v>
      </c>
    </row>
    <row r="2140" spans="1:15" x14ac:dyDescent="0.25">
      <c r="A2140" t="s">
        <v>3201</v>
      </c>
      <c r="B2140" s="2">
        <v>47796</v>
      </c>
      <c r="C2140" t="s">
        <v>1745</v>
      </c>
      <c r="D2140" t="s">
        <v>1746</v>
      </c>
      <c r="E2140" t="s">
        <v>26</v>
      </c>
      <c r="F2140" t="s">
        <v>27</v>
      </c>
      <c r="G2140" t="s">
        <v>57</v>
      </c>
      <c r="H2140" t="s">
        <v>58</v>
      </c>
      <c r="I2140" t="s">
        <v>129</v>
      </c>
      <c r="J2140">
        <v>1</v>
      </c>
      <c r="K2140">
        <v>4800</v>
      </c>
      <c r="L2140">
        <v>0</v>
      </c>
      <c r="M2140">
        <v>4800</v>
      </c>
      <c r="N2140">
        <v>3300</v>
      </c>
      <c r="O2140">
        <v>1500</v>
      </c>
    </row>
    <row r="2141" spans="1:15" x14ac:dyDescent="0.25">
      <c r="A2141" t="s">
        <v>3202</v>
      </c>
      <c r="B2141" s="2">
        <v>47797</v>
      </c>
      <c r="C2141" t="s">
        <v>294</v>
      </c>
      <c r="D2141" t="s">
        <v>295</v>
      </c>
      <c r="E2141" t="s">
        <v>96</v>
      </c>
      <c r="F2141" t="s">
        <v>196</v>
      </c>
      <c r="G2141" t="s">
        <v>20</v>
      </c>
      <c r="H2141" t="s">
        <v>41</v>
      </c>
      <c r="I2141" t="s">
        <v>42</v>
      </c>
      <c r="J2141">
        <v>2</v>
      </c>
      <c r="K2141">
        <v>520</v>
      </c>
      <c r="L2141">
        <v>0.25</v>
      </c>
      <c r="M2141">
        <v>780</v>
      </c>
      <c r="N2141">
        <v>660</v>
      </c>
      <c r="O2141">
        <v>120</v>
      </c>
    </row>
    <row r="2142" spans="1:15" x14ac:dyDescent="0.25">
      <c r="A2142" t="s">
        <v>3203</v>
      </c>
      <c r="B2142" s="2">
        <v>47798</v>
      </c>
      <c r="C2142" t="s">
        <v>1130</v>
      </c>
      <c r="D2142" t="s">
        <v>1131</v>
      </c>
      <c r="E2142" t="s">
        <v>26</v>
      </c>
      <c r="F2142" t="s">
        <v>204</v>
      </c>
      <c r="G2142" t="s">
        <v>20</v>
      </c>
      <c r="H2142" t="s">
        <v>84</v>
      </c>
      <c r="I2142" t="s">
        <v>210</v>
      </c>
      <c r="J2142">
        <v>5</v>
      </c>
      <c r="K2142">
        <v>300</v>
      </c>
      <c r="L2142">
        <v>0.15</v>
      </c>
      <c r="M2142">
        <v>1275</v>
      </c>
      <c r="N2142">
        <v>850</v>
      </c>
      <c r="O2142">
        <v>425</v>
      </c>
    </row>
    <row r="2143" spans="1:15" x14ac:dyDescent="0.25">
      <c r="A2143" t="s">
        <v>3204</v>
      </c>
      <c r="B2143" s="2">
        <v>47799</v>
      </c>
      <c r="C2143" t="s">
        <v>1186</v>
      </c>
      <c r="D2143" t="s">
        <v>1187</v>
      </c>
      <c r="E2143" t="s">
        <v>39</v>
      </c>
      <c r="F2143" t="s">
        <v>71</v>
      </c>
      <c r="G2143" t="s">
        <v>51</v>
      </c>
      <c r="H2143" t="s">
        <v>21</v>
      </c>
      <c r="I2143" t="s">
        <v>80</v>
      </c>
      <c r="J2143">
        <v>4</v>
      </c>
      <c r="K2143">
        <v>850</v>
      </c>
      <c r="L2143">
        <v>0.15</v>
      </c>
      <c r="M2143">
        <v>2890</v>
      </c>
      <c r="N2143">
        <v>2240</v>
      </c>
      <c r="O2143">
        <v>650</v>
      </c>
    </row>
    <row r="2144" spans="1:15" x14ac:dyDescent="0.25">
      <c r="A2144" t="s">
        <v>3205</v>
      </c>
      <c r="B2144" s="2">
        <v>47800</v>
      </c>
      <c r="C2144" t="s">
        <v>986</v>
      </c>
      <c r="D2144" t="s">
        <v>987</v>
      </c>
      <c r="E2144" t="s">
        <v>96</v>
      </c>
      <c r="F2144" t="s">
        <v>120</v>
      </c>
      <c r="G2144" t="s">
        <v>57</v>
      </c>
      <c r="H2144" t="s">
        <v>188</v>
      </c>
      <c r="I2144" t="s">
        <v>189</v>
      </c>
      <c r="J2144">
        <v>1</v>
      </c>
      <c r="K2144">
        <v>6200</v>
      </c>
      <c r="L2144">
        <v>0</v>
      </c>
      <c r="M2144">
        <v>6200</v>
      </c>
      <c r="N2144">
        <v>4300</v>
      </c>
      <c r="O2144">
        <v>1900</v>
      </c>
    </row>
    <row r="2145" spans="1:15" x14ac:dyDescent="0.25">
      <c r="A2145" t="s">
        <v>3206</v>
      </c>
      <c r="B2145" s="2">
        <v>47801</v>
      </c>
      <c r="C2145" t="s">
        <v>633</v>
      </c>
      <c r="D2145" t="s">
        <v>634</v>
      </c>
      <c r="E2145" t="s">
        <v>26</v>
      </c>
      <c r="F2145" t="s">
        <v>204</v>
      </c>
      <c r="G2145" t="s">
        <v>51</v>
      </c>
      <c r="H2145" t="s">
        <v>52</v>
      </c>
      <c r="I2145" t="s">
        <v>208</v>
      </c>
      <c r="J2145">
        <v>1</v>
      </c>
      <c r="K2145">
        <v>2800</v>
      </c>
      <c r="L2145">
        <v>0.15</v>
      </c>
      <c r="M2145">
        <v>2380</v>
      </c>
      <c r="N2145">
        <v>1800</v>
      </c>
      <c r="O2145">
        <v>580</v>
      </c>
    </row>
    <row r="2146" spans="1:15" x14ac:dyDescent="0.25">
      <c r="A2146" t="s">
        <v>3207</v>
      </c>
      <c r="B2146" s="2">
        <v>47802</v>
      </c>
      <c r="C2146" t="s">
        <v>637</v>
      </c>
      <c r="D2146" t="s">
        <v>638</v>
      </c>
      <c r="E2146" t="s">
        <v>96</v>
      </c>
      <c r="F2146" t="s">
        <v>120</v>
      </c>
      <c r="G2146" t="s">
        <v>51</v>
      </c>
      <c r="H2146" t="s">
        <v>52</v>
      </c>
      <c r="I2146" t="s">
        <v>208</v>
      </c>
      <c r="J2146">
        <v>1</v>
      </c>
      <c r="K2146">
        <v>2800</v>
      </c>
      <c r="L2146">
        <v>0.15</v>
      </c>
      <c r="M2146">
        <v>2380</v>
      </c>
      <c r="N2146">
        <v>1800</v>
      </c>
      <c r="O2146">
        <v>580</v>
      </c>
    </row>
    <row r="2147" spans="1:15" x14ac:dyDescent="0.25">
      <c r="A2147" t="s">
        <v>3208</v>
      </c>
      <c r="B2147" s="2">
        <v>47803</v>
      </c>
      <c r="C2147" t="s">
        <v>405</v>
      </c>
      <c r="D2147" t="s">
        <v>406</v>
      </c>
      <c r="E2147" t="s">
        <v>26</v>
      </c>
      <c r="F2147" t="s">
        <v>204</v>
      </c>
      <c r="G2147" t="s">
        <v>51</v>
      </c>
      <c r="H2147" t="s">
        <v>21</v>
      </c>
      <c r="I2147" t="s">
        <v>116</v>
      </c>
      <c r="J2147">
        <v>2</v>
      </c>
      <c r="K2147">
        <v>1400</v>
      </c>
      <c r="L2147">
        <v>0.05</v>
      </c>
      <c r="M2147">
        <v>2660</v>
      </c>
      <c r="N2147">
        <v>1800</v>
      </c>
      <c r="O2147">
        <v>860</v>
      </c>
    </row>
    <row r="2148" spans="1:15" x14ac:dyDescent="0.25">
      <c r="A2148" t="s">
        <v>3209</v>
      </c>
      <c r="B2148" s="2">
        <v>47804</v>
      </c>
      <c r="C2148" t="s">
        <v>427</v>
      </c>
      <c r="D2148" t="s">
        <v>428</v>
      </c>
      <c r="E2148" t="s">
        <v>26</v>
      </c>
      <c r="F2148" t="s">
        <v>204</v>
      </c>
      <c r="G2148" t="s">
        <v>20</v>
      </c>
      <c r="H2148" t="s">
        <v>21</v>
      </c>
      <c r="I2148" t="s">
        <v>22</v>
      </c>
      <c r="J2148">
        <v>5</v>
      </c>
      <c r="K2148">
        <v>650</v>
      </c>
      <c r="L2148">
        <v>0.1</v>
      </c>
      <c r="M2148">
        <v>2925</v>
      </c>
      <c r="N2148">
        <v>1950</v>
      </c>
      <c r="O2148">
        <v>975</v>
      </c>
    </row>
    <row r="2149" spans="1:15" x14ac:dyDescent="0.25">
      <c r="A2149" t="s">
        <v>3210</v>
      </c>
      <c r="B2149" s="2">
        <v>47805</v>
      </c>
      <c r="C2149" t="s">
        <v>459</v>
      </c>
      <c r="D2149" t="s">
        <v>460</v>
      </c>
      <c r="E2149" t="s">
        <v>18</v>
      </c>
      <c r="F2149" t="s">
        <v>227</v>
      </c>
      <c r="G2149" t="s">
        <v>20</v>
      </c>
      <c r="H2149" t="s">
        <v>84</v>
      </c>
      <c r="I2149" t="s">
        <v>210</v>
      </c>
      <c r="J2149">
        <v>2</v>
      </c>
      <c r="K2149">
        <v>300</v>
      </c>
      <c r="L2149">
        <v>0.15</v>
      </c>
      <c r="M2149">
        <v>510</v>
      </c>
      <c r="N2149">
        <v>340</v>
      </c>
      <c r="O2149">
        <v>170</v>
      </c>
    </row>
    <row r="2150" spans="1:15" x14ac:dyDescent="0.25">
      <c r="A2150" t="s">
        <v>3211</v>
      </c>
      <c r="B2150" s="2">
        <v>47806</v>
      </c>
      <c r="C2150" t="s">
        <v>174</v>
      </c>
      <c r="D2150" t="s">
        <v>175</v>
      </c>
      <c r="E2150" t="s">
        <v>26</v>
      </c>
      <c r="F2150" t="s">
        <v>204</v>
      </c>
      <c r="G2150" t="s">
        <v>51</v>
      </c>
      <c r="H2150" t="s">
        <v>21</v>
      </c>
      <c r="I2150" t="s">
        <v>116</v>
      </c>
      <c r="J2150">
        <v>1</v>
      </c>
      <c r="K2150">
        <v>1400</v>
      </c>
      <c r="L2150">
        <v>0</v>
      </c>
      <c r="M2150">
        <v>1400</v>
      </c>
      <c r="N2150">
        <v>900</v>
      </c>
      <c r="O2150">
        <v>500</v>
      </c>
    </row>
    <row r="2151" spans="1:15" x14ac:dyDescent="0.25">
      <c r="A2151" t="s">
        <v>3212</v>
      </c>
      <c r="B2151" s="2">
        <v>47807</v>
      </c>
      <c r="C2151" t="s">
        <v>750</v>
      </c>
      <c r="D2151" t="s">
        <v>751</v>
      </c>
      <c r="E2151" t="s">
        <v>96</v>
      </c>
      <c r="F2151" t="s">
        <v>196</v>
      </c>
      <c r="G2151" t="s">
        <v>51</v>
      </c>
      <c r="H2151" t="s">
        <v>89</v>
      </c>
      <c r="I2151" t="s">
        <v>90</v>
      </c>
      <c r="J2151">
        <v>5</v>
      </c>
      <c r="K2151">
        <v>10500</v>
      </c>
      <c r="L2151">
        <v>0</v>
      </c>
      <c r="M2151">
        <v>52500</v>
      </c>
      <c r="N2151">
        <v>38000</v>
      </c>
      <c r="O2151">
        <v>14500</v>
      </c>
    </row>
    <row r="2152" spans="1:15" x14ac:dyDescent="0.25">
      <c r="A2152" t="s">
        <v>3213</v>
      </c>
      <c r="B2152" s="2">
        <v>47808</v>
      </c>
      <c r="C2152" t="s">
        <v>787</v>
      </c>
      <c r="D2152" t="s">
        <v>788</v>
      </c>
      <c r="E2152" t="s">
        <v>26</v>
      </c>
      <c r="F2152" t="s">
        <v>46</v>
      </c>
      <c r="G2152" t="s">
        <v>51</v>
      </c>
      <c r="H2152" t="s">
        <v>21</v>
      </c>
      <c r="I2152" t="s">
        <v>72</v>
      </c>
      <c r="J2152">
        <v>5</v>
      </c>
      <c r="K2152">
        <v>1800</v>
      </c>
      <c r="L2152">
        <v>0.05</v>
      </c>
      <c r="M2152">
        <v>8550</v>
      </c>
      <c r="N2152">
        <v>5500</v>
      </c>
      <c r="O2152">
        <v>3050</v>
      </c>
    </row>
    <row r="2153" spans="1:15" x14ac:dyDescent="0.25">
      <c r="A2153" t="s">
        <v>3214</v>
      </c>
      <c r="B2153" s="2">
        <v>47809</v>
      </c>
      <c r="C2153" t="s">
        <v>778</v>
      </c>
      <c r="D2153" t="s">
        <v>779</v>
      </c>
      <c r="E2153" t="s">
        <v>39</v>
      </c>
      <c r="F2153" t="s">
        <v>124</v>
      </c>
      <c r="G2153" t="s">
        <v>28</v>
      </c>
      <c r="H2153" t="s">
        <v>29</v>
      </c>
      <c r="I2153" t="s">
        <v>30</v>
      </c>
      <c r="J2153">
        <v>2</v>
      </c>
      <c r="K2153">
        <v>1900</v>
      </c>
      <c r="L2153">
        <v>0.05</v>
      </c>
      <c r="M2153">
        <v>3610</v>
      </c>
      <c r="N2153">
        <v>2500</v>
      </c>
      <c r="O2153">
        <v>1110</v>
      </c>
    </row>
    <row r="2154" spans="1:15" x14ac:dyDescent="0.25">
      <c r="A2154" t="s">
        <v>3215</v>
      </c>
      <c r="B2154" s="2">
        <v>47810</v>
      </c>
      <c r="C2154" t="s">
        <v>78</v>
      </c>
      <c r="D2154" t="s">
        <v>79</v>
      </c>
      <c r="E2154" t="s">
        <v>39</v>
      </c>
      <c r="F2154" t="s">
        <v>124</v>
      </c>
      <c r="G2154" t="s">
        <v>20</v>
      </c>
      <c r="H2154" t="s">
        <v>84</v>
      </c>
      <c r="I2154" t="s">
        <v>210</v>
      </c>
      <c r="J2154">
        <v>3</v>
      </c>
      <c r="K2154">
        <v>300</v>
      </c>
      <c r="L2154">
        <v>0.2</v>
      </c>
      <c r="M2154">
        <v>720</v>
      </c>
      <c r="N2154">
        <v>510</v>
      </c>
      <c r="O2154">
        <v>210</v>
      </c>
    </row>
    <row r="2155" spans="1:15" x14ac:dyDescent="0.25">
      <c r="A2155" t="s">
        <v>3216</v>
      </c>
      <c r="B2155" s="2">
        <v>47811</v>
      </c>
      <c r="C2155" t="s">
        <v>366</v>
      </c>
      <c r="D2155" t="s">
        <v>367</v>
      </c>
      <c r="E2155" t="s">
        <v>96</v>
      </c>
      <c r="F2155" t="s">
        <v>196</v>
      </c>
      <c r="G2155" t="s">
        <v>57</v>
      </c>
      <c r="H2155" t="s">
        <v>58</v>
      </c>
      <c r="I2155" t="s">
        <v>129</v>
      </c>
      <c r="J2155">
        <v>3</v>
      </c>
      <c r="K2155">
        <v>4800</v>
      </c>
      <c r="L2155">
        <v>0.15</v>
      </c>
      <c r="M2155">
        <v>12240</v>
      </c>
      <c r="N2155">
        <v>9900</v>
      </c>
      <c r="O2155">
        <v>2340</v>
      </c>
    </row>
    <row r="2156" spans="1:15" x14ac:dyDescent="0.25">
      <c r="A2156" t="s">
        <v>3217</v>
      </c>
      <c r="B2156" s="2">
        <v>47812</v>
      </c>
      <c r="C2156" t="s">
        <v>3218</v>
      </c>
      <c r="D2156" t="s">
        <v>3219</v>
      </c>
      <c r="E2156" t="s">
        <v>39</v>
      </c>
      <c r="F2156" t="s">
        <v>124</v>
      </c>
      <c r="G2156" t="s">
        <v>57</v>
      </c>
      <c r="H2156" t="s">
        <v>58</v>
      </c>
      <c r="I2156" t="s">
        <v>59</v>
      </c>
      <c r="J2156">
        <v>1</v>
      </c>
      <c r="K2156">
        <v>5600</v>
      </c>
      <c r="L2156">
        <v>0.15</v>
      </c>
      <c r="M2156">
        <v>4760</v>
      </c>
      <c r="N2156">
        <v>3900</v>
      </c>
      <c r="O2156">
        <v>860</v>
      </c>
    </row>
    <row r="2157" spans="1:15" x14ac:dyDescent="0.25">
      <c r="A2157" t="s">
        <v>3220</v>
      </c>
      <c r="B2157" s="2">
        <v>47813</v>
      </c>
      <c r="C2157" t="s">
        <v>915</v>
      </c>
      <c r="D2157" t="s">
        <v>916</v>
      </c>
      <c r="E2157" t="s">
        <v>96</v>
      </c>
      <c r="F2157" t="s">
        <v>196</v>
      </c>
      <c r="G2157" t="s">
        <v>20</v>
      </c>
      <c r="H2157" t="s">
        <v>84</v>
      </c>
      <c r="I2157" t="s">
        <v>210</v>
      </c>
      <c r="J2157">
        <v>3</v>
      </c>
      <c r="K2157">
        <v>300</v>
      </c>
      <c r="L2157">
        <v>0.1</v>
      </c>
      <c r="M2157">
        <v>810</v>
      </c>
      <c r="N2157">
        <v>510</v>
      </c>
      <c r="O2157">
        <v>300</v>
      </c>
    </row>
    <row r="2158" spans="1:15" x14ac:dyDescent="0.25">
      <c r="A2158" t="s">
        <v>3221</v>
      </c>
      <c r="B2158" s="2">
        <v>47814</v>
      </c>
      <c r="C2158" t="s">
        <v>381</v>
      </c>
      <c r="D2158" t="s">
        <v>382</v>
      </c>
      <c r="E2158" t="s">
        <v>18</v>
      </c>
      <c r="F2158" t="s">
        <v>19</v>
      </c>
      <c r="G2158" t="s">
        <v>20</v>
      </c>
      <c r="H2158" t="s">
        <v>41</v>
      </c>
      <c r="I2158" t="s">
        <v>42</v>
      </c>
      <c r="J2158">
        <v>3</v>
      </c>
      <c r="K2158">
        <v>520</v>
      </c>
      <c r="L2158">
        <v>0.2</v>
      </c>
      <c r="M2158">
        <v>1248</v>
      </c>
      <c r="N2158">
        <v>990</v>
      </c>
      <c r="O2158">
        <v>258</v>
      </c>
    </row>
    <row r="2159" spans="1:15" x14ac:dyDescent="0.25">
      <c r="A2159" t="s">
        <v>3222</v>
      </c>
      <c r="B2159" s="2">
        <v>47815</v>
      </c>
      <c r="C2159" t="s">
        <v>1207</v>
      </c>
      <c r="D2159" t="s">
        <v>1208</v>
      </c>
      <c r="E2159" t="s">
        <v>26</v>
      </c>
      <c r="F2159" t="s">
        <v>46</v>
      </c>
      <c r="G2159" t="s">
        <v>28</v>
      </c>
      <c r="H2159" t="s">
        <v>63</v>
      </c>
      <c r="I2159" t="s">
        <v>64</v>
      </c>
      <c r="J2159">
        <v>1</v>
      </c>
      <c r="K2159">
        <v>2400</v>
      </c>
      <c r="L2159">
        <v>0.15</v>
      </c>
      <c r="M2159">
        <v>2040</v>
      </c>
      <c r="N2159">
        <v>1650</v>
      </c>
      <c r="O2159">
        <v>390</v>
      </c>
    </row>
    <row r="2160" spans="1:15" x14ac:dyDescent="0.25">
      <c r="A2160" t="s">
        <v>3223</v>
      </c>
      <c r="B2160" s="2">
        <v>47816</v>
      </c>
      <c r="C2160" t="s">
        <v>2230</v>
      </c>
      <c r="D2160" t="s">
        <v>2231</v>
      </c>
      <c r="E2160" t="s">
        <v>26</v>
      </c>
      <c r="F2160" t="s">
        <v>27</v>
      </c>
      <c r="G2160" t="s">
        <v>28</v>
      </c>
      <c r="H2160" t="s">
        <v>29</v>
      </c>
      <c r="I2160" t="s">
        <v>35</v>
      </c>
      <c r="J2160">
        <v>1</v>
      </c>
      <c r="K2160">
        <v>4200</v>
      </c>
      <c r="L2160">
        <v>0.2</v>
      </c>
      <c r="M2160">
        <v>3360</v>
      </c>
      <c r="N2160">
        <v>2900</v>
      </c>
      <c r="O2160">
        <v>460</v>
      </c>
    </row>
    <row r="2161" spans="1:15" x14ac:dyDescent="0.25">
      <c r="A2161" t="s">
        <v>3224</v>
      </c>
      <c r="B2161" s="2">
        <v>47817</v>
      </c>
      <c r="C2161" t="s">
        <v>2136</v>
      </c>
      <c r="D2161" t="s">
        <v>2137</v>
      </c>
      <c r="E2161" t="s">
        <v>26</v>
      </c>
      <c r="F2161" t="s">
        <v>128</v>
      </c>
      <c r="G2161" t="s">
        <v>20</v>
      </c>
      <c r="H2161" t="s">
        <v>84</v>
      </c>
      <c r="I2161" t="s">
        <v>85</v>
      </c>
      <c r="J2161">
        <v>5</v>
      </c>
      <c r="K2161">
        <v>280</v>
      </c>
      <c r="L2161">
        <v>0.05</v>
      </c>
      <c r="M2161">
        <v>1330</v>
      </c>
      <c r="N2161">
        <v>800</v>
      </c>
      <c r="O2161">
        <v>530</v>
      </c>
    </row>
    <row r="2162" spans="1:15" x14ac:dyDescent="0.25">
      <c r="A2162" t="s">
        <v>3225</v>
      </c>
      <c r="B2162" s="2">
        <v>47818</v>
      </c>
      <c r="C2162" t="s">
        <v>481</v>
      </c>
      <c r="D2162" t="s">
        <v>482</v>
      </c>
      <c r="E2162" t="s">
        <v>39</v>
      </c>
      <c r="F2162" t="s">
        <v>124</v>
      </c>
      <c r="G2162" t="s">
        <v>28</v>
      </c>
      <c r="H2162" t="s">
        <v>63</v>
      </c>
      <c r="I2162" t="s">
        <v>64</v>
      </c>
      <c r="J2162">
        <v>5</v>
      </c>
      <c r="K2162">
        <v>2400</v>
      </c>
      <c r="L2162">
        <v>0.1</v>
      </c>
      <c r="M2162">
        <v>10800</v>
      </c>
      <c r="N2162">
        <v>8250</v>
      </c>
      <c r="O2162">
        <v>2550</v>
      </c>
    </row>
    <row r="2163" spans="1:15" x14ac:dyDescent="0.25">
      <c r="A2163" t="s">
        <v>3226</v>
      </c>
      <c r="B2163" s="2">
        <v>47819</v>
      </c>
      <c r="C2163" t="s">
        <v>1368</v>
      </c>
      <c r="D2163" t="s">
        <v>1369</v>
      </c>
      <c r="E2163" t="s">
        <v>96</v>
      </c>
      <c r="F2163" t="s">
        <v>120</v>
      </c>
      <c r="G2163" t="s">
        <v>51</v>
      </c>
      <c r="H2163" t="s">
        <v>21</v>
      </c>
      <c r="I2163" t="s">
        <v>80</v>
      </c>
      <c r="J2163">
        <v>2</v>
      </c>
      <c r="K2163">
        <v>850</v>
      </c>
      <c r="L2163">
        <v>0.05</v>
      </c>
      <c r="M2163">
        <v>1615</v>
      </c>
      <c r="N2163">
        <v>1120</v>
      </c>
      <c r="O2163">
        <v>495</v>
      </c>
    </row>
    <row r="2164" spans="1:15" x14ac:dyDescent="0.25">
      <c r="A2164" t="s">
        <v>3227</v>
      </c>
      <c r="B2164" s="2">
        <v>47820</v>
      </c>
      <c r="C2164" t="s">
        <v>986</v>
      </c>
      <c r="D2164" t="s">
        <v>987</v>
      </c>
      <c r="E2164" t="s">
        <v>39</v>
      </c>
      <c r="F2164" t="s">
        <v>124</v>
      </c>
      <c r="G2164" t="s">
        <v>28</v>
      </c>
      <c r="H2164" t="s">
        <v>29</v>
      </c>
      <c r="I2164" t="s">
        <v>47</v>
      </c>
      <c r="J2164">
        <v>1</v>
      </c>
      <c r="K2164">
        <v>6800</v>
      </c>
      <c r="L2164">
        <v>0.1</v>
      </c>
      <c r="M2164">
        <v>6120</v>
      </c>
      <c r="N2164">
        <v>4700</v>
      </c>
      <c r="O2164">
        <v>1420</v>
      </c>
    </row>
    <row r="2165" spans="1:15" x14ac:dyDescent="0.25">
      <c r="A2165" t="s">
        <v>3228</v>
      </c>
      <c r="B2165" s="2">
        <v>47821</v>
      </c>
      <c r="C2165" t="s">
        <v>291</v>
      </c>
      <c r="D2165" t="s">
        <v>292</v>
      </c>
      <c r="E2165" t="s">
        <v>18</v>
      </c>
      <c r="F2165" t="s">
        <v>19</v>
      </c>
      <c r="G2165" t="s">
        <v>20</v>
      </c>
      <c r="H2165" t="s">
        <v>84</v>
      </c>
      <c r="I2165" t="s">
        <v>85</v>
      </c>
      <c r="J2165">
        <v>4</v>
      </c>
      <c r="K2165">
        <v>280</v>
      </c>
      <c r="L2165">
        <v>0.15</v>
      </c>
      <c r="M2165">
        <v>952</v>
      </c>
      <c r="N2165">
        <v>640</v>
      </c>
      <c r="O2165">
        <v>312</v>
      </c>
    </row>
    <row r="2166" spans="1:15" x14ac:dyDescent="0.25">
      <c r="A2166" t="s">
        <v>3229</v>
      </c>
      <c r="B2166" s="2">
        <v>47822</v>
      </c>
      <c r="C2166" t="s">
        <v>593</v>
      </c>
      <c r="D2166" t="s">
        <v>594</v>
      </c>
      <c r="E2166" t="s">
        <v>18</v>
      </c>
      <c r="F2166" t="s">
        <v>115</v>
      </c>
      <c r="G2166" t="s">
        <v>57</v>
      </c>
      <c r="H2166" t="s">
        <v>188</v>
      </c>
      <c r="I2166" t="s">
        <v>189</v>
      </c>
      <c r="J2166">
        <v>2</v>
      </c>
      <c r="K2166">
        <v>6200</v>
      </c>
      <c r="L2166">
        <v>0.1</v>
      </c>
      <c r="M2166">
        <v>11160</v>
      </c>
      <c r="N2166">
        <v>8600</v>
      </c>
      <c r="O2166">
        <v>2560</v>
      </c>
    </row>
    <row r="2167" spans="1:15" x14ac:dyDescent="0.25">
      <c r="A2167" t="s">
        <v>3230</v>
      </c>
      <c r="B2167" s="2">
        <v>47823</v>
      </c>
      <c r="C2167" t="s">
        <v>627</v>
      </c>
      <c r="D2167" t="s">
        <v>628</v>
      </c>
      <c r="E2167" t="s">
        <v>18</v>
      </c>
      <c r="F2167" t="s">
        <v>19</v>
      </c>
      <c r="G2167" t="s">
        <v>57</v>
      </c>
      <c r="H2167" t="s">
        <v>104</v>
      </c>
      <c r="I2167" t="s">
        <v>105</v>
      </c>
      <c r="J2167">
        <v>3</v>
      </c>
      <c r="K2167">
        <v>7500</v>
      </c>
      <c r="L2167">
        <v>0.1</v>
      </c>
      <c r="M2167">
        <v>20250</v>
      </c>
      <c r="N2167">
        <v>15600</v>
      </c>
      <c r="O2167">
        <v>4650</v>
      </c>
    </row>
    <row r="2168" spans="1:15" x14ac:dyDescent="0.25">
      <c r="A2168" t="s">
        <v>3231</v>
      </c>
      <c r="B2168" s="2">
        <v>47824</v>
      </c>
      <c r="C2168" t="s">
        <v>1031</v>
      </c>
      <c r="D2168" t="s">
        <v>1032</v>
      </c>
      <c r="E2168" t="s">
        <v>18</v>
      </c>
      <c r="F2168" t="s">
        <v>115</v>
      </c>
      <c r="G2168" t="s">
        <v>57</v>
      </c>
      <c r="H2168" t="s">
        <v>58</v>
      </c>
      <c r="I2168" t="s">
        <v>59</v>
      </c>
      <c r="J2168">
        <v>5</v>
      </c>
      <c r="K2168">
        <v>5600</v>
      </c>
      <c r="L2168">
        <v>0.05</v>
      </c>
      <c r="M2168">
        <v>26600</v>
      </c>
      <c r="N2168">
        <v>19500</v>
      </c>
      <c r="O2168">
        <v>7100</v>
      </c>
    </row>
    <row r="2169" spans="1:15" x14ac:dyDescent="0.25">
      <c r="A2169" t="s">
        <v>3232</v>
      </c>
      <c r="B2169" s="2">
        <v>47825</v>
      </c>
      <c r="C2169" t="s">
        <v>2173</v>
      </c>
      <c r="D2169" t="s">
        <v>2174</v>
      </c>
      <c r="E2169" t="s">
        <v>26</v>
      </c>
      <c r="F2169" t="s">
        <v>128</v>
      </c>
      <c r="G2169" t="s">
        <v>28</v>
      </c>
      <c r="H2169" t="s">
        <v>29</v>
      </c>
      <c r="I2169" t="s">
        <v>47</v>
      </c>
      <c r="J2169">
        <v>5</v>
      </c>
      <c r="K2169">
        <v>6800</v>
      </c>
      <c r="L2169">
        <v>0.1</v>
      </c>
      <c r="M2169">
        <v>30600</v>
      </c>
      <c r="N2169">
        <v>23500</v>
      </c>
      <c r="O2169">
        <v>7100</v>
      </c>
    </row>
    <row r="2170" spans="1:15" x14ac:dyDescent="0.25">
      <c r="A2170" t="s">
        <v>3233</v>
      </c>
      <c r="B2170" s="2">
        <v>47826</v>
      </c>
      <c r="C2170" t="s">
        <v>1375</v>
      </c>
      <c r="D2170" t="s">
        <v>1376</v>
      </c>
      <c r="E2170" t="s">
        <v>26</v>
      </c>
      <c r="F2170" t="s">
        <v>128</v>
      </c>
      <c r="G2170" t="s">
        <v>20</v>
      </c>
      <c r="H2170" t="s">
        <v>84</v>
      </c>
      <c r="I2170" t="s">
        <v>210</v>
      </c>
      <c r="J2170">
        <v>2</v>
      </c>
      <c r="K2170">
        <v>300</v>
      </c>
      <c r="L2170">
        <v>0.2</v>
      </c>
      <c r="M2170">
        <v>480</v>
      </c>
      <c r="N2170">
        <v>340</v>
      </c>
      <c r="O2170">
        <v>140</v>
      </c>
    </row>
    <row r="2171" spans="1:15" x14ac:dyDescent="0.25">
      <c r="A2171" t="s">
        <v>3234</v>
      </c>
      <c r="B2171" s="2">
        <v>47827</v>
      </c>
      <c r="C2171" t="s">
        <v>439</v>
      </c>
      <c r="D2171" t="s">
        <v>440</v>
      </c>
      <c r="E2171" t="s">
        <v>96</v>
      </c>
      <c r="F2171" t="s">
        <v>120</v>
      </c>
      <c r="G2171" t="s">
        <v>57</v>
      </c>
      <c r="H2171" t="s">
        <v>188</v>
      </c>
      <c r="I2171" t="s">
        <v>189</v>
      </c>
      <c r="J2171">
        <v>4</v>
      </c>
      <c r="K2171">
        <v>6200</v>
      </c>
      <c r="L2171">
        <v>0.15</v>
      </c>
      <c r="M2171">
        <v>21080</v>
      </c>
      <c r="N2171">
        <v>17200</v>
      </c>
      <c r="O2171">
        <v>3880</v>
      </c>
    </row>
    <row r="2172" spans="1:15" x14ac:dyDescent="0.25">
      <c r="A2172" t="s">
        <v>3235</v>
      </c>
      <c r="B2172" s="2">
        <v>47828</v>
      </c>
      <c r="C2172" t="s">
        <v>741</v>
      </c>
      <c r="D2172" t="s">
        <v>742</v>
      </c>
      <c r="E2172" t="s">
        <v>39</v>
      </c>
      <c r="F2172" t="s">
        <v>40</v>
      </c>
      <c r="G2172" t="s">
        <v>20</v>
      </c>
      <c r="H2172" t="s">
        <v>84</v>
      </c>
      <c r="I2172" t="s">
        <v>85</v>
      </c>
      <c r="J2172">
        <v>2</v>
      </c>
      <c r="K2172">
        <v>280</v>
      </c>
      <c r="L2172">
        <v>0.15</v>
      </c>
      <c r="M2172">
        <v>476</v>
      </c>
      <c r="N2172">
        <v>320</v>
      </c>
      <c r="O2172">
        <v>156</v>
      </c>
    </row>
    <row r="2173" spans="1:15" x14ac:dyDescent="0.25">
      <c r="A2173" t="s">
        <v>3236</v>
      </c>
      <c r="B2173" s="2">
        <v>47829</v>
      </c>
      <c r="C2173" t="s">
        <v>346</v>
      </c>
      <c r="D2173" t="s">
        <v>347</v>
      </c>
      <c r="E2173" t="s">
        <v>26</v>
      </c>
      <c r="F2173" t="s">
        <v>204</v>
      </c>
      <c r="G2173" t="s">
        <v>20</v>
      </c>
      <c r="H2173" t="s">
        <v>41</v>
      </c>
      <c r="I2173" t="s">
        <v>42</v>
      </c>
      <c r="J2173">
        <v>5</v>
      </c>
      <c r="K2173">
        <v>520</v>
      </c>
      <c r="L2173">
        <v>0.25</v>
      </c>
      <c r="M2173">
        <v>1950</v>
      </c>
      <c r="N2173">
        <v>1650</v>
      </c>
      <c r="O2173">
        <v>300</v>
      </c>
    </row>
    <row r="2174" spans="1:15" x14ac:dyDescent="0.25">
      <c r="A2174" t="s">
        <v>3237</v>
      </c>
      <c r="B2174" s="2">
        <v>47830</v>
      </c>
      <c r="C2174" t="s">
        <v>1563</v>
      </c>
      <c r="D2174" t="s">
        <v>1564</v>
      </c>
      <c r="E2174" t="s">
        <v>26</v>
      </c>
      <c r="F2174" t="s">
        <v>204</v>
      </c>
      <c r="G2174" t="s">
        <v>20</v>
      </c>
      <c r="H2174" t="s">
        <v>84</v>
      </c>
      <c r="I2174" t="s">
        <v>169</v>
      </c>
      <c r="J2174">
        <v>4</v>
      </c>
      <c r="K2174">
        <v>450</v>
      </c>
      <c r="L2174">
        <v>0.25</v>
      </c>
      <c r="M2174">
        <v>1350</v>
      </c>
      <c r="N2174">
        <v>1040</v>
      </c>
      <c r="O2174">
        <v>310</v>
      </c>
    </row>
    <row r="2175" spans="1:15" x14ac:dyDescent="0.25">
      <c r="A2175" t="s">
        <v>3238</v>
      </c>
      <c r="B2175" s="2">
        <v>47831</v>
      </c>
      <c r="C2175" t="s">
        <v>532</v>
      </c>
      <c r="D2175" t="s">
        <v>533</v>
      </c>
      <c r="E2175" t="s">
        <v>26</v>
      </c>
      <c r="F2175" t="s">
        <v>34</v>
      </c>
      <c r="G2175" t="s">
        <v>51</v>
      </c>
      <c r="H2175" t="s">
        <v>21</v>
      </c>
      <c r="I2175" t="s">
        <v>72</v>
      </c>
      <c r="J2175">
        <v>5</v>
      </c>
      <c r="K2175">
        <v>1800</v>
      </c>
      <c r="L2175">
        <v>0.15</v>
      </c>
      <c r="M2175">
        <v>7650</v>
      </c>
      <c r="N2175">
        <v>5500</v>
      </c>
      <c r="O2175">
        <v>2150</v>
      </c>
    </row>
    <row r="2176" spans="1:15" x14ac:dyDescent="0.25">
      <c r="A2176" t="s">
        <v>3239</v>
      </c>
      <c r="B2176" s="2">
        <v>47832</v>
      </c>
      <c r="C2176" t="s">
        <v>381</v>
      </c>
      <c r="D2176" t="s">
        <v>382</v>
      </c>
      <c r="E2176" t="s">
        <v>96</v>
      </c>
      <c r="F2176" t="s">
        <v>120</v>
      </c>
      <c r="G2176" t="s">
        <v>20</v>
      </c>
      <c r="H2176" t="s">
        <v>84</v>
      </c>
      <c r="I2176" t="s">
        <v>85</v>
      </c>
      <c r="J2176">
        <v>2</v>
      </c>
      <c r="K2176">
        <v>280</v>
      </c>
      <c r="L2176">
        <v>0</v>
      </c>
      <c r="M2176">
        <v>560</v>
      </c>
      <c r="N2176">
        <v>320</v>
      </c>
      <c r="O2176">
        <v>240</v>
      </c>
    </row>
    <row r="2177" spans="1:15" x14ac:dyDescent="0.25">
      <c r="A2177" t="s">
        <v>3240</v>
      </c>
      <c r="B2177" s="2">
        <v>47833</v>
      </c>
      <c r="C2177" t="s">
        <v>336</v>
      </c>
      <c r="D2177" t="s">
        <v>337</v>
      </c>
      <c r="E2177" t="s">
        <v>39</v>
      </c>
      <c r="F2177" t="s">
        <v>76</v>
      </c>
      <c r="G2177" t="s">
        <v>51</v>
      </c>
      <c r="H2177" t="s">
        <v>21</v>
      </c>
      <c r="I2177" t="s">
        <v>116</v>
      </c>
      <c r="J2177">
        <v>5</v>
      </c>
      <c r="K2177">
        <v>1400</v>
      </c>
      <c r="L2177">
        <v>0.25</v>
      </c>
      <c r="M2177">
        <v>5250</v>
      </c>
      <c r="N2177">
        <v>4500</v>
      </c>
      <c r="O2177">
        <v>750</v>
      </c>
    </row>
    <row r="2178" spans="1:15" x14ac:dyDescent="0.25">
      <c r="A2178" t="s">
        <v>3241</v>
      </c>
      <c r="B2178" s="2">
        <v>47834</v>
      </c>
      <c r="C2178" t="s">
        <v>547</v>
      </c>
      <c r="D2178" t="s">
        <v>548</v>
      </c>
      <c r="E2178" t="s">
        <v>39</v>
      </c>
      <c r="F2178" t="s">
        <v>40</v>
      </c>
      <c r="G2178" t="s">
        <v>28</v>
      </c>
      <c r="H2178" t="s">
        <v>63</v>
      </c>
      <c r="I2178" t="s">
        <v>64</v>
      </c>
      <c r="J2178">
        <v>2</v>
      </c>
      <c r="K2178">
        <v>2400</v>
      </c>
      <c r="L2178">
        <v>0.1</v>
      </c>
      <c r="M2178">
        <v>4320</v>
      </c>
      <c r="N2178">
        <v>3300</v>
      </c>
      <c r="O2178">
        <v>1020</v>
      </c>
    </row>
    <row r="2179" spans="1:15" x14ac:dyDescent="0.25">
      <c r="A2179" t="s">
        <v>3242</v>
      </c>
      <c r="B2179" s="2">
        <v>47835</v>
      </c>
      <c r="C2179" t="s">
        <v>2008</v>
      </c>
      <c r="D2179" t="s">
        <v>2009</v>
      </c>
      <c r="E2179" t="s">
        <v>39</v>
      </c>
      <c r="F2179" t="s">
        <v>76</v>
      </c>
      <c r="G2179" t="s">
        <v>57</v>
      </c>
      <c r="H2179" t="s">
        <v>188</v>
      </c>
      <c r="I2179" t="s">
        <v>189</v>
      </c>
      <c r="J2179">
        <v>1</v>
      </c>
      <c r="K2179">
        <v>6200</v>
      </c>
      <c r="L2179">
        <v>0.2</v>
      </c>
      <c r="M2179">
        <v>4960</v>
      </c>
      <c r="N2179">
        <v>4300</v>
      </c>
      <c r="O2179">
        <v>660</v>
      </c>
    </row>
    <row r="2180" spans="1:15" x14ac:dyDescent="0.25">
      <c r="A2180" t="s">
        <v>3243</v>
      </c>
      <c r="B2180" s="2">
        <v>47836</v>
      </c>
      <c r="C2180" t="s">
        <v>3080</v>
      </c>
      <c r="D2180" t="s">
        <v>3081</v>
      </c>
      <c r="E2180" t="s">
        <v>18</v>
      </c>
      <c r="F2180" t="s">
        <v>115</v>
      </c>
      <c r="G2180" t="s">
        <v>51</v>
      </c>
      <c r="H2180" t="s">
        <v>89</v>
      </c>
      <c r="I2180" t="s">
        <v>90</v>
      </c>
      <c r="J2180">
        <v>5</v>
      </c>
      <c r="K2180">
        <v>10500</v>
      </c>
      <c r="L2180">
        <v>0.05</v>
      </c>
      <c r="M2180">
        <v>49875</v>
      </c>
      <c r="N2180">
        <v>38000</v>
      </c>
      <c r="O2180">
        <v>11875</v>
      </c>
    </row>
    <row r="2181" spans="1:15" x14ac:dyDescent="0.25">
      <c r="A2181" t="s">
        <v>3244</v>
      </c>
      <c r="B2181" s="2">
        <v>47837</v>
      </c>
      <c r="C2181" t="s">
        <v>161</v>
      </c>
      <c r="D2181" t="s">
        <v>162</v>
      </c>
      <c r="E2181" t="s">
        <v>18</v>
      </c>
      <c r="F2181" t="s">
        <v>19</v>
      </c>
      <c r="G2181" t="s">
        <v>28</v>
      </c>
      <c r="H2181" t="s">
        <v>63</v>
      </c>
      <c r="I2181" t="s">
        <v>64</v>
      </c>
      <c r="J2181">
        <v>5</v>
      </c>
      <c r="K2181">
        <v>2400</v>
      </c>
      <c r="L2181">
        <v>0.1</v>
      </c>
      <c r="M2181">
        <v>10800</v>
      </c>
      <c r="N2181">
        <v>8250</v>
      </c>
      <c r="O2181">
        <v>2550</v>
      </c>
    </row>
    <row r="2182" spans="1:15" x14ac:dyDescent="0.25">
      <c r="A2182" t="s">
        <v>3245</v>
      </c>
      <c r="B2182" s="2">
        <v>47838</v>
      </c>
      <c r="C2182" t="s">
        <v>1358</v>
      </c>
      <c r="D2182" t="s">
        <v>1359</v>
      </c>
      <c r="E2182" t="s">
        <v>26</v>
      </c>
      <c r="F2182" t="s">
        <v>34</v>
      </c>
      <c r="G2182" t="s">
        <v>51</v>
      </c>
      <c r="H2182" t="s">
        <v>21</v>
      </c>
      <c r="I2182" t="s">
        <v>80</v>
      </c>
      <c r="J2182">
        <v>1</v>
      </c>
      <c r="K2182">
        <v>850</v>
      </c>
      <c r="L2182">
        <v>0.15</v>
      </c>
      <c r="M2182">
        <v>722.5</v>
      </c>
      <c r="N2182">
        <v>560</v>
      </c>
      <c r="O2182">
        <v>162.5</v>
      </c>
    </row>
    <row r="2183" spans="1:15" x14ac:dyDescent="0.25">
      <c r="A2183" t="s">
        <v>3246</v>
      </c>
      <c r="B2183" s="2">
        <v>47839</v>
      </c>
      <c r="C2183" t="s">
        <v>284</v>
      </c>
      <c r="D2183" t="s">
        <v>285</v>
      </c>
      <c r="E2183" t="s">
        <v>26</v>
      </c>
      <c r="F2183" t="s">
        <v>204</v>
      </c>
      <c r="G2183" t="s">
        <v>20</v>
      </c>
      <c r="H2183" t="s">
        <v>41</v>
      </c>
      <c r="I2183" t="s">
        <v>42</v>
      </c>
      <c r="J2183">
        <v>3</v>
      </c>
      <c r="K2183">
        <v>520</v>
      </c>
      <c r="L2183">
        <v>0.1</v>
      </c>
      <c r="M2183">
        <v>1404</v>
      </c>
      <c r="N2183">
        <v>990</v>
      </c>
      <c r="O2183">
        <v>414</v>
      </c>
    </row>
    <row r="2184" spans="1:15" x14ac:dyDescent="0.25">
      <c r="A2184" t="s">
        <v>3247</v>
      </c>
      <c r="B2184" s="2">
        <v>47840</v>
      </c>
      <c r="C2184" t="s">
        <v>980</v>
      </c>
      <c r="D2184" t="s">
        <v>981</v>
      </c>
      <c r="E2184" t="s">
        <v>18</v>
      </c>
      <c r="F2184" t="s">
        <v>227</v>
      </c>
      <c r="G2184" t="s">
        <v>51</v>
      </c>
      <c r="H2184" t="s">
        <v>89</v>
      </c>
      <c r="I2184" t="s">
        <v>90</v>
      </c>
      <c r="J2184">
        <v>5</v>
      </c>
      <c r="K2184">
        <v>10500</v>
      </c>
      <c r="L2184">
        <v>0.05</v>
      </c>
      <c r="M2184">
        <v>49875</v>
      </c>
      <c r="N2184">
        <v>38000</v>
      </c>
      <c r="O2184">
        <v>11875</v>
      </c>
    </row>
    <row r="2185" spans="1:15" x14ac:dyDescent="0.25">
      <c r="A2185" t="s">
        <v>3248</v>
      </c>
      <c r="B2185" s="2">
        <v>47841</v>
      </c>
      <c r="C2185" t="s">
        <v>2005</v>
      </c>
      <c r="D2185" t="s">
        <v>2006</v>
      </c>
      <c r="E2185" t="s">
        <v>18</v>
      </c>
      <c r="F2185" t="s">
        <v>227</v>
      </c>
      <c r="G2185" t="s">
        <v>20</v>
      </c>
      <c r="H2185" t="s">
        <v>21</v>
      </c>
      <c r="I2185" t="s">
        <v>22</v>
      </c>
      <c r="J2185">
        <v>4</v>
      </c>
      <c r="K2185">
        <v>650</v>
      </c>
      <c r="L2185">
        <v>0</v>
      </c>
      <c r="M2185">
        <v>2600</v>
      </c>
      <c r="N2185">
        <v>1560</v>
      </c>
      <c r="O2185">
        <v>1040</v>
      </c>
    </row>
    <row r="2186" spans="1:15" x14ac:dyDescent="0.25">
      <c r="A2186" t="s">
        <v>3249</v>
      </c>
      <c r="B2186" s="2">
        <v>47842</v>
      </c>
      <c r="C2186" t="s">
        <v>2457</v>
      </c>
      <c r="D2186" t="s">
        <v>2458</v>
      </c>
      <c r="E2186" t="s">
        <v>39</v>
      </c>
      <c r="F2186" t="s">
        <v>124</v>
      </c>
      <c r="G2186" t="s">
        <v>28</v>
      </c>
      <c r="H2186" t="s">
        <v>63</v>
      </c>
      <c r="I2186" t="s">
        <v>64</v>
      </c>
      <c r="J2186">
        <v>5</v>
      </c>
      <c r="K2186">
        <v>2400</v>
      </c>
      <c r="L2186">
        <v>0.15</v>
      </c>
      <c r="M2186">
        <v>10200</v>
      </c>
      <c r="N2186">
        <v>8250</v>
      </c>
      <c r="O2186">
        <v>1950</v>
      </c>
    </row>
    <row r="2187" spans="1:15" x14ac:dyDescent="0.25">
      <c r="A2187" t="s">
        <v>3250</v>
      </c>
      <c r="B2187" s="2">
        <v>47843</v>
      </c>
      <c r="C2187" t="s">
        <v>1427</v>
      </c>
      <c r="D2187" t="s">
        <v>1428</v>
      </c>
      <c r="E2187" t="s">
        <v>26</v>
      </c>
      <c r="F2187" t="s">
        <v>27</v>
      </c>
      <c r="G2187" t="s">
        <v>51</v>
      </c>
      <c r="H2187" t="s">
        <v>21</v>
      </c>
      <c r="I2187" t="s">
        <v>116</v>
      </c>
      <c r="J2187">
        <v>5</v>
      </c>
      <c r="K2187">
        <v>1400</v>
      </c>
      <c r="L2187">
        <v>0.25</v>
      </c>
      <c r="M2187">
        <v>5250</v>
      </c>
      <c r="N2187">
        <v>4500</v>
      </c>
      <c r="O2187">
        <v>750</v>
      </c>
    </row>
    <row r="2188" spans="1:15" x14ac:dyDescent="0.25">
      <c r="A2188" t="s">
        <v>3251</v>
      </c>
      <c r="B2188" s="2">
        <v>47844</v>
      </c>
      <c r="C2188" t="s">
        <v>194</v>
      </c>
      <c r="D2188" t="s">
        <v>195</v>
      </c>
      <c r="E2188" t="s">
        <v>96</v>
      </c>
      <c r="F2188" t="s">
        <v>196</v>
      </c>
      <c r="G2188" t="s">
        <v>28</v>
      </c>
      <c r="H2188" t="s">
        <v>29</v>
      </c>
      <c r="I2188" t="s">
        <v>47</v>
      </c>
      <c r="J2188">
        <v>4</v>
      </c>
      <c r="K2188">
        <v>6800</v>
      </c>
      <c r="L2188">
        <v>0.1</v>
      </c>
      <c r="M2188">
        <v>24480</v>
      </c>
      <c r="N2188">
        <v>18800</v>
      </c>
      <c r="O2188">
        <v>5680</v>
      </c>
    </row>
    <row r="2189" spans="1:15" x14ac:dyDescent="0.25">
      <c r="A2189" t="s">
        <v>3252</v>
      </c>
      <c r="B2189" s="2">
        <v>47845</v>
      </c>
      <c r="C2189" t="s">
        <v>544</v>
      </c>
      <c r="D2189" t="s">
        <v>545</v>
      </c>
      <c r="E2189" t="s">
        <v>96</v>
      </c>
      <c r="F2189" t="s">
        <v>120</v>
      </c>
      <c r="G2189" t="s">
        <v>28</v>
      </c>
      <c r="H2189" t="s">
        <v>29</v>
      </c>
      <c r="I2189" t="s">
        <v>35</v>
      </c>
      <c r="J2189">
        <v>2</v>
      </c>
      <c r="K2189">
        <v>4200</v>
      </c>
      <c r="L2189">
        <v>0.15</v>
      </c>
      <c r="M2189">
        <v>7140</v>
      </c>
      <c r="N2189">
        <v>5800</v>
      </c>
      <c r="O2189">
        <v>1340</v>
      </c>
    </row>
    <row r="2190" spans="1:15" x14ac:dyDescent="0.25">
      <c r="A2190" t="s">
        <v>3253</v>
      </c>
      <c r="B2190" s="2">
        <v>47846</v>
      </c>
      <c r="C2190" t="s">
        <v>1858</v>
      </c>
      <c r="D2190" t="s">
        <v>1859</v>
      </c>
      <c r="E2190" t="s">
        <v>26</v>
      </c>
      <c r="F2190" t="s">
        <v>128</v>
      </c>
      <c r="G2190" t="s">
        <v>20</v>
      </c>
      <c r="H2190" t="s">
        <v>41</v>
      </c>
      <c r="I2190" t="s">
        <v>42</v>
      </c>
      <c r="J2190">
        <v>4</v>
      </c>
      <c r="K2190">
        <v>520</v>
      </c>
      <c r="L2190">
        <v>0</v>
      </c>
      <c r="M2190">
        <v>2080</v>
      </c>
      <c r="N2190">
        <v>1320</v>
      </c>
      <c r="O2190">
        <v>760</v>
      </c>
    </row>
    <row r="2191" spans="1:15" x14ac:dyDescent="0.25">
      <c r="A2191" t="s">
        <v>3254</v>
      </c>
      <c r="B2191" s="2">
        <v>47847</v>
      </c>
      <c r="C2191" t="s">
        <v>2131</v>
      </c>
      <c r="D2191" t="s">
        <v>2132</v>
      </c>
      <c r="E2191" t="s">
        <v>96</v>
      </c>
      <c r="F2191" t="s">
        <v>200</v>
      </c>
      <c r="G2191" t="s">
        <v>28</v>
      </c>
      <c r="H2191" t="s">
        <v>29</v>
      </c>
      <c r="I2191" t="s">
        <v>47</v>
      </c>
      <c r="J2191">
        <v>1</v>
      </c>
      <c r="K2191">
        <v>6800</v>
      </c>
      <c r="L2191">
        <v>0.2</v>
      </c>
      <c r="M2191">
        <v>5440</v>
      </c>
      <c r="N2191">
        <v>4700</v>
      </c>
      <c r="O2191">
        <v>740</v>
      </c>
    </row>
    <row r="2192" spans="1:15" x14ac:dyDescent="0.25">
      <c r="A2192" t="s">
        <v>3255</v>
      </c>
      <c r="B2192" s="2">
        <v>47848</v>
      </c>
      <c r="C2192" t="s">
        <v>1227</v>
      </c>
      <c r="D2192" t="s">
        <v>1228</v>
      </c>
      <c r="E2192" t="s">
        <v>18</v>
      </c>
      <c r="F2192" t="s">
        <v>94</v>
      </c>
      <c r="G2192" t="s">
        <v>51</v>
      </c>
      <c r="H2192" t="s">
        <v>21</v>
      </c>
      <c r="I2192" t="s">
        <v>80</v>
      </c>
      <c r="J2192">
        <v>2</v>
      </c>
      <c r="K2192">
        <v>850</v>
      </c>
      <c r="L2192">
        <v>0.2</v>
      </c>
      <c r="M2192">
        <v>1360</v>
      </c>
      <c r="N2192">
        <v>1120</v>
      </c>
      <c r="O2192">
        <v>240</v>
      </c>
    </row>
    <row r="2193" spans="1:15" x14ac:dyDescent="0.25">
      <c r="A2193" t="s">
        <v>3256</v>
      </c>
      <c r="B2193" s="2">
        <v>47849</v>
      </c>
      <c r="C2193" t="s">
        <v>194</v>
      </c>
      <c r="D2193" t="s">
        <v>195</v>
      </c>
      <c r="E2193" t="s">
        <v>26</v>
      </c>
      <c r="F2193" t="s">
        <v>204</v>
      </c>
      <c r="G2193" t="s">
        <v>28</v>
      </c>
      <c r="H2193" t="s">
        <v>29</v>
      </c>
      <c r="I2193" t="s">
        <v>30</v>
      </c>
      <c r="J2193">
        <v>5</v>
      </c>
      <c r="K2193">
        <v>1900</v>
      </c>
      <c r="L2193">
        <v>0.2</v>
      </c>
      <c r="M2193">
        <v>7600</v>
      </c>
      <c r="N2193">
        <v>6250</v>
      </c>
      <c r="O2193">
        <v>1350</v>
      </c>
    </row>
    <row r="2194" spans="1:15" x14ac:dyDescent="0.25">
      <c r="A2194" t="s">
        <v>3257</v>
      </c>
      <c r="B2194" s="2">
        <v>47850</v>
      </c>
      <c r="C2194" t="s">
        <v>544</v>
      </c>
      <c r="D2194" t="s">
        <v>545</v>
      </c>
      <c r="E2194" t="s">
        <v>96</v>
      </c>
      <c r="F2194" t="s">
        <v>97</v>
      </c>
      <c r="G2194" t="s">
        <v>57</v>
      </c>
      <c r="H2194" t="s">
        <v>188</v>
      </c>
      <c r="I2194" t="s">
        <v>189</v>
      </c>
      <c r="J2194">
        <v>1</v>
      </c>
      <c r="K2194">
        <v>6200</v>
      </c>
      <c r="L2194">
        <v>0.15</v>
      </c>
      <c r="M2194">
        <v>5270</v>
      </c>
      <c r="N2194">
        <v>4300</v>
      </c>
      <c r="O2194">
        <v>970</v>
      </c>
    </row>
    <row r="2195" spans="1:15" x14ac:dyDescent="0.25">
      <c r="A2195" t="s">
        <v>3258</v>
      </c>
      <c r="B2195" s="2">
        <v>47851</v>
      </c>
      <c r="C2195" t="s">
        <v>550</v>
      </c>
      <c r="D2195" t="s">
        <v>551</v>
      </c>
      <c r="E2195" t="s">
        <v>18</v>
      </c>
      <c r="F2195" t="s">
        <v>94</v>
      </c>
      <c r="G2195" t="s">
        <v>20</v>
      </c>
      <c r="H2195" t="s">
        <v>84</v>
      </c>
      <c r="I2195" t="s">
        <v>169</v>
      </c>
      <c r="J2195">
        <v>1</v>
      </c>
      <c r="K2195">
        <v>450</v>
      </c>
      <c r="L2195">
        <v>0.05</v>
      </c>
      <c r="M2195">
        <v>427.5</v>
      </c>
      <c r="N2195">
        <v>260</v>
      </c>
      <c r="O2195">
        <v>167.5</v>
      </c>
    </row>
    <row r="2196" spans="1:15" x14ac:dyDescent="0.25">
      <c r="A2196" t="s">
        <v>3259</v>
      </c>
      <c r="B2196" s="2">
        <v>47852</v>
      </c>
      <c r="C2196" t="s">
        <v>606</v>
      </c>
      <c r="D2196" t="s">
        <v>607</v>
      </c>
      <c r="E2196" t="s">
        <v>39</v>
      </c>
      <c r="F2196" t="s">
        <v>76</v>
      </c>
      <c r="G2196" t="s">
        <v>57</v>
      </c>
      <c r="H2196" t="s">
        <v>188</v>
      </c>
      <c r="I2196" t="s">
        <v>189</v>
      </c>
      <c r="J2196">
        <v>4</v>
      </c>
      <c r="K2196">
        <v>6200</v>
      </c>
      <c r="L2196">
        <v>0.25</v>
      </c>
      <c r="M2196">
        <v>18600</v>
      </c>
      <c r="N2196">
        <v>17200</v>
      </c>
      <c r="O2196">
        <v>1400</v>
      </c>
    </row>
    <row r="2197" spans="1:15" x14ac:dyDescent="0.25">
      <c r="A2197" t="s">
        <v>3260</v>
      </c>
      <c r="B2197" s="2">
        <v>47853</v>
      </c>
      <c r="C2197" t="s">
        <v>948</v>
      </c>
      <c r="D2197" t="s">
        <v>949</v>
      </c>
      <c r="E2197" t="s">
        <v>39</v>
      </c>
      <c r="F2197" t="s">
        <v>76</v>
      </c>
      <c r="G2197" t="s">
        <v>51</v>
      </c>
      <c r="H2197" t="s">
        <v>52</v>
      </c>
      <c r="I2197" t="s">
        <v>208</v>
      </c>
      <c r="J2197">
        <v>1</v>
      </c>
      <c r="K2197">
        <v>2800</v>
      </c>
      <c r="L2197">
        <v>0.05</v>
      </c>
      <c r="M2197">
        <v>2660</v>
      </c>
      <c r="N2197">
        <v>1800</v>
      </c>
      <c r="O2197">
        <v>860</v>
      </c>
    </row>
    <row r="2198" spans="1:15" x14ac:dyDescent="0.25">
      <c r="A2198" t="s">
        <v>3261</v>
      </c>
      <c r="B2198" s="2">
        <v>47854</v>
      </c>
      <c r="C2198" t="s">
        <v>1025</v>
      </c>
      <c r="D2198" t="s">
        <v>1026</v>
      </c>
      <c r="E2198" t="s">
        <v>39</v>
      </c>
      <c r="F2198" t="s">
        <v>76</v>
      </c>
      <c r="G2198" t="s">
        <v>51</v>
      </c>
      <c r="H2198" t="s">
        <v>52</v>
      </c>
      <c r="I2198" t="s">
        <v>208</v>
      </c>
      <c r="J2198">
        <v>2</v>
      </c>
      <c r="K2198">
        <v>2800</v>
      </c>
      <c r="L2198">
        <v>0.15</v>
      </c>
      <c r="M2198">
        <v>4760</v>
      </c>
      <c r="N2198">
        <v>3600</v>
      </c>
      <c r="O2198">
        <v>1160</v>
      </c>
    </row>
    <row r="2199" spans="1:15" x14ac:dyDescent="0.25">
      <c r="A2199" t="s">
        <v>3262</v>
      </c>
      <c r="B2199" s="2">
        <v>47855</v>
      </c>
      <c r="C2199" t="s">
        <v>1413</v>
      </c>
      <c r="D2199" t="s">
        <v>1414</v>
      </c>
      <c r="E2199" t="s">
        <v>26</v>
      </c>
      <c r="F2199" t="s">
        <v>128</v>
      </c>
      <c r="G2199" t="s">
        <v>20</v>
      </c>
      <c r="H2199" t="s">
        <v>84</v>
      </c>
      <c r="I2199" t="s">
        <v>169</v>
      </c>
      <c r="J2199">
        <v>5</v>
      </c>
      <c r="K2199">
        <v>450</v>
      </c>
      <c r="L2199">
        <v>0.1</v>
      </c>
      <c r="M2199">
        <v>2025</v>
      </c>
      <c r="N2199">
        <v>1300</v>
      </c>
      <c r="O2199">
        <v>725</v>
      </c>
    </row>
    <row r="2200" spans="1:15" x14ac:dyDescent="0.25">
      <c r="A2200" t="s">
        <v>3263</v>
      </c>
      <c r="B2200" s="2">
        <v>47856</v>
      </c>
      <c r="C2200" t="s">
        <v>1372</v>
      </c>
      <c r="D2200" t="s">
        <v>1373</v>
      </c>
      <c r="E2200" t="s">
        <v>26</v>
      </c>
      <c r="F2200" t="s">
        <v>46</v>
      </c>
      <c r="G2200" t="s">
        <v>20</v>
      </c>
      <c r="H2200" t="s">
        <v>41</v>
      </c>
      <c r="I2200" t="s">
        <v>42</v>
      </c>
      <c r="J2200">
        <v>5</v>
      </c>
      <c r="K2200">
        <v>520</v>
      </c>
      <c r="L2200">
        <v>0.2</v>
      </c>
      <c r="M2200">
        <v>2080</v>
      </c>
      <c r="N2200">
        <v>1650</v>
      </c>
      <c r="O2200">
        <v>430</v>
      </c>
    </row>
    <row r="2201" spans="1:15" x14ac:dyDescent="0.25">
      <c r="A2201" t="s">
        <v>3264</v>
      </c>
      <c r="B2201" s="2">
        <v>47857</v>
      </c>
      <c r="C2201" t="s">
        <v>1308</v>
      </c>
      <c r="D2201" t="s">
        <v>1309</v>
      </c>
      <c r="E2201" t="s">
        <v>18</v>
      </c>
      <c r="F2201" t="s">
        <v>19</v>
      </c>
      <c r="G2201" t="s">
        <v>20</v>
      </c>
      <c r="H2201" t="s">
        <v>84</v>
      </c>
      <c r="I2201" t="s">
        <v>210</v>
      </c>
      <c r="J2201">
        <v>1</v>
      </c>
      <c r="K2201">
        <v>300</v>
      </c>
      <c r="L2201">
        <v>0.1</v>
      </c>
      <c r="M2201">
        <v>270</v>
      </c>
      <c r="N2201">
        <v>170</v>
      </c>
      <c r="O2201">
        <v>100</v>
      </c>
    </row>
    <row r="2202" spans="1:15" x14ac:dyDescent="0.25">
      <c r="A2202" t="s">
        <v>3265</v>
      </c>
      <c r="B2202" s="2">
        <v>47858</v>
      </c>
      <c r="C2202" t="s">
        <v>787</v>
      </c>
      <c r="D2202" t="s">
        <v>788</v>
      </c>
      <c r="E2202" t="s">
        <v>96</v>
      </c>
      <c r="F2202" t="s">
        <v>196</v>
      </c>
      <c r="G2202" t="s">
        <v>28</v>
      </c>
      <c r="H2202" t="s">
        <v>29</v>
      </c>
      <c r="I2202" t="s">
        <v>35</v>
      </c>
      <c r="J2202">
        <v>4</v>
      </c>
      <c r="K2202">
        <v>4200</v>
      </c>
      <c r="L2202">
        <v>0.15</v>
      </c>
      <c r="M2202">
        <v>14280</v>
      </c>
      <c r="N2202">
        <v>11600</v>
      </c>
      <c r="O2202">
        <v>2680</v>
      </c>
    </row>
    <row r="2203" spans="1:15" x14ac:dyDescent="0.25">
      <c r="A2203" t="s">
        <v>3266</v>
      </c>
      <c r="B2203" s="2">
        <v>47859</v>
      </c>
      <c r="C2203" t="s">
        <v>2729</v>
      </c>
      <c r="D2203" t="s">
        <v>2730</v>
      </c>
      <c r="E2203" t="s">
        <v>26</v>
      </c>
      <c r="F2203" t="s">
        <v>27</v>
      </c>
      <c r="G2203" t="s">
        <v>28</v>
      </c>
      <c r="H2203" t="s">
        <v>29</v>
      </c>
      <c r="I2203" t="s">
        <v>30</v>
      </c>
      <c r="J2203">
        <v>1</v>
      </c>
      <c r="K2203">
        <v>1900</v>
      </c>
      <c r="L2203">
        <v>0</v>
      </c>
      <c r="M2203">
        <v>1900</v>
      </c>
      <c r="N2203">
        <v>1250</v>
      </c>
      <c r="O2203">
        <v>650</v>
      </c>
    </row>
    <row r="2204" spans="1:15" x14ac:dyDescent="0.25">
      <c r="A2204" t="s">
        <v>3267</v>
      </c>
      <c r="B2204" s="2">
        <v>47860</v>
      </c>
      <c r="C2204" t="s">
        <v>578</v>
      </c>
      <c r="D2204" t="s">
        <v>579</v>
      </c>
      <c r="E2204" t="s">
        <v>26</v>
      </c>
      <c r="F2204" t="s">
        <v>27</v>
      </c>
      <c r="G2204" t="s">
        <v>51</v>
      </c>
      <c r="H2204" t="s">
        <v>52</v>
      </c>
      <c r="I2204" t="s">
        <v>53</v>
      </c>
      <c r="J2204">
        <v>4</v>
      </c>
      <c r="K2204">
        <v>2200</v>
      </c>
      <c r="L2204">
        <v>0.2</v>
      </c>
      <c r="M2204">
        <v>7040</v>
      </c>
      <c r="N2204">
        <v>5800</v>
      </c>
      <c r="O2204">
        <v>1240</v>
      </c>
    </row>
    <row r="2205" spans="1:15" x14ac:dyDescent="0.25">
      <c r="A2205" t="s">
        <v>3268</v>
      </c>
      <c r="B2205" s="2">
        <v>47861</v>
      </c>
      <c r="C2205" t="s">
        <v>922</v>
      </c>
      <c r="D2205" t="s">
        <v>923</v>
      </c>
      <c r="E2205" t="s">
        <v>26</v>
      </c>
      <c r="F2205" t="s">
        <v>204</v>
      </c>
      <c r="G2205" t="s">
        <v>57</v>
      </c>
      <c r="H2205" t="s">
        <v>188</v>
      </c>
      <c r="I2205" t="s">
        <v>189</v>
      </c>
      <c r="J2205">
        <v>3</v>
      </c>
      <c r="K2205">
        <v>6200</v>
      </c>
      <c r="L2205">
        <v>0.05</v>
      </c>
      <c r="M2205">
        <v>17670</v>
      </c>
      <c r="N2205">
        <v>12900</v>
      </c>
      <c r="O2205">
        <v>4770</v>
      </c>
    </row>
    <row r="2206" spans="1:15" x14ac:dyDescent="0.25">
      <c r="A2206" t="s">
        <v>3269</v>
      </c>
      <c r="B2206" s="2">
        <v>47862</v>
      </c>
      <c r="C2206" t="s">
        <v>1589</v>
      </c>
      <c r="D2206" t="s">
        <v>1590</v>
      </c>
      <c r="E2206" t="s">
        <v>96</v>
      </c>
      <c r="F2206" t="s">
        <v>97</v>
      </c>
      <c r="G2206" t="s">
        <v>28</v>
      </c>
      <c r="H2206" t="s">
        <v>63</v>
      </c>
      <c r="I2206" t="s">
        <v>64</v>
      </c>
      <c r="J2206">
        <v>3</v>
      </c>
      <c r="K2206">
        <v>2400</v>
      </c>
      <c r="L2206">
        <v>0.1</v>
      </c>
      <c r="M2206">
        <v>6480</v>
      </c>
      <c r="N2206">
        <v>4950</v>
      </c>
      <c r="O2206">
        <v>1530</v>
      </c>
    </row>
    <row r="2207" spans="1:15" x14ac:dyDescent="0.25">
      <c r="A2207" t="s">
        <v>3270</v>
      </c>
      <c r="B2207" s="2">
        <v>47863</v>
      </c>
      <c r="C2207" t="s">
        <v>678</v>
      </c>
      <c r="D2207" t="s">
        <v>679</v>
      </c>
      <c r="E2207" t="s">
        <v>39</v>
      </c>
      <c r="F2207" t="s">
        <v>76</v>
      </c>
      <c r="G2207" t="s">
        <v>57</v>
      </c>
      <c r="H2207" t="s">
        <v>58</v>
      </c>
      <c r="I2207" t="s">
        <v>129</v>
      </c>
      <c r="J2207">
        <v>3</v>
      </c>
      <c r="K2207">
        <v>4800</v>
      </c>
      <c r="L2207">
        <v>0.15</v>
      </c>
      <c r="M2207">
        <v>12240</v>
      </c>
      <c r="N2207">
        <v>9900</v>
      </c>
      <c r="O2207">
        <v>2340</v>
      </c>
    </row>
    <row r="2208" spans="1:15" x14ac:dyDescent="0.25">
      <c r="A2208" t="s">
        <v>3271</v>
      </c>
      <c r="B2208" s="2">
        <v>47864</v>
      </c>
      <c r="C2208" t="s">
        <v>2365</v>
      </c>
      <c r="D2208" t="s">
        <v>2366</v>
      </c>
      <c r="E2208" t="s">
        <v>26</v>
      </c>
      <c r="F2208" t="s">
        <v>27</v>
      </c>
      <c r="G2208" t="s">
        <v>57</v>
      </c>
      <c r="H2208" t="s">
        <v>58</v>
      </c>
      <c r="I2208" t="s">
        <v>59</v>
      </c>
      <c r="J2208">
        <v>5</v>
      </c>
      <c r="K2208">
        <v>5600</v>
      </c>
      <c r="L2208">
        <v>0.05</v>
      </c>
      <c r="M2208">
        <v>26600</v>
      </c>
      <c r="N2208">
        <v>19500</v>
      </c>
      <c r="O2208">
        <v>7100</v>
      </c>
    </row>
    <row r="2209" spans="1:15" x14ac:dyDescent="0.25">
      <c r="A2209" t="s">
        <v>3272</v>
      </c>
      <c r="B2209" s="2">
        <v>47865</v>
      </c>
      <c r="C2209" t="s">
        <v>711</v>
      </c>
      <c r="D2209" t="s">
        <v>712</v>
      </c>
      <c r="E2209" t="s">
        <v>26</v>
      </c>
      <c r="F2209" t="s">
        <v>46</v>
      </c>
      <c r="G2209" t="s">
        <v>28</v>
      </c>
      <c r="H2209" t="s">
        <v>29</v>
      </c>
      <c r="I2209" t="s">
        <v>47</v>
      </c>
      <c r="J2209">
        <v>5</v>
      </c>
      <c r="K2209">
        <v>6800</v>
      </c>
      <c r="L2209">
        <v>0</v>
      </c>
      <c r="M2209">
        <v>34000</v>
      </c>
      <c r="N2209">
        <v>23500</v>
      </c>
      <c r="O2209">
        <v>10500</v>
      </c>
    </row>
    <row r="2210" spans="1:15" x14ac:dyDescent="0.25">
      <c r="A2210" t="s">
        <v>3273</v>
      </c>
      <c r="B2210" s="2">
        <v>47866</v>
      </c>
      <c r="C2210" t="s">
        <v>102</v>
      </c>
      <c r="D2210" t="s">
        <v>103</v>
      </c>
      <c r="E2210" t="s">
        <v>26</v>
      </c>
      <c r="F2210" t="s">
        <v>128</v>
      </c>
      <c r="G2210" t="s">
        <v>20</v>
      </c>
      <c r="H2210" t="s">
        <v>84</v>
      </c>
      <c r="I2210" t="s">
        <v>210</v>
      </c>
      <c r="J2210">
        <v>3</v>
      </c>
      <c r="K2210">
        <v>300</v>
      </c>
      <c r="L2210">
        <v>0</v>
      </c>
      <c r="M2210">
        <v>900</v>
      </c>
      <c r="N2210">
        <v>510</v>
      </c>
      <c r="O2210">
        <v>390</v>
      </c>
    </row>
    <row r="2211" spans="1:15" x14ac:dyDescent="0.25">
      <c r="A2211" t="s">
        <v>3274</v>
      </c>
      <c r="B2211" s="2">
        <v>47867</v>
      </c>
      <c r="C2211" t="s">
        <v>1025</v>
      </c>
      <c r="D2211" t="s">
        <v>1026</v>
      </c>
      <c r="E2211" t="s">
        <v>39</v>
      </c>
      <c r="F2211" t="s">
        <v>40</v>
      </c>
      <c r="G2211" t="s">
        <v>57</v>
      </c>
      <c r="H2211" t="s">
        <v>188</v>
      </c>
      <c r="I2211" t="s">
        <v>189</v>
      </c>
      <c r="J2211">
        <v>3</v>
      </c>
      <c r="K2211">
        <v>6200</v>
      </c>
      <c r="L2211">
        <v>0.15</v>
      </c>
      <c r="M2211">
        <v>15810</v>
      </c>
      <c r="N2211">
        <v>12900</v>
      </c>
      <c r="O2211">
        <v>2910</v>
      </c>
    </row>
    <row r="2212" spans="1:15" x14ac:dyDescent="0.25">
      <c r="A2212" t="s">
        <v>3275</v>
      </c>
      <c r="B2212" s="2">
        <v>47868</v>
      </c>
      <c r="C2212" t="s">
        <v>915</v>
      </c>
      <c r="D2212" t="s">
        <v>916</v>
      </c>
      <c r="E2212" t="s">
        <v>39</v>
      </c>
      <c r="F2212" t="s">
        <v>71</v>
      </c>
      <c r="G2212" t="s">
        <v>51</v>
      </c>
      <c r="H2212" t="s">
        <v>89</v>
      </c>
      <c r="I2212" t="s">
        <v>90</v>
      </c>
      <c r="J2212">
        <v>1</v>
      </c>
      <c r="K2212">
        <v>10500</v>
      </c>
      <c r="L2212">
        <v>0.1</v>
      </c>
      <c r="M2212">
        <v>9450</v>
      </c>
      <c r="N2212">
        <v>7600</v>
      </c>
      <c r="O2212">
        <v>1850</v>
      </c>
    </row>
    <row r="2213" spans="1:15" x14ac:dyDescent="0.25">
      <c r="A2213" t="s">
        <v>3276</v>
      </c>
      <c r="B2213" s="2">
        <v>47869</v>
      </c>
      <c r="C2213" t="s">
        <v>1595</v>
      </c>
      <c r="D2213" t="s">
        <v>1596</v>
      </c>
      <c r="E2213" t="s">
        <v>39</v>
      </c>
      <c r="F2213" t="s">
        <v>71</v>
      </c>
      <c r="G2213" t="s">
        <v>28</v>
      </c>
      <c r="H2213" t="s">
        <v>29</v>
      </c>
      <c r="I2213" t="s">
        <v>47</v>
      </c>
      <c r="J2213">
        <v>5</v>
      </c>
      <c r="K2213">
        <v>6800</v>
      </c>
      <c r="L2213">
        <v>0</v>
      </c>
      <c r="M2213">
        <v>34000</v>
      </c>
      <c r="N2213">
        <v>23500</v>
      </c>
      <c r="O2213">
        <v>10500</v>
      </c>
    </row>
    <row r="2214" spans="1:15" x14ac:dyDescent="0.25">
      <c r="A2214" t="s">
        <v>3277</v>
      </c>
      <c r="B2214" s="2">
        <v>47870</v>
      </c>
      <c r="C2214" t="s">
        <v>2924</v>
      </c>
      <c r="D2214" t="s">
        <v>2925</v>
      </c>
      <c r="E2214" t="s">
        <v>26</v>
      </c>
      <c r="F2214" t="s">
        <v>128</v>
      </c>
      <c r="G2214" t="s">
        <v>51</v>
      </c>
      <c r="H2214" t="s">
        <v>52</v>
      </c>
      <c r="I2214" t="s">
        <v>208</v>
      </c>
      <c r="J2214">
        <v>5</v>
      </c>
      <c r="K2214">
        <v>2800</v>
      </c>
      <c r="L2214">
        <v>0.2</v>
      </c>
      <c r="M2214">
        <v>11200</v>
      </c>
      <c r="N2214">
        <v>9000</v>
      </c>
      <c r="O2214">
        <v>2200</v>
      </c>
    </row>
    <row r="2215" spans="1:15" x14ac:dyDescent="0.25">
      <c r="A2215" t="s">
        <v>3278</v>
      </c>
      <c r="B2215" s="2">
        <v>47871</v>
      </c>
      <c r="C2215" t="s">
        <v>747</v>
      </c>
      <c r="D2215" t="s">
        <v>748</v>
      </c>
      <c r="E2215" t="s">
        <v>26</v>
      </c>
      <c r="F2215" t="s">
        <v>27</v>
      </c>
      <c r="G2215" t="s">
        <v>20</v>
      </c>
      <c r="H2215" t="s">
        <v>84</v>
      </c>
      <c r="I2215" t="s">
        <v>169</v>
      </c>
      <c r="J2215">
        <v>3</v>
      </c>
      <c r="K2215">
        <v>450</v>
      </c>
      <c r="L2215">
        <v>0.2</v>
      </c>
      <c r="M2215">
        <v>1080</v>
      </c>
      <c r="N2215">
        <v>780</v>
      </c>
      <c r="O2215">
        <v>300</v>
      </c>
    </row>
    <row r="2216" spans="1:15" x14ac:dyDescent="0.25">
      <c r="A2216" t="s">
        <v>3279</v>
      </c>
      <c r="B2216" s="2">
        <v>47872</v>
      </c>
      <c r="C2216" t="s">
        <v>1780</v>
      </c>
      <c r="D2216" t="s">
        <v>1781</v>
      </c>
      <c r="E2216" t="s">
        <v>26</v>
      </c>
      <c r="F2216" t="s">
        <v>46</v>
      </c>
      <c r="G2216" t="s">
        <v>51</v>
      </c>
      <c r="H2216" t="s">
        <v>89</v>
      </c>
      <c r="I2216" t="s">
        <v>90</v>
      </c>
      <c r="J2216">
        <v>2</v>
      </c>
      <c r="K2216">
        <v>10500</v>
      </c>
      <c r="L2216">
        <v>0</v>
      </c>
      <c r="M2216">
        <v>21000</v>
      </c>
      <c r="N2216">
        <v>15200</v>
      </c>
      <c r="O2216">
        <v>5800</v>
      </c>
    </row>
    <row r="2217" spans="1:15" x14ac:dyDescent="0.25">
      <c r="A2217" t="s">
        <v>3280</v>
      </c>
      <c r="B2217" s="2">
        <v>47873</v>
      </c>
      <c r="C2217" t="s">
        <v>1176</v>
      </c>
      <c r="D2217" t="s">
        <v>1177</v>
      </c>
      <c r="E2217" t="s">
        <v>26</v>
      </c>
      <c r="F2217" t="s">
        <v>128</v>
      </c>
      <c r="G2217" t="s">
        <v>20</v>
      </c>
      <c r="H2217" t="s">
        <v>84</v>
      </c>
      <c r="I2217" t="s">
        <v>210</v>
      </c>
      <c r="J2217">
        <v>2</v>
      </c>
      <c r="K2217">
        <v>300</v>
      </c>
      <c r="L2217">
        <v>0.15</v>
      </c>
      <c r="M2217">
        <v>510</v>
      </c>
      <c r="N2217">
        <v>340</v>
      </c>
      <c r="O2217">
        <v>170</v>
      </c>
    </row>
    <row r="2218" spans="1:15" x14ac:dyDescent="0.25">
      <c r="A2218" t="s">
        <v>3281</v>
      </c>
      <c r="B2218" s="2">
        <v>47874</v>
      </c>
      <c r="C2218" t="s">
        <v>1448</v>
      </c>
      <c r="D2218" t="s">
        <v>1449</v>
      </c>
      <c r="E2218" t="s">
        <v>39</v>
      </c>
      <c r="F2218" t="s">
        <v>76</v>
      </c>
      <c r="G2218" t="s">
        <v>57</v>
      </c>
      <c r="H2218" t="s">
        <v>188</v>
      </c>
      <c r="I2218" t="s">
        <v>189</v>
      </c>
      <c r="J2218">
        <v>5</v>
      </c>
      <c r="K2218">
        <v>6200</v>
      </c>
      <c r="L2218">
        <v>0.15</v>
      </c>
      <c r="M2218">
        <v>26350</v>
      </c>
      <c r="N2218">
        <v>21500</v>
      </c>
      <c r="O2218">
        <v>4850</v>
      </c>
    </row>
    <row r="2219" spans="1:15" x14ac:dyDescent="0.25">
      <c r="A2219" t="s">
        <v>3282</v>
      </c>
      <c r="B2219" s="2">
        <v>47875</v>
      </c>
      <c r="C2219" t="s">
        <v>1246</v>
      </c>
      <c r="D2219" t="s">
        <v>1247</v>
      </c>
      <c r="E2219" t="s">
        <v>26</v>
      </c>
      <c r="F2219" t="s">
        <v>34</v>
      </c>
      <c r="G2219" t="s">
        <v>57</v>
      </c>
      <c r="H2219" t="s">
        <v>58</v>
      </c>
      <c r="I2219" t="s">
        <v>129</v>
      </c>
      <c r="J2219">
        <v>3</v>
      </c>
      <c r="K2219">
        <v>4800</v>
      </c>
      <c r="L2219">
        <v>0.05</v>
      </c>
      <c r="M2219">
        <v>13680</v>
      </c>
      <c r="N2219">
        <v>9900</v>
      </c>
      <c r="O2219">
        <v>3780</v>
      </c>
    </row>
    <row r="2220" spans="1:15" x14ac:dyDescent="0.25">
      <c r="A2220" t="s">
        <v>3283</v>
      </c>
      <c r="B2220" s="2">
        <v>47876</v>
      </c>
      <c r="C2220" t="s">
        <v>1641</v>
      </c>
      <c r="D2220" t="s">
        <v>1642</v>
      </c>
      <c r="E2220" t="s">
        <v>26</v>
      </c>
      <c r="F2220" t="s">
        <v>27</v>
      </c>
      <c r="G2220" t="s">
        <v>20</v>
      </c>
      <c r="H2220" t="s">
        <v>84</v>
      </c>
      <c r="I2220" t="s">
        <v>85</v>
      </c>
      <c r="J2220">
        <v>4</v>
      </c>
      <c r="K2220">
        <v>280</v>
      </c>
      <c r="L2220">
        <v>0.05</v>
      </c>
      <c r="M2220">
        <v>1064</v>
      </c>
      <c r="N2220">
        <v>640</v>
      </c>
      <c r="O2220">
        <v>424</v>
      </c>
    </row>
    <row r="2221" spans="1:15" x14ac:dyDescent="0.25">
      <c r="A2221" t="s">
        <v>3284</v>
      </c>
      <c r="B2221" s="2">
        <v>47877</v>
      </c>
      <c r="C2221" t="s">
        <v>137</v>
      </c>
      <c r="D2221" t="s">
        <v>138</v>
      </c>
      <c r="E2221" t="s">
        <v>26</v>
      </c>
      <c r="F2221" t="s">
        <v>46</v>
      </c>
      <c r="G2221" t="s">
        <v>20</v>
      </c>
      <c r="H2221" t="s">
        <v>21</v>
      </c>
      <c r="I2221" t="s">
        <v>22</v>
      </c>
      <c r="J2221">
        <v>3</v>
      </c>
      <c r="K2221">
        <v>650</v>
      </c>
      <c r="L2221">
        <v>0.05</v>
      </c>
      <c r="M2221">
        <v>1852.5</v>
      </c>
      <c r="N2221">
        <v>1170</v>
      </c>
      <c r="O2221">
        <v>682.5</v>
      </c>
    </row>
    <row r="2222" spans="1:15" x14ac:dyDescent="0.25">
      <c r="A2222" t="s">
        <v>3285</v>
      </c>
      <c r="B2222" s="2">
        <v>47878</v>
      </c>
      <c r="C2222" t="s">
        <v>1602</v>
      </c>
      <c r="D2222" t="s">
        <v>1603</v>
      </c>
      <c r="E2222" t="s">
        <v>96</v>
      </c>
      <c r="F2222" t="s">
        <v>196</v>
      </c>
      <c r="G2222" t="s">
        <v>51</v>
      </c>
      <c r="H2222" t="s">
        <v>89</v>
      </c>
      <c r="I2222" t="s">
        <v>90</v>
      </c>
      <c r="J2222">
        <v>5</v>
      </c>
      <c r="K2222">
        <v>10500</v>
      </c>
      <c r="L2222">
        <v>0.15</v>
      </c>
      <c r="M2222">
        <v>44625</v>
      </c>
      <c r="N2222">
        <v>38000</v>
      </c>
      <c r="O2222">
        <v>6625</v>
      </c>
    </row>
    <row r="2223" spans="1:15" x14ac:dyDescent="0.25">
      <c r="A2223" t="s">
        <v>3286</v>
      </c>
      <c r="B2223" s="2">
        <v>47879</v>
      </c>
      <c r="C2223" t="s">
        <v>1831</v>
      </c>
      <c r="D2223" t="s">
        <v>1832</v>
      </c>
      <c r="E2223" t="s">
        <v>26</v>
      </c>
      <c r="F2223" t="s">
        <v>128</v>
      </c>
      <c r="G2223" t="s">
        <v>57</v>
      </c>
      <c r="H2223" t="s">
        <v>188</v>
      </c>
      <c r="I2223" t="s">
        <v>189</v>
      </c>
      <c r="J2223">
        <v>5</v>
      </c>
      <c r="K2223">
        <v>6200</v>
      </c>
      <c r="L2223">
        <v>0</v>
      </c>
      <c r="M2223">
        <v>31000</v>
      </c>
      <c r="N2223">
        <v>21500</v>
      </c>
      <c r="O2223">
        <v>9500</v>
      </c>
    </row>
    <row r="2224" spans="1:15" x14ac:dyDescent="0.25">
      <c r="A2224" t="s">
        <v>3287</v>
      </c>
      <c r="B2224" s="2">
        <v>47880</v>
      </c>
      <c r="C2224" t="s">
        <v>926</v>
      </c>
      <c r="D2224" t="s">
        <v>927</v>
      </c>
      <c r="E2224" t="s">
        <v>39</v>
      </c>
      <c r="F2224" t="s">
        <v>40</v>
      </c>
      <c r="G2224" t="s">
        <v>57</v>
      </c>
      <c r="H2224" t="s">
        <v>188</v>
      </c>
      <c r="I2224" t="s">
        <v>189</v>
      </c>
      <c r="J2224">
        <v>2</v>
      </c>
      <c r="K2224">
        <v>6200</v>
      </c>
      <c r="L2224">
        <v>0.1</v>
      </c>
      <c r="M2224">
        <v>11160</v>
      </c>
      <c r="N2224">
        <v>8600</v>
      </c>
      <c r="O2224">
        <v>2560</v>
      </c>
    </row>
    <row r="2225" spans="1:15" x14ac:dyDescent="0.25">
      <c r="A2225" t="s">
        <v>3288</v>
      </c>
      <c r="B2225" s="2">
        <v>47881</v>
      </c>
      <c r="C2225" t="s">
        <v>643</v>
      </c>
      <c r="D2225" t="s">
        <v>644</v>
      </c>
      <c r="E2225" t="s">
        <v>26</v>
      </c>
      <c r="F2225" t="s">
        <v>34</v>
      </c>
      <c r="G2225" t="s">
        <v>51</v>
      </c>
      <c r="H2225" t="s">
        <v>21</v>
      </c>
      <c r="I2225" t="s">
        <v>116</v>
      </c>
      <c r="J2225">
        <v>5</v>
      </c>
      <c r="K2225">
        <v>1400</v>
      </c>
      <c r="L2225">
        <v>0.2</v>
      </c>
      <c r="M2225">
        <v>5600</v>
      </c>
      <c r="N2225">
        <v>4500</v>
      </c>
      <c r="O2225">
        <v>1100</v>
      </c>
    </row>
    <row r="2226" spans="1:15" x14ac:dyDescent="0.25">
      <c r="A2226" t="s">
        <v>3289</v>
      </c>
      <c r="B2226" s="2">
        <v>47882</v>
      </c>
      <c r="C2226" t="s">
        <v>948</v>
      </c>
      <c r="D2226" t="s">
        <v>949</v>
      </c>
      <c r="E2226" t="s">
        <v>39</v>
      </c>
      <c r="F2226" t="s">
        <v>124</v>
      </c>
      <c r="G2226" t="s">
        <v>51</v>
      </c>
      <c r="H2226" t="s">
        <v>89</v>
      </c>
      <c r="I2226" t="s">
        <v>90</v>
      </c>
      <c r="J2226">
        <v>5</v>
      </c>
      <c r="K2226">
        <v>10500</v>
      </c>
      <c r="L2226">
        <v>0.2</v>
      </c>
      <c r="M2226">
        <v>42000</v>
      </c>
      <c r="N2226">
        <v>38000</v>
      </c>
      <c r="O2226">
        <v>4000</v>
      </c>
    </row>
    <row r="2227" spans="1:15" x14ac:dyDescent="0.25">
      <c r="A2227" t="s">
        <v>3290</v>
      </c>
      <c r="B2227" s="2">
        <v>47883</v>
      </c>
      <c r="C2227" t="s">
        <v>107</v>
      </c>
      <c r="D2227" t="s">
        <v>108</v>
      </c>
      <c r="E2227" t="s">
        <v>18</v>
      </c>
      <c r="F2227" t="s">
        <v>19</v>
      </c>
      <c r="G2227" t="s">
        <v>57</v>
      </c>
      <c r="H2227" t="s">
        <v>104</v>
      </c>
      <c r="I2227" t="s">
        <v>105</v>
      </c>
      <c r="J2227">
        <v>1</v>
      </c>
      <c r="K2227">
        <v>7500</v>
      </c>
      <c r="L2227">
        <v>0.05</v>
      </c>
      <c r="M2227">
        <v>7125</v>
      </c>
      <c r="N2227">
        <v>5200</v>
      </c>
      <c r="O2227">
        <v>1925</v>
      </c>
    </row>
    <row r="2228" spans="1:15" x14ac:dyDescent="0.25">
      <c r="A2228" t="s">
        <v>3291</v>
      </c>
      <c r="B2228" s="2">
        <v>47884</v>
      </c>
      <c r="C2228" t="s">
        <v>1111</v>
      </c>
      <c r="D2228" t="s">
        <v>1112</v>
      </c>
      <c r="E2228" t="s">
        <v>39</v>
      </c>
      <c r="F2228" t="s">
        <v>71</v>
      </c>
      <c r="G2228" t="s">
        <v>28</v>
      </c>
      <c r="H2228" t="s">
        <v>29</v>
      </c>
      <c r="I2228" t="s">
        <v>30</v>
      </c>
      <c r="J2228">
        <v>2</v>
      </c>
      <c r="K2228">
        <v>1900</v>
      </c>
      <c r="L2228">
        <v>0.05</v>
      </c>
      <c r="M2228">
        <v>3610</v>
      </c>
      <c r="N2228">
        <v>2500</v>
      </c>
      <c r="O2228">
        <v>1110</v>
      </c>
    </row>
    <row r="2229" spans="1:15" x14ac:dyDescent="0.25">
      <c r="A2229" t="s">
        <v>3292</v>
      </c>
      <c r="B2229" s="2">
        <v>47885</v>
      </c>
      <c r="C2229" t="s">
        <v>291</v>
      </c>
      <c r="D2229" t="s">
        <v>292</v>
      </c>
      <c r="E2229" t="s">
        <v>26</v>
      </c>
      <c r="F2229" t="s">
        <v>46</v>
      </c>
      <c r="G2229" t="s">
        <v>51</v>
      </c>
      <c r="H2229" t="s">
        <v>52</v>
      </c>
      <c r="I2229" t="s">
        <v>208</v>
      </c>
      <c r="J2229">
        <v>4</v>
      </c>
      <c r="K2229">
        <v>2800</v>
      </c>
      <c r="L2229">
        <v>0.2</v>
      </c>
      <c r="M2229">
        <v>8960</v>
      </c>
      <c r="N2229">
        <v>7200</v>
      </c>
      <c r="O2229">
        <v>1760</v>
      </c>
    </row>
    <row r="2230" spans="1:15" x14ac:dyDescent="0.25">
      <c r="A2230" t="s">
        <v>3293</v>
      </c>
      <c r="B2230" s="2">
        <v>47886</v>
      </c>
      <c r="C2230" t="s">
        <v>198</v>
      </c>
      <c r="D2230" t="s">
        <v>199</v>
      </c>
      <c r="E2230" t="s">
        <v>39</v>
      </c>
      <c r="F2230" t="s">
        <v>124</v>
      </c>
      <c r="G2230" t="s">
        <v>51</v>
      </c>
      <c r="H2230" t="s">
        <v>52</v>
      </c>
      <c r="I2230" t="s">
        <v>53</v>
      </c>
      <c r="J2230">
        <v>5</v>
      </c>
      <c r="K2230">
        <v>2200</v>
      </c>
      <c r="L2230">
        <v>0.1</v>
      </c>
      <c r="M2230">
        <v>9900</v>
      </c>
      <c r="N2230">
        <v>7250</v>
      </c>
      <c r="O2230">
        <v>2650</v>
      </c>
    </row>
    <row r="2231" spans="1:15" x14ac:dyDescent="0.25">
      <c r="A2231" t="s">
        <v>3294</v>
      </c>
      <c r="B2231" s="2">
        <v>47887</v>
      </c>
      <c r="C2231" t="s">
        <v>817</v>
      </c>
      <c r="D2231" t="s">
        <v>818</v>
      </c>
      <c r="E2231" t="s">
        <v>96</v>
      </c>
      <c r="F2231" t="s">
        <v>120</v>
      </c>
      <c r="G2231" t="s">
        <v>51</v>
      </c>
      <c r="H2231" t="s">
        <v>52</v>
      </c>
      <c r="I2231" t="s">
        <v>208</v>
      </c>
      <c r="J2231">
        <v>2</v>
      </c>
      <c r="K2231">
        <v>2800</v>
      </c>
      <c r="L2231">
        <v>0.05</v>
      </c>
      <c r="M2231">
        <v>5320</v>
      </c>
      <c r="N2231">
        <v>3600</v>
      </c>
      <c r="O2231">
        <v>1720</v>
      </c>
    </row>
    <row r="2232" spans="1:15" x14ac:dyDescent="0.25">
      <c r="A2232" t="s">
        <v>3295</v>
      </c>
      <c r="B2232" s="2">
        <v>47888</v>
      </c>
      <c r="C2232" t="s">
        <v>1308</v>
      </c>
      <c r="D2232" t="s">
        <v>1309</v>
      </c>
      <c r="E2232" t="s">
        <v>39</v>
      </c>
      <c r="F2232" t="s">
        <v>40</v>
      </c>
      <c r="G2232" t="s">
        <v>57</v>
      </c>
      <c r="H2232" t="s">
        <v>104</v>
      </c>
      <c r="I2232" t="s">
        <v>105</v>
      </c>
      <c r="J2232">
        <v>1</v>
      </c>
      <c r="K2232">
        <v>7500</v>
      </c>
      <c r="L2232">
        <v>0.1</v>
      </c>
      <c r="M2232">
        <v>6750</v>
      </c>
      <c r="N2232">
        <v>5200</v>
      </c>
      <c r="O2232">
        <v>1550</v>
      </c>
    </row>
    <row r="2233" spans="1:15" x14ac:dyDescent="0.25">
      <c r="A2233" t="s">
        <v>3296</v>
      </c>
      <c r="B2233" s="2">
        <v>47889</v>
      </c>
      <c r="C2233" t="s">
        <v>559</v>
      </c>
      <c r="D2233" t="s">
        <v>560</v>
      </c>
      <c r="E2233" t="s">
        <v>18</v>
      </c>
      <c r="F2233" t="s">
        <v>227</v>
      </c>
      <c r="G2233" t="s">
        <v>28</v>
      </c>
      <c r="H2233" t="s">
        <v>63</v>
      </c>
      <c r="I2233" t="s">
        <v>64</v>
      </c>
      <c r="J2233">
        <v>5</v>
      </c>
      <c r="K2233">
        <v>2400</v>
      </c>
      <c r="L2233">
        <v>0.1</v>
      </c>
      <c r="M2233">
        <v>10800</v>
      </c>
      <c r="N2233">
        <v>8250</v>
      </c>
      <c r="O2233">
        <v>2550</v>
      </c>
    </row>
    <row r="2234" spans="1:15" x14ac:dyDescent="0.25">
      <c r="A2234" t="s">
        <v>3297</v>
      </c>
      <c r="B2234" s="2">
        <v>47890</v>
      </c>
      <c r="C2234" t="s">
        <v>1124</v>
      </c>
      <c r="D2234" t="s">
        <v>1125</v>
      </c>
      <c r="E2234" t="s">
        <v>26</v>
      </c>
      <c r="F2234" t="s">
        <v>128</v>
      </c>
      <c r="G2234" t="s">
        <v>20</v>
      </c>
      <c r="H2234" t="s">
        <v>84</v>
      </c>
      <c r="I2234" t="s">
        <v>169</v>
      </c>
      <c r="J2234">
        <v>5</v>
      </c>
      <c r="K2234">
        <v>450</v>
      </c>
      <c r="L2234">
        <v>0.05</v>
      </c>
      <c r="M2234">
        <v>2137.5</v>
      </c>
      <c r="N2234">
        <v>1300</v>
      </c>
      <c r="O2234">
        <v>837.5</v>
      </c>
    </row>
    <row r="2235" spans="1:15" x14ac:dyDescent="0.25">
      <c r="A2235" t="s">
        <v>3298</v>
      </c>
      <c r="B2235" s="2">
        <v>47891</v>
      </c>
      <c r="C2235" t="s">
        <v>1758</v>
      </c>
      <c r="D2235" t="s">
        <v>1759</v>
      </c>
      <c r="E2235" t="s">
        <v>26</v>
      </c>
      <c r="F2235" t="s">
        <v>128</v>
      </c>
      <c r="G2235" t="s">
        <v>51</v>
      </c>
      <c r="H2235" t="s">
        <v>21</v>
      </c>
      <c r="I2235" t="s">
        <v>72</v>
      </c>
      <c r="J2235">
        <v>4</v>
      </c>
      <c r="K2235">
        <v>1800</v>
      </c>
      <c r="L2235">
        <v>0.1</v>
      </c>
      <c r="M2235">
        <v>6480</v>
      </c>
      <c r="N2235">
        <v>4400</v>
      </c>
      <c r="O2235">
        <v>2080</v>
      </c>
    </row>
    <row r="2236" spans="1:15" x14ac:dyDescent="0.25">
      <c r="A2236" t="s">
        <v>3299</v>
      </c>
      <c r="B2236" s="2">
        <v>47892</v>
      </c>
      <c r="C2236" t="s">
        <v>828</v>
      </c>
      <c r="D2236" t="s">
        <v>829</v>
      </c>
      <c r="E2236" t="s">
        <v>39</v>
      </c>
      <c r="F2236" t="s">
        <v>76</v>
      </c>
      <c r="G2236" t="s">
        <v>57</v>
      </c>
      <c r="H2236" t="s">
        <v>188</v>
      </c>
      <c r="I2236" t="s">
        <v>189</v>
      </c>
      <c r="J2236">
        <v>4</v>
      </c>
      <c r="K2236">
        <v>6200</v>
      </c>
      <c r="L2236">
        <v>0.2</v>
      </c>
      <c r="M2236">
        <v>19840</v>
      </c>
      <c r="N2236">
        <v>17200</v>
      </c>
      <c r="O2236">
        <v>2640</v>
      </c>
    </row>
    <row r="2237" spans="1:15" x14ac:dyDescent="0.25">
      <c r="A2237" t="s">
        <v>3300</v>
      </c>
      <c r="B2237" s="2">
        <v>47893</v>
      </c>
      <c r="C2237" t="s">
        <v>1243</v>
      </c>
      <c r="D2237" t="s">
        <v>1244</v>
      </c>
      <c r="E2237" t="s">
        <v>96</v>
      </c>
      <c r="F2237" t="s">
        <v>200</v>
      </c>
      <c r="G2237" t="s">
        <v>28</v>
      </c>
      <c r="H2237" t="s">
        <v>29</v>
      </c>
      <c r="I2237" t="s">
        <v>35</v>
      </c>
      <c r="J2237">
        <v>5</v>
      </c>
      <c r="K2237">
        <v>4200</v>
      </c>
      <c r="L2237">
        <v>0</v>
      </c>
      <c r="M2237">
        <v>21000</v>
      </c>
      <c r="N2237">
        <v>14500</v>
      </c>
      <c r="O2237">
        <v>6500</v>
      </c>
    </row>
    <row r="2238" spans="1:15" x14ac:dyDescent="0.25">
      <c r="A2238" t="s">
        <v>3301</v>
      </c>
      <c r="B2238" s="2">
        <v>47894</v>
      </c>
      <c r="C2238" t="s">
        <v>1720</v>
      </c>
      <c r="D2238" t="s">
        <v>1721</v>
      </c>
      <c r="E2238" t="s">
        <v>96</v>
      </c>
      <c r="F2238" t="s">
        <v>196</v>
      </c>
      <c r="G2238" t="s">
        <v>57</v>
      </c>
      <c r="H2238" t="s">
        <v>58</v>
      </c>
      <c r="I2238" t="s">
        <v>129</v>
      </c>
      <c r="J2238">
        <v>1</v>
      </c>
      <c r="K2238">
        <v>4800</v>
      </c>
      <c r="L2238">
        <v>0.1</v>
      </c>
      <c r="M2238">
        <v>4320</v>
      </c>
      <c r="N2238">
        <v>3300</v>
      </c>
      <c r="O2238">
        <v>1020</v>
      </c>
    </row>
    <row r="2239" spans="1:15" x14ac:dyDescent="0.25">
      <c r="A2239" t="s">
        <v>3302</v>
      </c>
      <c r="B2239" s="2">
        <v>47895</v>
      </c>
      <c r="C2239" t="s">
        <v>2019</v>
      </c>
      <c r="D2239" t="s">
        <v>2020</v>
      </c>
      <c r="E2239" t="s">
        <v>96</v>
      </c>
      <c r="F2239" t="s">
        <v>200</v>
      </c>
      <c r="G2239" t="s">
        <v>20</v>
      </c>
      <c r="H2239" t="s">
        <v>84</v>
      </c>
      <c r="I2239" t="s">
        <v>85</v>
      </c>
      <c r="J2239">
        <v>5</v>
      </c>
      <c r="K2239">
        <v>280</v>
      </c>
      <c r="L2239">
        <v>0.05</v>
      </c>
      <c r="M2239">
        <v>1330</v>
      </c>
      <c r="N2239">
        <v>800</v>
      </c>
      <c r="O2239">
        <v>530</v>
      </c>
    </row>
    <row r="2240" spans="1:15" x14ac:dyDescent="0.25">
      <c r="A2240" t="s">
        <v>3303</v>
      </c>
      <c r="B2240" s="2">
        <v>47896</v>
      </c>
      <c r="C2240" t="s">
        <v>55</v>
      </c>
      <c r="D2240" t="s">
        <v>56</v>
      </c>
      <c r="E2240" t="s">
        <v>96</v>
      </c>
      <c r="F2240" t="s">
        <v>120</v>
      </c>
      <c r="G2240" t="s">
        <v>20</v>
      </c>
      <c r="H2240" t="s">
        <v>84</v>
      </c>
      <c r="I2240" t="s">
        <v>169</v>
      </c>
      <c r="J2240">
        <v>2</v>
      </c>
      <c r="K2240">
        <v>450</v>
      </c>
      <c r="L2240">
        <v>0</v>
      </c>
      <c r="M2240">
        <v>900</v>
      </c>
      <c r="N2240">
        <v>520</v>
      </c>
      <c r="O2240">
        <v>380</v>
      </c>
    </row>
    <row r="2241" spans="1:15" x14ac:dyDescent="0.25">
      <c r="A2241" t="s">
        <v>3304</v>
      </c>
      <c r="B2241" s="2">
        <v>47897</v>
      </c>
      <c r="C2241" t="s">
        <v>2031</v>
      </c>
      <c r="D2241" t="s">
        <v>2032</v>
      </c>
      <c r="E2241" t="s">
        <v>26</v>
      </c>
      <c r="F2241" t="s">
        <v>46</v>
      </c>
      <c r="G2241" t="s">
        <v>20</v>
      </c>
      <c r="H2241" t="s">
        <v>84</v>
      </c>
      <c r="I2241" t="s">
        <v>169</v>
      </c>
      <c r="J2241">
        <v>1</v>
      </c>
      <c r="K2241">
        <v>450</v>
      </c>
      <c r="L2241">
        <v>0.05</v>
      </c>
      <c r="M2241">
        <v>427.5</v>
      </c>
      <c r="N2241">
        <v>260</v>
      </c>
      <c r="O2241">
        <v>167.5</v>
      </c>
    </row>
    <row r="2242" spans="1:15" x14ac:dyDescent="0.25">
      <c r="A2242" t="s">
        <v>3305</v>
      </c>
      <c r="B2242" s="2">
        <v>47898</v>
      </c>
      <c r="C2242" t="s">
        <v>1176</v>
      </c>
      <c r="D2242" t="s">
        <v>1177</v>
      </c>
      <c r="E2242" t="s">
        <v>26</v>
      </c>
      <c r="F2242" t="s">
        <v>204</v>
      </c>
      <c r="G2242" t="s">
        <v>51</v>
      </c>
      <c r="H2242" t="s">
        <v>52</v>
      </c>
      <c r="I2242" t="s">
        <v>53</v>
      </c>
      <c r="J2242">
        <v>2</v>
      </c>
      <c r="K2242">
        <v>2200</v>
      </c>
      <c r="L2242">
        <v>0.2</v>
      </c>
      <c r="M2242">
        <v>3520</v>
      </c>
      <c r="N2242">
        <v>2900</v>
      </c>
      <c r="O2242">
        <v>620</v>
      </c>
    </row>
    <row r="2243" spans="1:15" x14ac:dyDescent="0.25">
      <c r="A2243" t="s">
        <v>3306</v>
      </c>
      <c r="B2243" s="2">
        <v>47899</v>
      </c>
      <c r="C2243" t="s">
        <v>2648</v>
      </c>
      <c r="D2243" t="s">
        <v>2649</v>
      </c>
      <c r="E2243" t="s">
        <v>96</v>
      </c>
      <c r="F2243" t="s">
        <v>120</v>
      </c>
      <c r="G2243" t="s">
        <v>51</v>
      </c>
      <c r="H2243" t="s">
        <v>21</v>
      </c>
      <c r="I2243" t="s">
        <v>116</v>
      </c>
      <c r="J2243">
        <v>1</v>
      </c>
      <c r="K2243">
        <v>1400</v>
      </c>
      <c r="L2243">
        <v>0</v>
      </c>
      <c r="M2243">
        <v>1400</v>
      </c>
      <c r="N2243">
        <v>900</v>
      </c>
      <c r="O2243">
        <v>500</v>
      </c>
    </row>
    <row r="2244" spans="1:15" x14ac:dyDescent="0.25">
      <c r="A2244" t="s">
        <v>3307</v>
      </c>
      <c r="B2244" s="2">
        <v>47900</v>
      </c>
      <c r="C2244" t="s">
        <v>838</v>
      </c>
      <c r="D2244" t="s">
        <v>839</v>
      </c>
      <c r="E2244" t="s">
        <v>39</v>
      </c>
      <c r="F2244" t="s">
        <v>71</v>
      </c>
      <c r="G2244" t="s">
        <v>28</v>
      </c>
      <c r="H2244" t="s">
        <v>29</v>
      </c>
      <c r="I2244" t="s">
        <v>47</v>
      </c>
      <c r="J2244">
        <v>4</v>
      </c>
      <c r="K2244">
        <v>6800</v>
      </c>
      <c r="L2244">
        <v>0.15</v>
      </c>
      <c r="M2244">
        <v>23120</v>
      </c>
      <c r="N2244">
        <v>18800</v>
      </c>
      <c r="O2244">
        <v>4320</v>
      </c>
    </row>
    <row r="2245" spans="1:15" x14ac:dyDescent="0.25">
      <c r="A2245" t="s">
        <v>3308</v>
      </c>
      <c r="B2245" s="2">
        <v>47901</v>
      </c>
      <c r="C2245" t="s">
        <v>3063</v>
      </c>
      <c r="D2245" t="s">
        <v>3064</v>
      </c>
      <c r="E2245" t="s">
        <v>26</v>
      </c>
      <c r="F2245" t="s">
        <v>204</v>
      </c>
      <c r="G2245" t="s">
        <v>51</v>
      </c>
      <c r="H2245" t="s">
        <v>21</v>
      </c>
      <c r="I2245" t="s">
        <v>72</v>
      </c>
      <c r="J2245">
        <v>2</v>
      </c>
      <c r="K2245">
        <v>1800</v>
      </c>
      <c r="L2245">
        <v>0.15</v>
      </c>
      <c r="M2245">
        <v>3060</v>
      </c>
      <c r="N2245">
        <v>2200</v>
      </c>
      <c r="O2245">
        <v>860</v>
      </c>
    </row>
    <row r="2246" spans="1:15" x14ac:dyDescent="0.25">
      <c r="A2246" t="s">
        <v>3309</v>
      </c>
      <c r="B2246" s="2">
        <v>47902</v>
      </c>
      <c r="C2246" t="s">
        <v>1750</v>
      </c>
      <c r="D2246" t="s">
        <v>1751</v>
      </c>
      <c r="E2246" t="s">
        <v>39</v>
      </c>
      <c r="F2246" t="s">
        <v>71</v>
      </c>
      <c r="G2246" t="s">
        <v>28</v>
      </c>
      <c r="H2246" t="s">
        <v>63</v>
      </c>
      <c r="I2246" t="s">
        <v>64</v>
      </c>
      <c r="J2246">
        <v>1</v>
      </c>
      <c r="K2246">
        <v>2400</v>
      </c>
      <c r="L2246">
        <v>0.1</v>
      </c>
      <c r="M2246">
        <v>2160</v>
      </c>
      <c r="N2246">
        <v>1650</v>
      </c>
      <c r="O2246">
        <v>510</v>
      </c>
    </row>
    <row r="2247" spans="1:15" x14ac:dyDescent="0.25">
      <c r="A2247" t="s">
        <v>3310</v>
      </c>
      <c r="B2247" s="2">
        <v>47903</v>
      </c>
      <c r="C2247" t="s">
        <v>1563</v>
      </c>
      <c r="D2247" t="s">
        <v>1564</v>
      </c>
      <c r="E2247" t="s">
        <v>26</v>
      </c>
      <c r="F2247" t="s">
        <v>128</v>
      </c>
      <c r="G2247" t="s">
        <v>57</v>
      </c>
      <c r="H2247" t="s">
        <v>188</v>
      </c>
      <c r="I2247" t="s">
        <v>189</v>
      </c>
      <c r="J2247">
        <v>4</v>
      </c>
      <c r="K2247">
        <v>6200</v>
      </c>
      <c r="L2247">
        <v>0.1</v>
      </c>
      <c r="M2247">
        <v>22320</v>
      </c>
      <c r="N2247">
        <v>17200</v>
      </c>
      <c r="O2247">
        <v>5120</v>
      </c>
    </row>
    <row r="2248" spans="1:15" x14ac:dyDescent="0.25">
      <c r="A2248" t="s">
        <v>3311</v>
      </c>
      <c r="B2248" s="2">
        <v>47904</v>
      </c>
      <c r="C2248" t="s">
        <v>728</v>
      </c>
      <c r="D2248" t="s">
        <v>729</v>
      </c>
      <c r="E2248" t="s">
        <v>26</v>
      </c>
      <c r="F2248" t="s">
        <v>34</v>
      </c>
      <c r="G2248" t="s">
        <v>20</v>
      </c>
      <c r="H2248" t="s">
        <v>84</v>
      </c>
      <c r="I2248" t="s">
        <v>210</v>
      </c>
      <c r="J2248">
        <v>3</v>
      </c>
      <c r="K2248">
        <v>300</v>
      </c>
      <c r="L2248">
        <v>0.15</v>
      </c>
      <c r="M2248">
        <v>765</v>
      </c>
      <c r="N2248">
        <v>510</v>
      </c>
      <c r="O2248">
        <v>255</v>
      </c>
    </row>
    <row r="2249" spans="1:15" x14ac:dyDescent="0.25">
      <c r="A2249" t="s">
        <v>3312</v>
      </c>
      <c r="B2249" s="2">
        <v>47905</v>
      </c>
      <c r="C2249" t="s">
        <v>134</v>
      </c>
      <c r="D2249" t="s">
        <v>135</v>
      </c>
      <c r="E2249" t="s">
        <v>26</v>
      </c>
      <c r="F2249" t="s">
        <v>27</v>
      </c>
      <c r="G2249" t="s">
        <v>51</v>
      </c>
      <c r="H2249" t="s">
        <v>21</v>
      </c>
      <c r="I2249" t="s">
        <v>72</v>
      </c>
      <c r="J2249">
        <v>5</v>
      </c>
      <c r="K2249">
        <v>1800</v>
      </c>
      <c r="L2249">
        <v>0.05</v>
      </c>
      <c r="M2249">
        <v>8550</v>
      </c>
      <c r="N2249">
        <v>5500</v>
      </c>
      <c r="O2249">
        <v>3050</v>
      </c>
    </row>
    <row r="2250" spans="1:15" x14ac:dyDescent="0.25">
      <c r="A2250" t="s">
        <v>3313</v>
      </c>
      <c r="B2250" s="2">
        <v>47906</v>
      </c>
      <c r="C2250" t="s">
        <v>1920</v>
      </c>
      <c r="D2250" t="s">
        <v>1921</v>
      </c>
      <c r="E2250" t="s">
        <v>26</v>
      </c>
      <c r="F2250" t="s">
        <v>204</v>
      </c>
      <c r="G2250" t="s">
        <v>57</v>
      </c>
      <c r="H2250" t="s">
        <v>188</v>
      </c>
      <c r="I2250" t="s">
        <v>189</v>
      </c>
      <c r="J2250">
        <v>1</v>
      </c>
      <c r="K2250">
        <v>6200</v>
      </c>
      <c r="L2250">
        <v>0.1</v>
      </c>
      <c r="M2250">
        <v>5580</v>
      </c>
      <c r="N2250">
        <v>4300</v>
      </c>
      <c r="O2250">
        <v>1280</v>
      </c>
    </row>
    <row r="2251" spans="1:15" x14ac:dyDescent="0.25">
      <c r="A2251" t="s">
        <v>3314</v>
      </c>
      <c r="B2251" s="2">
        <v>47907</v>
      </c>
      <c r="C2251" t="s">
        <v>1720</v>
      </c>
      <c r="D2251" t="s">
        <v>1721</v>
      </c>
      <c r="E2251" t="s">
        <v>96</v>
      </c>
      <c r="F2251" t="s">
        <v>120</v>
      </c>
      <c r="G2251" t="s">
        <v>20</v>
      </c>
      <c r="H2251" t="s">
        <v>84</v>
      </c>
      <c r="I2251" t="s">
        <v>169</v>
      </c>
      <c r="J2251">
        <v>4</v>
      </c>
      <c r="K2251">
        <v>450</v>
      </c>
      <c r="L2251">
        <v>0</v>
      </c>
      <c r="M2251">
        <v>1800</v>
      </c>
      <c r="N2251">
        <v>1040</v>
      </c>
      <c r="O2251">
        <v>760</v>
      </c>
    </row>
    <row r="2252" spans="1:15" x14ac:dyDescent="0.25">
      <c r="A2252" t="s">
        <v>3315</v>
      </c>
      <c r="B2252" s="2">
        <v>47908</v>
      </c>
      <c r="C2252" t="s">
        <v>369</v>
      </c>
      <c r="D2252" t="s">
        <v>370</v>
      </c>
      <c r="E2252" t="s">
        <v>26</v>
      </c>
      <c r="F2252" t="s">
        <v>27</v>
      </c>
      <c r="G2252" t="s">
        <v>51</v>
      </c>
      <c r="H2252" t="s">
        <v>52</v>
      </c>
      <c r="I2252" t="s">
        <v>53</v>
      </c>
      <c r="J2252">
        <v>1</v>
      </c>
      <c r="K2252">
        <v>2200</v>
      </c>
      <c r="L2252">
        <v>0.05</v>
      </c>
      <c r="M2252">
        <v>2090</v>
      </c>
      <c r="N2252">
        <v>1450</v>
      </c>
      <c r="O2252">
        <v>640</v>
      </c>
    </row>
    <row r="2253" spans="1:15" x14ac:dyDescent="0.25">
      <c r="A2253" t="s">
        <v>3316</v>
      </c>
      <c r="B2253" s="2">
        <v>47909</v>
      </c>
      <c r="C2253" t="s">
        <v>915</v>
      </c>
      <c r="D2253" t="s">
        <v>916</v>
      </c>
      <c r="E2253" t="s">
        <v>26</v>
      </c>
      <c r="F2253" t="s">
        <v>46</v>
      </c>
      <c r="G2253" t="s">
        <v>28</v>
      </c>
      <c r="H2253" t="s">
        <v>29</v>
      </c>
      <c r="I2253" t="s">
        <v>30</v>
      </c>
      <c r="J2253">
        <v>1</v>
      </c>
      <c r="K2253">
        <v>1900</v>
      </c>
      <c r="L2253">
        <v>0</v>
      </c>
      <c r="M2253">
        <v>1900</v>
      </c>
      <c r="N2253">
        <v>1250</v>
      </c>
      <c r="O2253">
        <v>650</v>
      </c>
    </row>
    <row r="2254" spans="1:15" x14ac:dyDescent="0.25">
      <c r="A2254" t="s">
        <v>3317</v>
      </c>
      <c r="B2254" s="2">
        <v>47910</v>
      </c>
      <c r="C2254" t="s">
        <v>1494</v>
      </c>
      <c r="D2254" t="s">
        <v>1495</v>
      </c>
      <c r="E2254" t="s">
        <v>39</v>
      </c>
      <c r="F2254" t="s">
        <v>76</v>
      </c>
      <c r="G2254" t="s">
        <v>28</v>
      </c>
      <c r="H2254" t="s">
        <v>63</v>
      </c>
      <c r="I2254" t="s">
        <v>64</v>
      </c>
      <c r="J2254">
        <v>4</v>
      </c>
      <c r="K2254">
        <v>2400</v>
      </c>
      <c r="L2254">
        <v>0.2</v>
      </c>
      <c r="M2254">
        <v>7680</v>
      </c>
      <c r="N2254">
        <v>6600</v>
      </c>
      <c r="O2254">
        <v>1080</v>
      </c>
    </row>
    <row r="2255" spans="1:15" x14ac:dyDescent="0.25">
      <c r="A2255" t="s">
        <v>3318</v>
      </c>
      <c r="B2255" s="2">
        <v>47911</v>
      </c>
      <c r="C2255" t="s">
        <v>790</v>
      </c>
      <c r="D2255" t="s">
        <v>791</v>
      </c>
      <c r="E2255" t="s">
        <v>39</v>
      </c>
      <c r="F2255" t="s">
        <v>40</v>
      </c>
      <c r="G2255" t="s">
        <v>20</v>
      </c>
      <c r="H2255" t="s">
        <v>84</v>
      </c>
      <c r="I2255" t="s">
        <v>210</v>
      </c>
      <c r="J2255">
        <v>2</v>
      </c>
      <c r="K2255">
        <v>300</v>
      </c>
      <c r="L2255">
        <v>0.15</v>
      </c>
      <c r="M2255">
        <v>510</v>
      </c>
      <c r="N2255">
        <v>340</v>
      </c>
      <c r="O2255">
        <v>170</v>
      </c>
    </row>
    <row r="2256" spans="1:15" x14ac:dyDescent="0.25">
      <c r="A2256" t="s">
        <v>3319</v>
      </c>
      <c r="B2256" s="2">
        <v>47912</v>
      </c>
      <c r="C2256" t="s">
        <v>1240</v>
      </c>
      <c r="D2256" t="s">
        <v>1241</v>
      </c>
      <c r="E2256" t="s">
        <v>39</v>
      </c>
      <c r="F2256" t="s">
        <v>71</v>
      </c>
      <c r="G2256" t="s">
        <v>20</v>
      </c>
      <c r="H2256" t="s">
        <v>84</v>
      </c>
      <c r="I2256" t="s">
        <v>210</v>
      </c>
      <c r="J2256">
        <v>5</v>
      </c>
      <c r="K2256">
        <v>300</v>
      </c>
      <c r="L2256">
        <v>0.1</v>
      </c>
      <c r="M2256">
        <v>1350</v>
      </c>
      <c r="N2256">
        <v>850</v>
      </c>
      <c r="O2256">
        <v>500</v>
      </c>
    </row>
    <row r="2257" spans="1:15" x14ac:dyDescent="0.25">
      <c r="A2257" t="s">
        <v>3320</v>
      </c>
      <c r="B2257" s="2">
        <v>47913</v>
      </c>
      <c r="C2257" t="s">
        <v>2131</v>
      </c>
      <c r="D2257" t="s">
        <v>2132</v>
      </c>
      <c r="E2257" t="s">
        <v>39</v>
      </c>
      <c r="F2257" t="s">
        <v>40</v>
      </c>
      <c r="G2257" t="s">
        <v>28</v>
      </c>
      <c r="H2257" t="s">
        <v>29</v>
      </c>
      <c r="I2257" t="s">
        <v>35</v>
      </c>
      <c r="J2257">
        <v>2</v>
      </c>
      <c r="K2257">
        <v>4200</v>
      </c>
      <c r="L2257">
        <v>0.05</v>
      </c>
      <c r="M2257">
        <v>7980</v>
      </c>
      <c r="N2257">
        <v>5800</v>
      </c>
      <c r="O2257">
        <v>2180</v>
      </c>
    </row>
    <row r="2258" spans="1:15" x14ac:dyDescent="0.25">
      <c r="A2258" t="s">
        <v>3321</v>
      </c>
      <c r="B2258" s="2">
        <v>47914</v>
      </c>
      <c r="C2258" t="s">
        <v>216</v>
      </c>
      <c r="D2258" t="s">
        <v>217</v>
      </c>
      <c r="E2258" t="s">
        <v>26</v>
      </c>
      <c r="F2258" t="s">
        <v>34</v>
      </c>
      <c r="G2258" t="s">
        <v>20</v>
      </c>
      <c r="H2258" t="s">
        <v>41</v>
      </c>
      <c r="I2258" t="s">
        <v>42</v>
      </c>
      <c r="J2258">
        <v>4</v>
      </c>
      <c r="K2258">
        <v>520</v>
      </c>
      <c r="L2258">
        <v>0.1</v>
      </c>
      <c r="M2258">
        <v>1872</v>
      </c>
      <c r="N2258">
        <v>1320</v>
      </c>
      <c r="O2258">
        <v>552</v>
      </c>
    </row>
    <row r="2259" spans="1:15" x14ac:dyDescent="0.25">
      <c r="A2259" t="s">
        <v>3322</v>
      </c>
      <c r="B2259" s="2">
        <v>47915</v>
      </c>
      <c r="C2259" t="s">
        <v>1623</v>
      </c>
      <c r="D2259" t="s">
        <v>1624</v>
      </c>
      <c r="E2259" t="s">
        <v>26</v>
      </c>
      <c r="F2259" t="s">
        <v>204</v>
      </c>
      <c r="G2259" t="s">
        <v>51</v>
      </c>
      <c r="H2259" t="s">
        <v>21</v>
      </c>
      <c r="I2259" t="s">
        <v>116</v>
      </c>
      <c r="J2259">
        <v>5</v>
      </c>
      <c r="K2259">
        <v>1400</v>
      </c>
      <c r="L2259">
        <v>0.05</v>
      </c>
      <c r="M2259">
        <v>6650</v>
      </c>
      <c r="N2259">
        <v>4500</v>
      </c>
      <c r="O2259">
        <v>2150</v>
      </c>
    </row>
    <row r="2260" spans="1:15" x14ac:dyDescent="0.25">
      <c r="A2260" t="s">
        <v>3323</v>
      </c>
      <c r="B2260" s="2">
        <v>47916</v>
      </c>
      <c r="C2260" t="s">
        <v>241</v>
      </c>
      <c r="D2260" t="s">
        <v>242</v>
      </c>
      <c r="E2260" t="s">
        <v>39</v>
      </c>
      <c r="F2260" t="s">
        <v>124</v>
      </c>
      <c r="G2260" t="s">
        <v>20</v>
      </c>
      <c r="H2260" t="s">
        <v>41</v>
      </c>
      <c r="I2260" t="s">
        <v>42</v>
      </c>
      <c r="J2260">
        <v>5</v>
      </c>
      <c r="K2260">
        <v>520</v>
      </c>
      <c r="L2260">
        <v>0.15</v>
      </c>
      <c r="M2260">
        <v>2210</v>
      </c>
      <c r="N2260">
        <v>1650</v>
      </c>
      <c r="O2260">
        <v>560</v>
      </c>
    </row>
    <row r="2261" spans="1:15" x14ac:dyDescent="0.25">
      <c r="A2261" t="s">
        <v>3324</v>
      </c>
      <c r="B2261" s="2">
        <v>47917</v>
      </c>
      <c r="C2261" t="s">
        <v>2518</v>
      </c>
      <c r="D2261" t="s">
        <v>2519</v>
      </c>
      <c r="E2261" t="s">
        <v>26</v>
      </c>
      <c r="F2261" t="s">
        <v>204</v>
      </c>
      <c r="G2261" t="s">
        <v>57</v>
      </c>
      <c r="H2261" t="s">
        <v>58</v>
      </c>
      <c r="I2261" t="s">
        <v>59</v>
      </c>
      <c r="J2261">
        <v>4</v>
      </c>
      <c r="K2261">
        <v>5600</v>
      </c>
      <c r="L2261">
        <v>0.05</v>
      </c>
      <c r="M2261">
        <v>21280</v>
      </c>
      <c r="N2261">
        <v>15600</v>
      </c>
      <c r="O2261">
        <v>5680</v>
      </c>
    </row>
    <row r="2262" spans="1:15" x14ac:dyDescent="0.25">
      <c r="A2262" t="s">
        <v>3325</v>
      </c>
      <c r="B2262" s="2">
        <v>47918</v>
      </c>
      <c r="C2262" t="s">
        <v>828</v>
      </c>
      <c r="D2262" t="s">
        <v>829</v>
      </c>
      <c r="E2262" t="s">
        <v>18</v>
      </c>
      <c r="F2262" t="s">
        <v>19</v>
      </c>
      <c r="G2262" t="s">
        <v>28</v>
      </c>
      <c r="H2262" t="s">
        <v>29</v>
      </c>
      <c r="I2262" t="s">
        <v>47</v>
      </c>
      <c r="J2262">
        <v>3</v>
      </c>
      <c r="K2262">
        <v>6800</v>
      </c>
      <c r="L2262">
        <v>0.2</v>
      </c>
      <c r="M2262">
        <v>16320</v>
      </c>
      <c r="N2262">
        <v>14100</v>
      </c>
      <c r="O2262">
        <v>2220</v>
      </c>
    </row>
    <row r="2263" spans="1:15" x14ac:dyDescent="0.25">
      <c r="A2263" t="s">
        <v>3326</v>
      </c>
      <c r="B2263" s="2">
        <v>47919</v>
      </c>
      <c r="C2263" t="s">
        <v>497</v>
      </c>
      <c r="D2263" t="s">
        <v>498</v>
      </c>
      <c r="E2263" t="s">
        <v>39</v>
      </c>
      <c r="F2263" t="s">
        <v>40</v>
      </c>
      <c r="G2263" t="s">
        <v>51</v>
      </c>
      <c r="H2263" t="s">
        <v>21</v>
      </c>
      <c r="I2263" t="s">
        <v>116</v>
      </c>
      <c r="J2263">
        <v>2</v>
      </c>
      <c r="K2263">
        <v>1400</v>
      </c>
      <c r="L2263">
        <v>0.1</v>
      </c>
      <c r="M2263">
        <v>2520</v>
      </c>
      <c r="N2263">
        <v>1800</v>
      </c>
      <c r="O2263">
        <v>720</v>
      </c>
    </row>
    <row r="2264" spans="1:15" x14ac:dyDescent="0.25">
      <c r="A2264" t="s">
        <v>3327</v>
      </c>
      <c r="B2264" s="2">
        <v>47920</v>
      </c>
      <c r="C2264" t="s">
        <v>688</v>
      </c>
      <c r="D2264" t="s">
        <v>689</v>
      </c>
      <c r="E2264" t="s">
        <v>39</v>
      </c>
      <c r="F2264" t="s">
        <v>71</v>
      </c>
      <c r="G2264" t="s">
        <v>51</v>
      </c>
      <c r="H2264" t="s">
        <v>89</v>
      </c>
      <c r="I2264" t="s">
        <v>90</v>
      </c>
      <c r="J2264">
        <v>3</v>
      </c>
      <c r="K2264">
        <v>10500</v>
      </c>
      <c r="L2264">
        <v>0.15</v>
      </c>
      <c r="M2264">
        <v>26775</v>
      </c>
      <c r="N2264">
        <v>22800</v>
      </c>
      <c r="O2264">
        <v>3975</v>
      </c>
    </row>
    <row r="2265" spans="1:15" x14ac:dyDescent="0.25">
      <c r="A2265" t="s">
        <v>3328</v>
      </c>
      <c r="B2265" s="2">
        <v>47921</v>
      </c>
      <c r="C2265" t="s">
        <v>2111</v>
      </c>
      <c r="D2265" t="s">
        <v>2112</v>
      </c>
      <c r="E2265" t="s">
        <v>26</v>
      </c>
      <c r="F2265" t="s">
        <v>128</v>
      </c>
      <c r="G2265" t="s">
        <v>51</v>
      </c>
      <c r="H2265" t="s">
        <v>89</v>
      </c>
      <c r="I2265" t="s">
        <v>90</v>
      </c>
      <c r="J2265">
        <v>1</v>
      </c>
      <c r="K2265">
        <v>10500</v>
      </c>
      <c r="L2265">
        <v>0.2</v>
      </c>
      <c r="M2265">
        <v>8400</v>
      </c>
      <c r="N2265">
        <v>7600</v>
      </c>
      <c r="O2265">
        <v>800</v>
      </c>
    </row>
    <row r="2266" spans="1:15" x14ac:dyDescent="0.25">
      <c r="A2266" t="s">
        <v>3329</v>
      </c>
      <c r="B2266" s="2">
        <v>47922</v>
      </c>
      <c r="C2266" t="s">
        <v>134</v>
      </c>
      <c r="D2266" t="s">
        <v>135</v>
      </c>
      <c r="E2266" t="s">
        <v>26</v>
      </c>
      <c r="F2266" t="s">
        <v>204</v>
      </c>
      <c r="G2266" t="s">
        <v>28</v>
      </c>
      <c r="H2266" t="s">
        <v>29</v>
      </c>
      <c r="I2266" t="s">
        <v>47</v>
      </c>
      <c r="J2266">
        <v>2</v>
      </c>
      <c r="K2266">
        <v>6800</v>
      </c>
      <c r="L2266">
        <v>0.05</v>
      </c>
      <c r="M2266">
        <v>12920</v>
      </c>
      <c r="N2266">
        <v>9400</v>
      </c>
      <c r="O2266">
        <v>3520</v>
      </c>
    </row>
    <row r="2267" spans="1:15" x14ac:dyDescent="0.25">
      <c r="A2267" t="s">
        <v>3330</v>
      </c>
      <c r="B2267" s="2">
        <v>47923</v>
      </c>
      <c r="C2267" t="s">
        <v>1997</v>
      </c>
      <c r="D2267" t="s">
        <v>1998</v>
      </c>
      <c r="E2267" t="s">
        <v>39</v>
      </c>
      <c r="F2267" t="s">
        <v>76</v>
      </c>
      <c r="G2267" t="s">
        <v>51</v>
      </c>
      <c r="H2267" t="s">
        <v>52</v>
      </c>
      <c r="I2267" t="s">
        <v>208</v>
      </c>
      <c r="J2267">
        <v>2</v>
      </c>
      <c r="K2267">
        <v>2800</v>
      </c>
      <c r="L2267">
        <v>0.05</v>
      </c>
      <c r="M2267">
        <v>5320</v>
      </c>
      <c r="N2267">
        <v>3600</v>
      </c>
      <c r="O2267">
        <v>1720</v>
      </c>
    </row>
    <row r="2268" spans="1:15" x14ac:dyDescent="0.25">
      <c r="A2268" t="s">
        <v>3331</v>
      </c>
      <c r="B2268" s="2">
        <v>47924</v>
      </c>
      <c r="C2268" t="s">
        <v>1602</v>
      </c>
      <c r="D2268" t="s">
        <v>1603</v>
      </c>
      <c r="E2268" t="s">
        <v>26</v>
      </c>
      <c r="F2268" t="s">
        <v>27</v>
      </c>
      <c r="G2268" t="s">
        <v>51</v>
      </c>
      <c r="H2268" t="s">
        <v>21</v>
      </c>
      <c r="I2268" t="s">
        <v>116</v>
      </c>
      <c r="J2268">
        <v>3</v>
      </c>
      <c r="K2268">
        <v>1400</v>
      </c>
      <c r="L2268">
        <v>0.05</v>
      </c>
      <c r="M2268">
        <v>3990</v>
      </c>
      <c r="N2268">
        <v>2700</v>
      </c>
      <c r="O2268">
        <v>1290</v>
      </c>
    </row>
    <row r="2269" spans="1:15" x14ac:dyDescent="0.25">
      <c r="A2269" t="s">
        <v>3332</v>
      </c>
      <c r="B2269" s="2">
        <v>47925</v>
      </c>
      <c r="C2269" t="s">
        <v>960</v>
      </c>
      <c r="D2269" t="s">
        <v>961</v>
      </c>
      <c r="E2269" t="s">
        <v>26</v>
      </c>
      <c r="F2269" t="s">
        <v>128</v>
      </c>
      <c r="G2269" t="s">
        <v>20</v>
      </c>
      <c r="H2269" t="s">
        <v>84</v>
      </c>
      <c r="I2269" t="s">
        <v>169</v>
      </c>
      <c r="J2269">
        <v>5</v>
      </c>
      <c r="K2269">
        <v>450</v>
      </c>
      <c r="L2269">
        <v>0.15</v>
      </c>
      <c r="M2269">
        <v>1912.5</v>
      </c>
      <c r="N2269">
        <v>1300</v>
      </c>
      <c r="O2269">
        <v>612.5</v>
      </c>
    </row>
    <row r="2270" spans="1:15" x14ac:dyDescent="0.25">
      <c r="A2270" t="s">
        <v>3333</v>
      </c>
      <c r="B2270" s="2">
        <v>47926</v>
      </c>
      <c r="C2270" t="s">
        <v>2015</v>
      </c>
      <c r="D2270" t="s">
        <v>2016</v>
      </c>
      <c r="E2270" t="s">
        <v>39</v>
      </c>
      <c r="F2270" t="s">
        <v>124</v>
      </c>
      <c r="G2270" t="s">
        <v>51</v>
      </c>
      <c r="H2270" t="s">
        <v>52</v>
      </c>
      <c r="I2270" t="s">
        <v>208</v>
      </c>
      <c r="J2270">
        <v>1</v>
      </c>
      <c r="K2270">
        <v>2800</v>
      </c>
      <c r="L2270">
        <v>0.15</v>
      </c>
      <c r="M2270">
        <v>2380</v>
      </c>
      <c r="N2270">
        <v>1800</v>
      </c>
      <c r="O2270">
        <v>580</v>
      </c>
    </row>
    <row r="2271" spans="1:15" x14ac:dyDescent="0.25">
      <c r="A2271" t="s">
        <v>3334</v>
      </c>
      <c r="B2271" s="2">
        <v>47927</v>
      </c>
      <c r="C2271" t="s">
        <v>314</v>
      </c>
      <c r="D2271" t="s">
        <v>315</v>
      </c>
      <c r="E2271" t="s">
        <v>96</v>
      </c>
      <c r="F2271" t="s">
        <v>97</v>
      </c>
      <c r="G2271" t="s">
        <v>28</v>
      </c>
      <c r="H2271" t="s">
        <v>29</v>
      </c>
      <c r="I2271" t="s">
        <v>35</v>
      </c>
      <c r="J2271">
        <v>5</v>
      </c>
      <c r="K2271">
        <v>4200</v>
      </c>
      <c r="L2271">
        <v>0.25</v>
      </c>
      <c r="M2271">
        <v>15750</v>
      </c>
      <c r="N2271">
        <v>14500</v>
      </c>
      <c r="O2271">
        <v>1250</v>
      </c>
    </row>
    <row r="2272" spans="1:15" x14ac:dyDescent="0.25">
      <c r="A2272" t="s">
        <v>3335</v>
      </c>
      <c r="B2272" s="2">
        <v>47928</v>
      </c>
      <c r="C2272" t="s">
        <v>298</v>
      </c>
      <c r="D2272" t="s">
        <v>299</v>
      </c>
      <c r="E2272" t="s">
        <v>26</v>
      </c>
      <c r="F2272" t="s">
        <v>128</v>
      </c>
      <c r="G2272" t="s">
        <v>51</v>
      </c>
      <c r="H2272" t="s">
        <v>21</v>
      </c>
      <c r="I2272" t="s">
        <v>116</v>
      </c>
      <c r="J2272">
        <v>1</v>
      </c>
      <c r="K2272">
        <v>1400</v>
      </c>
      <c r="L2272">
        <v>0.15</v>
      </c>
      <c r="M2272">
        <v>1190</v>
      </c>
      <c r="N2272">
        <v>900</v>
      </c>
      <c r="O2272">
        <v>290</v>
      </c>
    </row>
    <row r="2273" spans="1:15" x14ac:dyDescent="0.25">
      <c r="A2273" t="s">
        <v>3336</v>
      </c>
      <c r="B2273" s="2">
        <v>47929</v>
      </c>
      <c r="C2273" t="s">
        <v>547</v>
      </c>
      <c r="D2273" t="s">
        <v>548</v>
      </c>
      <c r="E2273" t="s">
        <v>18</v>
      </c>
      <c r="F2273" t="s">
        <v>94</v>
      </c>
      <c r="G2273" t="s">
        <v>51</v>
      </c>
      <c r="H2273" t="s">
        <v>89</v>
      </c>
      <c r="I2273" t="s">
        <v>90</v>
      </c>
      <c r="J2273">
        <v>3</v>
      </c>
      <c r="K2273">
        <v>10500</v>
      </c>
      <c r="L2273">
        <v>0.05</v>
      </c>
      <c r="M2273">
        <v>29925</v>
      </c>
      <c r="N2273">
        <v>22800</v>
      </c>
      <c r="O2273">
        <v>7125</v>
      </c>
    </row>
    <row r="2274" spans="1:15" x14ac:dyDescent="0.25">
      <c r="A2274" t="s">
        <v>3337</v>
      </c>
      <c r="B2274" s="2">
        <v>47930</v>
      </c>
      <c r="C2274" t="s">
        <v>1458</v>
      </c>
      <c r="D2274" t="s">
        <v>1459</v>
      </c>
      <c r="E2274" t="s">
        <v>18</v>
      </c>
      <c r="F2274" t="s">
        <v>94</v>
      </c>
      <c r="G2274" t="s">
        <v>51</v>
      </c>
      <c r="H2274" t="s">
        <v>21</v>
      </c>
      <c r="I2274" t="s">
        <v>72</v>
      </c>
      <c r="J2274">
        <v>1</v>
      </c>
      <c r="K2274">
        <v>1800</v>
      </c>
      <c r="L2274">
        <v>0.15</v>
      </c>
      <c r="M2274">
        <v>1530</v>
      </c>
      <c r="N2274">
        <v>1100</v>
      </c>
      <c r="O2274">
        <v>430</v>
      </c>
    </row>
    <row r="2275" spans="1:15" x14ac:dyDescent="0.25">
      <c r="A2275" t="s">
        <v>3338</v>
      </c>
      <c r="B2275" s="2">
        <v>47931</v>
      </c>
      <c r="C2275" t="s">
        <v>733</v>
      </c>
      <c r="D2275" t="s">
        <v>734</v>
      </c>
      <c r="E2275" t="s">
        <v>26</v>
      </c>
      <c r="F2275" t="s">
        <v>46</v>
      </c>
      <c r="G2275" t="s">
        <v>51</v>
      </c>
      <c r="H2275" t="s">
        <v>21</v>
      </c>
      <c r="I2275" t="s">
        <v>72</v>
      </c>
      <c r="J2275">
        <v>5</v>
      </c>
      <c r="K2275">
        <v>1800</v>
      </c>
      <c r="L2275">
        <v>0.05</v>
      </c>
      <c r="M2275">
        <v>8550</v>
      </c>
      <c r="N2275">
        <v>5500</v>
      </c>
      <c r="O2275">
        <v>3050</v>
      </c>
    </row>
    <row r="2276" spans="1:15" x14ac:dyDescent="0.25">
      <c r="A2276" t="s">
        <v>3339</v>
      </c>
      <c r="B2276" s="2">
        <v>47932</v>
      </c>
      <c r="C2276" t="s">
        <v>320</v>
      </c>
      <c r="D2276" t="s">
        <v>321</v>
      </c>
      <c r="E2276" t="s">
        <v>26</v>
      </c>
      <c r="F2276" t="s">
        <v>34</v>
      </c>
      <c r="G2276" t="s">
        <v>57</v>
      </c>
      <c r="H2276" t="s">
        <v>188</v>
      </c>
      <c r="I2276" t="s">
        <v>189</v>
      </c>
      <c r="J2276">
        <v>3</v>
      </c>
      <c r="K2276">
        <v>6200</v>
      </c>
      <c r="L2276">
        <v>0</v>
      </c>
      <c r="M2276">
        <v>18600</v>
      </c>
      <c r="N2276">
        <v>12900</v>
      </c>
      <c r="O2276">
        <v>5700</v>
      </c>
    </row>
    <row r="2277" spans="1:15" x14ac:dyDescent="0.25">
      <c r="A2277" t="s">
        <v>3340</v>
      </c>
      <c r="B2277" s="2">
        <v>47933</v>
      </c>
      <c r="C2277" t="s">
        <v>1022</v>
      </c>
      <c r="D2277" t="s">
        <v>1023</v>
      </c>
      <c r="E2277" t="s">
        <v>26</v>
      </c>
      <c r="F2277" t="s">
        <v>34</v>
      </c>
      <c r="G2277" t="s">
        <v>57</v>
      </c>
      <c r="H2277" t="s">
        <v>58</v>
      </c>
      <c r="I2277" t="s">
        <v>129</v>
      </c>
      <c r="J2277">
        <v>4</v>
      </c>
      <c r="K2277">
        <v>4800</v>
      </c>
      <c r="L2277">
        <v>0.05</v>
      </c>
      <c r="M2277">
        <v>18240</v>
      </c>
      <c r="N2277">
        <v>13200</v>
      </c>
      <c r="O2277">
        <v>5040</v>
      </c>
    </row>
    <row r="2278" spans="1:15" x14ac:dyDescent="0.25">
      <c r="A2278" t="s">
        <v>3341</v>
      </c>
      <c r="B2278" s="2">
        <v>47934</v>
      </c>
      <c r="C2278" t="s">
        <v>271</v>
      </c>
      <c r="D2278" t="s">
        <v>272</v>
      </c>
      <c r="E2278" t="s">
        <v>26</v>
      </c>
      <c r="F2278" t="s">
        <v>34</v>
      </c>
      <c r="G2278" t="s">
        <v>51</v>
      </c>
      <c r="H2278" t="s">
        <v>52</v>
      </c>
      <c r="I2278" t="s">
        <v>208</v>
      </c>
      <c r="J2278">
        <v>1</v>
      </c>
      <c r="K2278">
        <v>2800</v>
      </c>
      <c r="L2278">
        <v>0.2</v>
      </c>
      <c r="M2278">
        <v>2240</v>
      </c>
      <c r="N2278">
        <v>1800</v>
      </c>
      <c r="O2278">
        <v>440</v>
      </c>
    </row>
    <row r="2279" spans="1:15" x14ac:dyDescent="0.25">
      <c r="A2279" t="s">
        <v>3342</v>
      </c>
      <c r="B2279" s="2">
        <v>47935</v>
      </c>
      <c r="C2279" t="s">
        <v>164</v>
      </c>
      <c r="D2279" t="s">
        <v>165</v>
      </c>
      <c r="E2279" t="s">
        <v>96</v>
      </c>
      <c r="F2279" t="s">
        <v>120</v>
      </c>
      <c r="G2279" t="s">
        <v>51</v>
      </c>
      <c r="H2279" t="s">
        <v>21</v>
      </c>
      <c r="I2279" t="s">
        <v>80</v>
      </c>
      <c r="J2279">
        <v>2</v>
      </c>
      <c r="K2279">
        <v>850</v>
      </c>
      <c r="L2279">
        <v>0.15</v>
      </c>
      <c r="M2279">
        <v>1445</v>
      </c>
      <c r="N2279">
        <v>1120</v>
      </c>
      <c r="O2279">
        <v>325</v>
      </c>
    </row>
    <row r="2280" spans="1:15" x14ac:dyDescent="0.25">
      <c r="A2280" t="s">
        <v>3343</v>
      </c>
      <c r="B2280" s="2">
        <v>47936</v>
      </c>
      <c r="C2280" t="s">
        <v>1780</v>
      </c>
      <c r="D2280" t="s">
        <v>1781</v>
      </c>
      <c r="E2280" t="s">
        <v>96</v>
      </c>
      <c r="F2280" t="s">
        <v>97</v>
      </c>
      <c r="G2280" t="s">
        <v>20</v>
      </c>
      <c r="H2280" t="s">
        <v>21</v>
      </c>
      <c r="I2280" t="s">
        <v>22</v>
      </c>
      <c r="J2280">
        <v>1</v>
      </c>
      <c r="K2280">
        <v>650</v>
      </c>
      <c r="L2280">
        <v>0.2</v>
      </c>
      <c r="M2280">
        <v>520</v>
      </c>
      <c r="N2280">
        <v>390</v>
      </c>
      <c r="O2280">
        <v>130</v>
      </c>
    </row>
    <row r="2281" spans="1:15" x14ac:dyDescent="0.25">
      <c r="A2281" t="s">
        <v>3344</v>
      </c>
      <c r="B2281" s="2">
        <v>47937</v>
      </c>
      <c r="C2281" t="s">
        <v>2374</v>
      </c>
      <c r="D2281" t="s">
        <v>2375</v>
      </c>
      <c r="E2281" t="s">
        <v>96</v>
      </c>
      <c r="F2281" t="s">
        <v>200</v>
      </c>
      <c r="G2281" t="s">
        <v>57</v>
      </c>
      <c r="H2281" t="s">
        <v>58</v>
      </c>
      <c r="I2281" t="s">
        <v>59</v>
      </c>
      <c r="J2281">
        <v>1</v>
      </c>
      <c r="K2281">
        <v>5600</v>
      </c>
      <c r="L2281">
        <v>0.1</v>
      </c>
      <c r="M2281">
        <v>5040</v>
      </c>
      <c r="N2281">
        <v>3900</v>
      </c>
      <c r="O2281">
        <v>1140</v>
      </c>
    </row>
    <row r="2282" spans="1:15" x14ac:dyDescent="0.25">
      <c r="A2282" t="s">
        <v>3345</v>
      </c>
      <c r="B2282" s="2">
        <v>47938</v>
      </c>
      <c r="C2282" t="s">
        <v>865</v>
      </c>
      <c r="D2282" t="s">
        <v>866</v>
      </c>
      <c r="E2282" t="s">
        <v>39</v>
      </c>
      <c r="F2282" t="s">
        <v>124</v>
      </c>
      <c r="G2282" t="s">
        <v>28</v>
      </c>
      <c r="H2282" t="s">
        <v>29</v>
      </c>
      <c r="I2282" t="s">
        <v>30</v>
      </c>
      <c r="J2282">
        <v>2</v>
      </c>
      <c r="K2282">
        <v>1900</v>
      </c>
      <c r="L2282">
        <v>0.2</v>
      </c>
      <c r="M2282">
        <v>3040</v>
      </c>
      <c r="N2282">
        <v>2500</v>
      </c>
      <c r="O2282">
        <v>540</v>
      </c>
    </row>
    <row r="2283" spans="1:15" x14ac:dyDescent="0.25">
      <c r="A2283" t="s">
        <v>3346</v>
      </c>
      <c r="B2283" s="2">
        <v>47939</v>
      </c>
      <c r="C2283" t="s">
        <v>796</v>
      </c>
      <c r="D2283" t="s">
        <v>797</v>
      </c>
      <c r="E2283" t="s">
        <v>96</v>
      </c>
      <c r="F2283" t="s">
        <v>196</v>
      </c>
      <c r="G2283" t="s">
        <v>20</v>
      </c>
      <c r="H2283" t="s">
        <v>84</v>
      </c>
      <c r="I2283" t="s">
        <v>210</v>
      </c>
      <c r="J2283">
        <v>5</v>
      </c>
      <c r="K2283">
        <v>300</v>
      </c>
      <c r="L2283">
        <v>0.15</v>
      </c>
      <c r="M2283">
        <v>1275</v>
      </c>
      <c r="N2283">
        <v>850</v>
      </c>
      <c r="O2283">
        <v>425</v>
      </c>
    </row>
    <row r="2284" spans="1:15" x14ac:dyDescent="0.25">
      <c r="A2284" t="s">
        <v>3347</v>
      </c>
      <c r="B2284" s="2">
        <v>47940</v>
      </c>
      <c r="C2284" t="s">
        <v>796</v>
      </c>
      <c r="D2284" t="s">
        <v>797</v>
      </c>
      <c r="E2284" t="s">
        <v>96</v>
      </c>
      <c r="F2284" t="s">
        <v>196</v>
      </c>
      <c r="G2284" t="s">
        <v>20</v>
      </c>
      <c r="H2284" t="s">
        <v>84</v>
      </c>
      <c r="I2284" t="s">
        <v>85</v>
      </c>
      <c r="J2284">
        <v>5</v>
      </c>
      <c r="K2284">
        <v>280</v>
      </c>
      <c r="L2284">
        <v>0.1</v>
      </c>
      <c r="M2284">
        <v>1260</v>
      </c>
      <c r="N2284">
        <v>800</v>
      </c>
      <c r="O2284">
        <v>460</v>
      </c>
    </row>
    <row r="2285" spans="1:15" x14ac:dyDescent="0.25">
      <c r="A2285" t="s">
        <v>3348</v>
      </c>
      <c r="B2285" s="2">
        <v>47941</v>
      </c>
      <c r="C2285" t="s">
        <v>2449</v>
      </c>
      <c r="D2285" t="s">
        <v>2450</v>
      </c>
      <c r="E2285" t="s">
        <v>26</v>
      </c>
      <c r="F2285" t="s">
        <v>34</v>
      </c>
      <c r="G2285" t="s">
        <v>51</v>
      </c>
      <c r="H2285" t="s">
        <v>21</v>
      </c>
      <c r="I2285" t="s">
        <v>80</v>
      </c>
      <c r="J2285">
        <v>5</v>
      </c>
      <c r="K2285">
        <v>850</v>
      </c>
      <c r="L2285">
        <v>0.1</v>
      </c>
      <c r="M2285">
        <v>3825</v>
      </c>
      <c r="N2285">
        <v>2800</v>
      </c>
      <c r="O2285">
        <v>1025</v>
      </c>
    </row>
    <row r="2286" spans="1:15" x14ac:dyDescent="0.25">
      <c r="A2286" t="s">
        <v>3349</v>
      </c>
      <c r="B2286" s="2">
        <v>47942</v>
      </c>
      <c r="C2286" t="s">
        <v>1510</v>
      </c>
      <c r="D2286" t="s">
        <v>1511</v>
      </c>
      <c r="E2286" t="s">
        <v>39</v>
      </c>
      <c r="F2286" t="s">
        <v>40</v>
      </c>
      <c r="G2286" t="s">
        <v>51</v>
      </c>
      <c r="H2286" t="s">
        <v>21</v>
      </c>
      <c r="I2286" t="s">
        <v>80</v>
      </c>
      <c r="J2286">
        <v>2</v>
      </c>
      <c r="K2286">
        <v>850</v>
      </c>
      <c r="L2286">
        <v>0</v>
      </c>
      <c r="M2286">
        <v>1700</v>
      </c>
      <c r="N2286">
        <v>1120</v>
      </c>
      <c r="O2286">
        <v>580</v>
      </c>
    </row>
    <row r="2287" spans="1:15" x14ac:dyDescent="0.25">
      <c r="A2287" t="s">
        <v>3350</v>
      </c>
      <c r="B2287" s="2">
        <v>47943</v>
      </c>
      <c r="C2287" t="s">
        <v>2092</v>
      </c>
      <c r="D2287" t="s">
        <v>2093</v>
      </c>
      <c r="E2287" t="s">
        <v>26</v>
      </c>
      <c r="F2287" t="s">
        <v>34</v>
      </c>
      <c r="G2287" t="s">
        <v>20</v>
      </c>
      <c r="H2287" t="s">
        <v>84</v>
      </c>
      <c r="I2287" t="s">
        <v>210</v>
      </c>
      <c r="J2287">
        <v>4</v>
      </c>
      <c r="K2287">
        <v>300</v>
      </c>
      <c r="L2287">
        <v>0.1</v>
      </c>
      <c r="M2287">
        <v>1080</v>
      </c>
      <c r="N2287">
        <v>680</v>
      </c>
      <c r="O2287">
        <v>400</v>
      </c>
    </row>
    <row r="2288" spans="1:15" x14ac:dyDescent="0.25">
      <c r="A2288" t="s">
        <v>3351</v>
      </c>
      <c r="B2288" s="2">
        <v>47944</v>
      </c>
      <c r="C2288" t="s">
        <v>1445</v>
      </c>
      <c r="D2288" t="s">
        <v>1446</v>
      </c>
      <c r="E2288" t="s">
        <v>26</v>
      </c>
      <c r="F2288" t="s">
        <v>34</v>
      </c>
      <c r="G2288" t="s">
        <v>51</v>
      </c>
      <c r="H2288" t="s">
        <v>21</v>
      </c>
      <c r="I2288" t="s">
        <v>72</v>
      </c>
      <c r="J2288">
        <v>3</v>
      </c>
      <c r="K2288">
        <v>1800</v>
      </c>
      <c r="L2288">
        <v>0.15</v>
      </c>
      <c r="M2288">
        <v>4590</v>
      </c>
      <c r="N2288">
        <v>3300</v>
      </c>
      <c r="O2288">
        <v>1290</v>
      </c>
    </row>
    <row r="2289" spans="1:15" x14ac:dyDescent="0.25">
      <c r="A2289" t="s">
        <v>3352</v>
      </c>
      <c r="B2289" s="2">
        <v>47945</v>
      </c>
      <c r="C2289" t="s">
        <v>2760</v>
      </c>
      <c r="D2289" t="s">
        <v>2761</v>
      </c>
      <c r="E2289" t="s">
        <v>39</v>
      </c>
      <c r="F2289" t="s">
        <v>40</v>
      </c>
      <c r="G2289" t="s">
        <v>51</v>
      </c>
      <c r="H2289" t="s">
        <v>52</v>
      </c>
      <c r="I2289" t="s">
        <v>53</v>
      </c>
      <c r="J2289">
        <v>1</v>
      </c>
      <c r="K2289">
        <v>2200</v>
      </c>
      <c r="L2289">
        <v>0.1</v>
      </c>
      <c r="M2289">
        <v>1980</v>
      </c>
      <c r="N2289">
        <v>1450</v>
      </c>
      <c r="O2289">
        <v>530</v>
      </c>
    </row>
    <row r="2290" spans="1:15" x14ac:dyDescent="0.25">
      <c r="A2290" t="s">
        <v>3353</v>
      </c>
      <c r="B2290" s="2">
        <v>47946</v>
      </c>
      <c r="C2290" t="s">
        <v>640</v>
      </c>
      <c r="D2290" t="s">
        <v>641</v>
      </c>
      <c r="E2290" t="s">
        <v>26</v>
      </c>
      <c r="F2290" t="s">
        <v>34</v>
      </c>
      <c r="G2290" t="s">
        <v>20</v>
      </c>
      <c r="H2290" t="s">
        <v>21</v>
      </c>
      <c r="I2290" t="s">
        <v>22</v>
      </c>
      <c r="J2290">
        <v>1</v>
      </c>
      <c r="K2290">
        <v>650</v>
      </c>
      <c r="L2290">
        <v>0.25</v>
      </c>
      <c r="M2290">
        <v>487.5</v>
      </c>
      <c r="N2290">
        <v>390</v>
      </c>
      <c r="O2290">
        <v>97.5</v>
      </c>
    </row>
    <row r="2291" spans="1:15" x14ac:dyDescent="0.25">
      <c r="A2291" t="s">
        <v>3354</v>
      </c>
      <c r="B2291" s="2">
        <v>47947</v>
      </c>
      <c r="C2291" t="s">
        <v>78</v>
      </c>
      <c r="D2291" t="s">
        <v>79</v>
      </c>
      <c r="E2291" t="s">
        <v>96</v>
      </c>
      <c r="F2291" t="s">
        <v>200</v>
      </c>
      <c r="G2291" t="s">
        <v>57</v>
      </c>
      <c r="H2291" t="s">
        <v>104</v>
      </c>
      <c r="I2291" t="s">
        <v>105</v>
      </c>
      <c r="J2291">
        <v>4</v>
      </c>
      <c r="K2291">
        <v>7500</v>
      </c>
      <c r="L2291">
        <v>0</v>
      </c>
      <c r="M2291">
        <v>30000</v>
      </c>
      <c r="N2291">
        <v>20800</v>
      </c>
      <c r="O2291">
        <v>9200</v>
      </c>
    </row>
    <row r="2292" spans="1:15" x14ac:dyDescent="0.25">
      <c r="A2292" t="s">
        <v>3355</v>
      </c>
      <c r="B2292" s="2">
        <v>47948</v>
      </c>
      <c r="C2292" t="s">
        <v>2785</v>
      </c>
      <c r="D2292" t="s">
        <v>2786</v>
      </c>
      <c r="E2292" t="s">
        <v>39</v>
      </c>
      <c r="F2292" t="s">
        <v>40</v>
      </c>
      <c r="G2292" t="s">
        <v>28</v>
      </c>
      <c r="H2292" t="s">
        <v>63</v>
      </c>
      <c r="I2292" t="s">
        <v>64</v>
      </c>
      <c r="J2292">
        <v>4</v>
      </c>
      <c r="K2292">
        <v>2400</v>
      </c>
      <c r="L2292">
        <v>0.1</v>
      </c>
      <c r="M2292">
        <v>8640</v>
      </c>
      <c r="N2292">
        <v>6600</v>
      </c>
      <c r="O2292">
        <v>2040</v>
      </c>
    </row>
    <row r="2293" spans="1:15" x14ac:dyDescent="0.25">
      <c r="A2293" t="s">
        <v>3356</v>
      </c>
      <c r="B2293" s="2">
        <v>47949</v>
      </c>
      <c r="C2293" t="s">
        <v>2374</v>
      </c>
      <c r="D2293" t="s">
        <v>2375</v>
      </c>
      <c r="E2293" t="s">
        <v>26</v>
      </c>
      <c r="F2293" t="s">
        <v>34</v>
      </c>
      <c r="G2293" t="s">
        <v>57</v>
      </c>
      <c r="H2293" t="s">
        <v>58</v>
      </c>
      <c r="I2293" t="s">
        <v>59</v>
      </c>
      <c r="J2293">
        <v>3</v>
      </c>
      <c r="K2293">
        <v>5600</v>
      </c>
      <c r="L2293">
        <v>0.05</v>
      </c>
      <c r="M2293">
        <v>15960</v>
      </c>
      <c r="N2293">
        <v>11700</v>
      </c>
      <c r="O2293">
        <v>4260</v>
      </c>
    </row>
    <row r="2294" spans="1:15" x14ac:dyDescent="0.25">
      <c r="A2294" t="s">
        <v>3357</v>
      </c>
      <c r="B2294" s="2">
        <v>47950</v>
      </c>
      <c r="C2294" t="s">
        <v>1308</v>
      </c>
      <c r="D2294" t="s">
        <v>1309</v>
      </c>
      <c r="E2294" t="s">
        <v>26</v>
      </c>
      <c r="F2294" t="s">
        <v>204</v>
      </c>
      <c r="G2294" t="s">
        <v>51</v>
      </c>
      <c r="H2294" t="s">
        <v>52</v>
      </c>
      <c r="I2294" t="s">
        <v>208</v>
      </c>
      <c r="J2294">
        <v>3</v>
      </c>
      <c r="K2294">
        <v>2800</v>
      </c>
      <c r="L2294">
        <v>0</v>
      </c>
      <c r="M2294">
        <v>8400</v>
      </c>
      <c r="N2294">
        <v>5400</v>
      </c>
      <c r="O2294">
        <v>3000</v>
      </c>
    </row>
    <row r="2295" spans="1:15" x14ac:dyDescent="0.25">
      <c r="A2295" t="s">
        <v>3358</v>
      </c>
      <c r="B2295" s="2">
        <v>47951</v>
      </c>
      <c r="C2295" t="s">
        <v>929</v>
      </c>
      <c r="D2295" t="s">
        <v>930</v>
      </c>
      <c r="E2295" t="s">
        <v>96</v>
      </c>
      <c r="F2295" t="s">
        <v>120</v>
      </c>
      <c r="G2295" t="s">
        <v>20</v>
      </c>
      <c r="H2295" t="s">
        <v>84</v>
      </c>
      <c r="I2295" t="s">
        <v>169</v>
      </c>
      <c r="J2295">
        <v>3</v>
      </c>
      <c r="K2295">
        <v>450</v>
      </c>
      <c r="L2295">
        <v>0.15</v>
      </c>
      <c r="M2295">
        <v>1147.5</v>
      </c>
      <c r="N2295">
        <v>780</v>
      </c>
      <c r="O2295">
        <v>367.5</v>
      </c>
    </row>
    <row r="2296" spans="1:15" x14ac:dyDescent="0.25">
      <c r="A2296" t="s">
        <v>3359</v>
      </c>
      <c r="B2296" s="2">
        <v>47952</v>
      </c>
      <c r="C2296" t="s">
        <v>1758</v>
      </c>
      <c r="D2296" t="s">
        <v>1759</v>
      </c>
      <c r="E2296" t="s">
        <v>26</v>
      </c>
      <c r="F2296" t="s">
        <v>204</v>
      </c>
      <c r="G2296" t="s">
        <v>20</v>
      </c>
      <c r="H2296" t="s">
        <v>84</v>
      </c>
      <c r="I2296" t="s">
        <v>210</v>
      </c>
      <c r="J2296">
        <v>1</v>
      </c>
      <c r="K2296">
        <v>300</v>
      </c>
      <c r="L2296">
        <v>0.1</v>
      </c>
      <c r="M2296">
        <v>270</v>
      </c>
      <c r="N2296">
        <v>170</v>
      </c>
      <c r="O2296">
        <v>100</v>
      </c>
    </row>
    <row r="2297" spans="1:15" x14ac:dyDescent="0.25">
      <c r="A2297" t="s">
        <v>3360</v>
      </c>
      <c r="B2297" s="2">
        <v>47953</v>
      </c>
      <c r="C2297" t="s">
        <v>715</v>
      </c>
      <c r="D2297" t="s">
        <v>716</v>
      </c>
      <c r="E2297" t="s">
        <v>26</v>
      </c>
      <c r="F2297" t="s">
        <v>27</v>
      </c>
      <c r="G2297" t="s">
        <v>51</v>
      </c>
      <c r="H2297" t="s">
        <v>21</v>
      </c>
      <c r="I2297" t="s">
        <v>72</v>
      </c>
      <c r="J2297">
        <v>1</v>
      </c>
      <c r="K2297">
        <v>1800</v>
      </c>
      <c r="L2297">
        <v>0.1</v>
      </c>
      <c r="M2297">
        <v>1620</v>
      </c>
      <c r="N2297">
        <v>1100</v>
      </c>
      <c r="O2297">
        <v>520</v>
      </c>
    </row>
    <row r="2298" spans="1:15" x14ac:dyDescent="0.25">
      <c r="A2298" t="s">
        <v>3361</v>
      </c>
      <c r="B2298" s="2">
        <v>47954</v>
      </c>
      <c r="C2298" t="s">
        <v>225</v>
      </c>
      <c r="D2298" t="s">
        <v>226</v>
      </c>
      <c r="E2298" t="s">
        <v>39</v>
      </c>
      <c r="F2298" t="s">
        <v>40</v>
      </c>
      <c r="G2298" t="s">
        <v>51</v>
      </c>
      <c r="H2298" t="s">
        <v>89</v>
      </c>
      <c r="I2298" t="s">
        <v>90</v>
      </c>
      <c r="J2298">
        <v>4</v>
      </c>
      <c r="K2298">
        <v>10500</v>
      </c>
      <c r="L2298">
        <v>0.2</v>
      </c>
      <c r="M2298">
        <v>33600</v>
      </c>
      <c r="N2298">
        <v>30400</v>
      </c>
      <c r="O2298">
        <v>3200</v>
      </c>
    </row>
    <row r="2299" spans="1:15" x14ac:dyDescent="0.25">
      <c r="A2299" t="s">
        <v>3362</v>
      </c>
      <c r="B2299" s="2">
        <v>47955</v>
      </c>
      <c r="C2299" t="s">
        <v>317</v>
      </c>
      <c r="D2299" t="s">
        <v>318</v>
      </c>
      <c r="E2299" t="s">
        <v>39</v>
      </c>
      <c r="F2299" t="s">
        <v>124</v>
      </c>
      <c r="G2299" t="s">
        <v>51</v>
      </c>
      <c r="H2299" t="s">
        <v>89</v>
      </c>
      <c r="I2299" t="s">
        <v>90</v>
      </c>
      <c r="J2299">
        <v>3</v>
      </c>
      <c r="K2299">
        <v>10500</v>
      </c>
      <c r="L2299">
        <v>0.15</v>
      </c>
      <c r="M2299">
        <v>26775</v>
      </c>
      <c r="N2299">
        <v>22800</v>
      </c>
      <c r="O2299">
        <v>3975</v>
      </c>
    </row>
    <row r="2300" spans="1:15" x14ac:dyDescent="0.25">
      <c r="A2300" t="s">
        <v>3363</v>
      </c>
      <c r="B2300" s="2">
        <v>47956</v>
      </c>
      <c r="C2300" t="s">
        <v>1308</v>
      </c>
      <c r="D2300" t="s">
        <v>1309</v>
      </c>
      <c r="E2300" t="s">
        <v>96</v>
      </c>
      <c r="F2300" t="s">
        <v>97</v>
      </c>
      <c r="G2300" t="s">
        <v>20</v>
      </c>
      <c r="H2300" t="s">
        <v>21</v>
      </c>
      <c r="I2300" t="s">
        <v>22</v>
      </c>
      <c r="J2300">
        <v>3</v>
      </c>
      <c r="K2300">
        <v>650</v>
      </c>
      <c r="L2300">
        <v>0.05</v>
      </c>
      <c r="M2300">
        <v>1852.5</v>
      </c>
      <c r="N2300">
        <v>1170</v>
      </c>
      <c r="O2300">
        <v>682.5</v>
      </c>
    </row>
    <row r="2301" spans="1:15" x14ac:dyDescent="0.25">
      <c r="A2301" t="s">
        <v>3364</v>
      </c>
      <c r="B2301" s="2">
        <v>47957</v>
      </c>
      <c r="C2301" t="s">
        <v>3120</v>
      </c>
      <c r="D2301" t="s">
        <v>3121</v>
      </c>
      <c r="E2301" t="s">
        <v>96</v>
      </c>
      <c r="F2301" t="s">
        <v>200</v>
      </c>
      <c r="G2301" t="s">
        <v>20</v>
      </c>
      <c r="H2301" t="s">
        <v>84</v>
      </c>
      <c r="I2301" t="s">
        <v>169</v>
      </c>
      <c r="J2301">
        <v>5</v>
      </c>
      <c r="K2301">
        <v>450</v>
      </c>
      <c r="L2301">
        <v>0.15</v>
      </c>
      <c r="M2301">
        <v>1912.5</v>
      </c>
      <c r="N2301">
        <v>1300</v>
      </c>
      <c r="O2301">
        <v>612.5</v>
      </c>
    </row>
    <row r="2302" spans="1:15" x14ac:dyDescent="0.25">
      <c r="A2302" t="s">
        <v>3365</v>
      </c>
      <c r="B2302" s="2">
        <v>47958</v>
      </c>
      <c r="C2302" t="s">
        <v>1201</v>
      </c>
      <c r="D2302" t="s">
        <v>1202</v>
      </c>
      <c r="E2302" t="s">
        <v>18</v>
      </c>
      <c r="F2302" t="s">
        <v>94</v>
      </c>
      <c r="G2302" t="s">
        <v>57</v>
      </c>
      <c r="H2302" t="s">
        <v>58</v>
      </c>
      <c r="I2302" t="s">
        <v>129</v>
      </c>
      <c r="J2302">
        <v>5</v>
      </c>
      <c r="K2302">
        <v>4800</v>
      </c>
      <c r="L2302">
        <v>0.1</v>
      </c>
      <c r="M2302">
        <v>21600</v>
      </c>
      <c r="N2302">
        <v>16500</v>
      </c>
      <c r="O2302">
        <v>5100</v>
      </c>
    </row>
    <row r="2303" spans="1:15" x14ac:dyDescent="0.25">
      <c r="A2303" t="s">
        <v>3366</v>
      </c>
      <c r="B2303" s="2">
        <v>47959</v>
      </c>
      <c r="C2303" t="s">
        <v>1276</v>
      </c>
      <c r="D2303" t="s">
        <v>1277</v>
      </c>
      <c r="E2303" t="s">
        <v>39</v>
      </c>
      <c r="F2303" t="s">
        <v>124</v>
      </c>
      <c r="G2303" t="s">
        <v>51</v>
      </c>
      <c r="H2303" t="s">
        <v>21</v>
      </c>
      <c r="I2303" t="s">
        <v>116</v>
      </c>
      <c r="J2303">
        <v>4</v>
      </c>
      <c r="K2303">
        <v>1400</v>
      </c>
      <c r="L2303">
        <v>0.25</v>
      </c>
      <c r="M2303">
        <v>4200</v>
      </c>
      <c r="N2303">
        <v>3600</v>
      </c>
      <c r="O2303">
        <v>600</v>
      </c>
    </row>
    <row r="2304" spans="1:15" x14ac:dyDescent="0.25">
      <c r="A2304" t="s">
        <v>3367</v>
      </c>
      <c r="B2304" s="2">
        <v>47960</v>
      </c>
      <c r="C2304" t="s">
        <v>2488</v>
      </c>
      <c r="D2304" t="s">
        <v>2489</v>
      </c>
      <c r="E2304" t="s">
        <v>96</v>
      </c>
      <c r="F2304" t="s">
        <v>196</v>
      </c>
      <c r="G2304" t="s">
        <v>20</v>
      </c>
      <c r="H2304" t="s">
        <v>84</v>
      </c>
      <c r="I2304" t="s">
        <v>85</v>
      </c>
      <c r="J2304">
        <v>5</v>
      </c>
      <c r="K2304">
        <v>280</v>
      </c>
      <c r="L2304">
        <v>0.25</v>
      </c>
      <c r="M2304">
        <v>1050</v>
      </c>
      <c r="N2304">
        <v>800</v>
      </c>
      <c r="O2304">
        <v>250</v>
      </c>
    </row>
    <row r="2305" spans="1:15" x14ac:dyDescent="0.25">
      <c r="A2305" t="s">
        <v>3368</v>
      </c>
      <c r="B2305" s="2">
        <v>47961</v>
      </c>
      <c r="C2305" t="s">
        <v>1003</v>
      </c>
      <c r="D2305" t="s">
        <v>1004</v>
      </c>
      <c r="E2305" t="s">
        <v>26</v>
      </c>
      <c r="F2305" t="s">
        <v>27</v>
      </c>
      <c r="G2305" t="s">
        <v>51</v>
      </c>
      <c r="H2305" t="s">
        <v>21</v>
      </c>
      <c r="I2305" t="s">
        <v>80</v>
      </c>
      <c r="J2305">
        <v>5</v>
      </c>
      <c r="K2305">
        <v>850</v>
      </c>
      <c r="L2305">
        <v>0.15</v>
      </c>
      <c r="M2305">
        <v>3612.5</v>
      </c>
      <c r="N2305">
        <v>2800</v>
      </c>
      <c r="O2305">
        <v>812.5</v>
      </c>
    </row>
    <row r="2306" spans="1:15" x14ac:dyDescent="0.25">
      <c r="A2306" t="s">
        <v>3369</v>
      </c>
      <c r="B2306" s="2">
        <v>47962</v>
      </c>
      <c r="C2306" t="s">
        <v>1323</v>
      </c>
      <c r="D2306" t="s">
        <v>1324</v>
      </c>
      <c r="E2306" t="s">
        <v>96</v>
      </c>
      <c r="F2306" t="s">
        <v>120</v>
      </c>
      <c r="G2306" t="s">
        <v>57</v>
      </c>
      <c r="H2306" t="s">
        <v>188</v>
      </c>
      <c r="I2306" t="s">
        <v>189</v>
      </c>
      <c r="J2306">
        <v>1</v>
      </c>
      <c r="K2306">
        <v>6200</v>
      </c>
      <c r="L2306">
        <v>0.2</v>
      </c>
      <c r="M2306">
        <v>4960</v>
      </c>
      <c r="N2306">
        <v>4300</v>
      </c>
      <c r="O2306">
        <v>660</v>
      </c>
    </row>
    <row r="2307" spans="1:15" x14ac:dyDescent="0.25">
      <c r="A2307" t="s">
        <v>3370</v>
      </c>
      <c r="B2307" s="2">
        <v>47963</v>
      </c>
      <c r="C2307" t="s">
        <v>2833</v>
      </c>
      <c r="D2307" t="s">
        <v>2834</v>
      </c>
      <c r="E2307" t="s">
        <v>26</v>
      </c>
      <c r="F2307" t="s">
        <v>27</v>
      </c>
      <c r="G2307" t="s">
        <v>51</v>
      </c>
      <c r="H2307" t="s">
        <v>21</v>
      </c>
      <c r="I2307" t="s">
        <v>80</v>
      </c>
      <c r="J2307">
        <v>2</v>
      </c>
      <c r="K2307">
        <v>850</v>
      </c>
      <c r="L2307">
        <v>0</v>
      </c>
      <c r="M2307">
        <v>1700</v>
      </c>
      <c r="N2307">
        <v>1120</v>
      </c>
      <c r="O2307">
        <v>580</v>
      </c>
    </row>
    <row r="2308" spans="1:15" x14ac:dyDescent="0.25">
      <c r="A2308" t="s">
        <v>3371</v>
      </c>
      <c r="B2308" s="2">
        <v>47964</v>
      </c>
      <c r="C2308" t="s">
        <v>158</v>
      </c>
      <c r="D2308" t="s">
        <v>159</v>
      </c>
      <c r="E2308" t="s">
        <v>18</v>
      </c>
      <c r="F2308" t="s">
        <v>227</v>
      </c>
      <c r="G2308" t="s">
        <v>57</v>
      </c>
      <c r="H2308" t="s">
        <v>58</v>
      </c>
      <c r="I2308" t="s">
        <v>129</v>
      </c>
      <c r="J2308">
        <v>4</v>
      </c>
      <c r="K2308">
        <v>4800</v>
      </c>
      <c r="L2308">
        <v>0.15</v>
      </c>
      <c r="M2308">
        <v>16320</v>
      </c>
      <c r="N2308">
        <v>13200</v>
      </c>
      <c r="O2308">
        <v>3120</v>
      </c>
    </row>
    <row r="2309" spans="1:15" x14ac:dyDescent="0.25">
      <c r="A2309" t="s">
        <v>3372</v>
      </c>
      <c r="B2309" s="2">
        <v>47965</v>
      </c>
      <c r="C2309" t="s">
        <v>69</v>
      </c>
      <c r="D2309" t="s">
        <v>70</v>
      </c>
      <c r="E2309" t="s">
        <v>26</v>
      </c>
      <c r="F2309" t="s">
        <v>204</v>
      </c>
      <c r="G2309" t="s">
        <v>51</v>
      </c>
      <c r="H2309" t="s">
        <v>52</v>
      </c>
      <c r="I2309" t="s">
        <v>53</v>
      </c>
      <c r="J2309">
        <v>2</v>
      </c>
      <c r="K2309">
        <v>2200</v>
      </c>
      <c r="L2309">
        <v>0</v>
      </c>
      <c r="M2309">
        <v>4400</v>
      </c>
      <c r="N2309">
        <v>2900</v>
      </c>
      <c r="O2309">
        <v>1500</v>
      </c>
    </row>
    <row r="2310" spans="1:15" x14ac:dyDescent="0.25">
      <c r="A2310" t="s">
        <v>3373</v>
      </c>
      <c r="B2310" s="2">
        <v>47966</v>
      </c>
      <c r="C2310" t="s">
        <v>606</v>
      </c>
      <c r="D2310" t="s">
        <v>607</v>
      </c>
      <c r="E2310" t="s">
        <v>26</v>
      </c>
      <c r="F2310" t="s">
        <v>27</v>
      </c>
      <c r="G2310" t="s">
        <v>57</v>
      </c>
      <c r="H2310" t="s">
        <v>104</v>
      </c>
      <c r="I2310" t="s">
        <v>105</v>
      </c>
      <c r="J2310">
        <v>2</v>
      </c>
      <c r="K2310">
        <v>7500</v>
      </c>
      <c r="L2310">
        <v>0.2</v>
      </c>
      <c r="M2310">
        <v>12000</v>
      </c>
      <c r="N2310">
        <v>10400</v>
      </c>
      <c r="O2310">
        <v>1600</v>
      </c>
    </row>
    <row r="2311" spans="1:15" x14ac:dyDescent="0.25">
      <c r="A2311" t="s">
        <v>3374</v>
      </c>
      <c r="B2311" s="2">
        <v>47967</v>
      </c>
      <c r="C2311" t="s">
        <v>1869</v>
      </c>
      <c r="D2311" t="s">
        <v>1870</v>
      </c>
      <c r="E2311" t="s">
        <v>26</v>
      </c>
      <c r="F2311" t="s">
        <v>204</v>
      </c>
      <c r="G2311" t="s">
        <v>51</v>
      </c>
      <c r="H2311" t="s">
        <v>89</v>
      </c>
      <c r="I2311" t="s">
        <v>90</v>
      </c>
      <c r="J2311">
        <v>4</v>
      </c>
      <c r="K2311">
        <v>10500</v>
      </c>
      <c r="L2311">
        <v>0.15</v>
      </c>
      <c r="M2311">
        <v>35700</v>
      </c>
      <c r="N2311">
        <v>30400</v>
      </c>
      <c r="O2311">
        <v>5300</v>
      </c>
    </row>
    <row r="2312" spans="1:15" x14ac:dyDescent="0.25">
      <c r="A2312" t="s">
        <v>3375</v>
      </c>
      <c r="B2312" s="2">
        <v>47968</v>
      </c>
      <c r="C2312" t="s">
        <v>497</v>
      </c>
      <c r="D2312" t="s">
        <v>498</v>
      </c>
      <c r="E2312" t="s">
        <v>96</v>
      </c>
      <c r="F2312" t="s">
        <v>97</v>
      </c>
      <c r="G2312" t="s">
        <v>20</v>
      </c>
      <c r="H2312" t="s">
        <v>84</v>
      </c>
      <c r="I2312" t="s">
        <v>85</v>
      </c>
      <c r="J2312">
        <v>5</v>
      </c>
      <c r="K2312">
        <v>280</v>
      </c>
      <c r="L2312">
        <v>0.1</v>
      </c>
      <c r="M2312">
        <v>1260</v>
      </c>
      <c r="N2312">
        <v>800</v>
      </c>
      <c r="O2312">
        <v>460</v>
      </c>
    </row>
    <row r="2313" spans="1:15" x14ac:dyDescent="0.25">
      <c r="A2313" t="s">
        <v>3376</v>
      </c>
      <c r="B2313" s="2">
        <v>47969</v>
      </c>
      <c r="C2313" t="s">
        <v>194</v>
      </c>
      <c r="D2313" t="s">
        <v>195</v>
      </c>
      <c r="E2313" t="s">
        <v>96</v>
      </c>
      <c r="F2313" t="s">
        <v>97</v>
      </c>
      <c r="G2313" t="s">
        <v>28</v>
      </c>
      <c r="H2313" t="s">
        <v>29</v>
      </c>
      <c r="I2313" t="s">
        <v>35</v>
      </c>
      <c r="J2313">
        <v>5</v>
      </c>
      <c r="K2313">
        <v>4200</v>
      </c>
      <c r="L2313">
        <v>0</v>
      </c>
      <c r="M2313">
        <v>21000</v>
      </c>
      <c r="N2313">
        <v>14500</v>
      </c>
      <c r="O2313">
        <v>6500</v>
      </c>
    </row>
    <row r="2314" spans="1:15" x14ac:dyDescent="0.25">
      <c r="A2314" t="s">
        <v>3377</v>
      </c>
      <c r="B2314" s="2">
        <v>47970</v>
      </c>
      <c r="C2314" t="s">
        <v>206</v>
      </c>
      <c r="D2314" t="s">
        <v>207</v>
      </c>
      <c r="E2314" t="s">
        <v>96</v>
      </c>
      <c r="F2314" t="s">
        <v>196</v>
      </c>
      <c r="G2314" t="s">
        <v>20</v>
      </c>
      <c r="H2314" t="s">
        <v>84</v>
      </c>
      <c r="I2314" t="s">
        <v>210</v>
      </c>
      <c r="J2314">
        <v>3</v>
      </c>
      <c r="K2314">
        <v>300</v>
      </c>
      <c r="L2314">
        <v>0.15</v>
      </c>
      <c r="M2314">
        <v>765</v>
      </c>
      <c r="N2314">
        <v>510</v>
      </c>
      <c r="O2314">
        <v>255</v>
      </c>
    </row>
    <row r="2315" spans="1:15" x14ac:dyDescent="0.25">
      <c r="A2315" t="s">
        <v>3378</v>
      </c>
      <c r="B2315" s="2">
        <v>47971</v>
      </c>
      <c r="C2315" t="s">
        <v>1268</v>
      </c>
      <c r="D2315" t="s">
        <v>1269</v>
      </c>
      <c r="E2315" t="s">
        <v>39</v>
      </c>
      <c r="F2315" t="s">
        <v>40</v>
      </c>
      <c r="G2315" t="s">
        <v>57</v>
      </c>
      <c r="H2315" t="s">
        <v>104</v>
      </c>
      <c r="I2315" t="s">
        <v>105</v>
      </c>
      <c r="J2315">
        <v>2</v>
      </c>
      <c r="K2315">
        <v>7500</v>
      </c>
      <c r="L2315">
        <v>0.05</v>
      </c>
      <c r="M2315">
        <v>14250</v>
      </c>
      <c r="N2315">
        <v>10400</v>
      </c>
      <c r="O2315">
        <v>3850</v>
      </c>
    </row>
    <row r="2316" spans="1:15" x14ac:dyDescent="0.25">
      <c r="A2316" t="s">
        <v>3379</v>
      </c>
      <c r="B2316" s="2">
        <v>47972</v>
      </c>
      <c r="C2316" t="s">
        <v>1294</v>
      </c>
      <c r="D2316" t="s">
        <v>1295</v>
      </c>
      <c r="E2316" t="s">
        <v>26</v>
      </c>
      <c r="F2316" t="s">
        <v>128</v>
      </c>
      <c r="G2316" t="s">
        <v>51</v>
      </c>
      <c r="H2316" t="s">
        <v>21</v>
      </c>
      <c r="I2316" t="s">
        <v>116</v>
      </c>
      <c r="J2316">
        <v>4</v>
      </c>
      <c r="K2316">
        <v>1400</v>
      </c>
      <c r="L2316">
        <v>0.1</v>
      </c>
      <c r="M2316">
        <v>5040</v>
      </c>
      <c r="N2316">
        <v>3600</v>
      </c>
      <c r="O2316">
        <v>1440</v>
      </c>
    </row>
    <row r="2317" spans="1:15" x14ac:dyDescent="0.25">
      <c r="A2317" t="s">
        <v>3380</v>
      </c>
      <c r="B2317" s="2">
        <v>47973</v>
      </c>
      <c r="C2317" t="s">
        <v>1354</v>
      </c>
      <c r="D2317" t="s">
        <v>1355</v>
      </c>
      <c r="E2317" t="s">
        <v>39</v>
      </c>
      <c r="F2317" t="s">
        <v>40</v>
      </c>
      <c r="G2317" t="s">
        <v>20</v>
      </c>
      <c r="H2317" t="s">
        <v>21</v>
      </c>
      <c r="I2317" t="s">
        <v>22</v>
      </c>
      <c r="J2317">
        <v>2</v>
      </c>
      <c r="K2317">
        <v>650</v>
      </c>
      <c r="L2317">
        <v>0.1</v>
      </c>
      <c r="M2317">
        <v>1170</v>
      </c>
      <c r="N2317">
        <v>780</v>
      </c>
      <c r="O2317">
        <v>390</v>
      </c>
    </row>
    <row r="2318" spans="1:15" x14ac:dyDescent="0.25">
      <c r="A2318" t="s">
        <v>3381</v>
      </c>
      <c r="B2318" s="2">
        <v>47974</v>
      </c>
      <c r="C2318" t="s">
        <v>1049</v>
      </c>
      <c r="D2318" t="s">
        <v>1050</v>
      </c>
      <c r="E2318" t="s">
        <v>96</v>
      </c>
      <c r="F2318" t="s">
        <v>97</v>
      </c>
      <c r="G2318" t="s">
        <v>57</v>
      </c>
      <c r="H2318" t="s">
        <v>58</v>
      </c>
      <c r="I2318" t="s">
        <v>129</v>
      </c>
      <c r="J2318">
        <v>3</v>
      </c>
      <c r="K2318">
        <v>4800</v>
      </c>
      <c r="L2318">
        <v>0.05</v>
      </c>
      <c r="M2318">
        <v>13680</v>
      </c>
      <c r="N2318">
        <v>9900</v>
      </c>
      <c r="O2318">
        <v>3780</v>
      </c>
    </row>
    <row r="2319" spans="1:15" x14ac:dyDescent="0.25">
      <c r="A2319" t="s">
        <v>3382</v>
      </c>
      <c r="B2319" s="2">
        <v>47975</v>
      </c>
      <c r="C2319" t="s">
        <v>1471</v>
      </c>
      <c r="D2319" t="s">
        <v>1472</v>
      </c>
      <c r="E2319" t="s">
        <v>39</v>
      </c>
      <c r="F2319" t="s">
        <v>71</v>
      </c>
      <c r="G2319" t="s">
        <v>57</v>
      </c>
      <c r="H2319" t="s">
        <v>104</v>
      </c>
      <c r="I2319" t="s">
        <v>105</v>
      </c>
      <c r="J2319">
        <v>1</v>
      </c>
      <c r="K2319">
        <v>7500</v>
      </c>
      <c r="L2319">
        <v>0</v>
      </c>
      <c r="M2319">
        <v>7500</v>
      </c>
      <c r="N2319">
        <v>5200</v>
      </c>
      <c r="O2319">
        <v>2300</v>
      </c>
    </row>
    <row r="2320" spans="1:15" x14ac:dyDescent="0.25">
      <c r="A2320" t="s">
        <v>3383</v>
      </c>
      <c r="B2320" s="2">
        <v>47976</v>
      </c>
      <c r="C2320" t="s">
        <v>718</v>
      </c>
      <c r="D2320" t="s">
        <v>719</v>
      </c>
      <c r="E2320" t="s">
        <v>96</v>
      </c>
      <c r="F2320" t="s">
        <v>97</v>
      </c>
      <c r="G2320" t="s">
        <v>20</v>
      </c>
      <c r="H2320" t="s">
        <v>84</v>
      </c>
      <c r="I2320" t="s">
        <v>85</v>
      </c>
      <c r="J2320">
        <v>3</v>
      </c>
      <c r="K2320">
        <v>280</v>
      </c>
      <c r="L2320">
        <v>0.15</v>
      </c>
      <c r="M2320">
        <v>714</v>
      </c>
      <c r="N2320">
        <v>480</v>
      </c>
      <c r="O2320">
        <v>234</v>
      </c>
    </row>
    <row r="2321" spans="1:15" x14ac:dyDescent="0.25">
      <c r="A2321" t="s">
        <v>3384</v>
      </c>
      <c r="B2321" s="2">
        <v>47977</v>
      </c>
      <c r="C2321" t="s">
        <v>333</v>
      </c>
      <c r="D2321" t="s">
        <v>334</v>
      </c>
      <c r="E2321" t="s">
        <v>18</v>
      </c>
      <c r="F2321" t="s">
        <v>115</v>
      </c>
      <c r="G2321" t="s">
        <v>57</v>
      </c>
      <c r="H2321" t="s">
        <v>188</v>
      </c>
      <c r="I2321" t="s">
        <v>189</v>
      </c>
      <c r="J2321">
        <v>1</v>
      </c>
      <c r="K2321">
        <v>6200</v>
      </c>
      <c r="L2321">
        <v>0.2</v>
      </c>
      <c r="M2321">
        <v>4960</v>
      </c>
      <c r="N2321">
        <v>4300</v>
      </c>
      <c r="O2321">
        <v>660</v>
      </c>
    </row>
    <row r="2322" spans="1:15" x14ac:dyDescent="0.25">
      <c r="A2322" t="s">
        <v>3385</v>
      </c>
      <c r="B2322" s="2">
        <v>47978</v>
      </c>
      <c r="C2322" t="s">
        <v>469</v>
      </c>
      <c r="D2322" t="s">
        <v>470</v>
      </c>
      <c r="E2322" t="s">
        <v>96</v>
      </c>
      <c r="F2322" t="s">
        <v>97</v>
      </c>
      <c r="G2322" t="s">
        <v>20</v>
      </c>
      <c r="H2322" t="s">
        <v>84</v>
      </c>
      <c r="I2322" t="s">
        <v>169</v>
      </c>
      <c r="J2322">
        <v>4</v>
      </c>
      <c r="K2322">
        <v>450</v>
      </c>
      <c r="L2322">
        <v>0.05</v>
      </c>
      <c r="M2322">
        <v>1710</v>
      </c>
      <c r="N2322">
        <v>1040</v>
      </c>
      <c r="O2322">
        <v>670</v>
      </c>
    </row>
    <row r="2323" spans="1:15" x14ac:dyDescent="0.25">
      <c r="A2323" t="s">
        <v>3386</v>
      </c>
      <c r="B2323" s="2">
        <v>47979</v>
      </c>
      <c r="C2323" t="s">
        <v>1793</v>
      </c>
      <c r="D2323" t="s">
        <v>1794</v>
      </c>
      <c r="E2323" t="s">
        <v>39</v>
      </c>
      <c r="F2323" t="s">
        <v>71</v>
      </c>
      <c r="G2323" t="s">
        <v>51</v>
      </c>
      <c r="H2323" t="s">
        <v>21</v>
      </c>
      <c r="I2323" t="s">
        <v>80</v>
      </c>
      <c r="J2323">
        <v>2</v>
      </c>
      <c r="K2323">
        <v>850</v>
      </c>
      <c r="L2323">
        <v>0</v>
      </c>
      <c r="M2323">
        <v>1700</v>
      </c>
      <c r="N2323">
        <v>1120</v>
      </c>
      <c r="O2323">
        <v>580</v>
      </c>
    </row>
    <row r="2324" spans="1:15" x14ac:dyDescent="0.25">
      <c r="A2324" t="s">
        <v>3387</v>
      </c>
      <c r="B2324" s="2">
        <v>47980</v>
      </c>
      <c r="C2324" t="s">
        <v>865</v>
      </c>
      <c r="D2324" t="s">
        <v>866</v>
      </c>
      <c r="E2324" t="s">
        <v>39</v>
      </c>
      <c r="F2324" t="s">
        <v>76</v>
      </c>
      <c r="G2324" t="s">
        <v>57</v>
      </c>
      <c r="H2324" t="s">
        <v>58</v>
      </c>
      <c r="I2324" t="s">
        <v>59</v>
      </c>
      <c r="J2324">
        <v>4</v>
      </c>
      <c r="K2324">
        <v>5600</v>
      </c>
      <c r="L2324">
        <v>0.15</v>
      </c>
      <c r="M2324">
        <v>19040</v>
      </c>
      <c r="N2324">
        <v>15600</v>
      </c>
      <c r="O2324">
        <v>3440</v>
      </c>
    </row>
    <row r="2325" spans="1:15" x14ac:dyDescent="0.25">
      <c r="A2325" t="s">
        <v>3388</v>
      </c>
      <c r="B2325" s="2">
        <v>47981</v>
      </c>
      <c r="C2325" t="s">
        <v>308</v>
      </c>
      <c r="D2325" t="s">
        <v>309</v>
      </c>
      <c r="E2325" t="s">
        <v>26</v>
      </c>
      <c r="F2325" t="s">
        <v>204</v>
      </c>
      <c r="G2325" t="s">
        <v>51</v>
      </c>
      <c r="H2325" t="s">
        <v>21</v>
      </c>
      <c r="I2325" t="s">
        <v>80</v>
      </c>
      <c r="J2325">
        <v>2</v>
      </c>
      <c r="K2325">
        <v>850</v>
      </c>
      <c r="L2325">
        <v>0.05</v>
      </c>
      <c r="M2325">
        <v>1615</v>
      </c>
      <c r="N2325">
        <v>1120</v>
      </c>
      <c r="O2325">
        <v>495</v>
      </c>
    </row>
    <row r="2326" spans="1:15" x14ac:dyDescent="0.25">
      <c r="A2326" t="s">
        <v>3389</v>
      </c>
      <c r="B2326" s="2">
        <v>47982</v>
      </c>
      <c r="C2326" t="s">
        <v>1461</v>
      </c>
      <c r="D2326" t="s">
        <v>1462</v>
      </c>
      <c r="E2326" t="s">
        <v>39</v>
      </c>
      <c r="F2326" t="s">
        <v>40</v>
      </c>
      <c r="G2326" t="s">
        <v>51</v>
      </c>
      <c r="H2326" t="s">
        <v>21</v>
      </c>
      <c r="I2326" t="s">
        <v>72</v>
      </c>
      <c r="J2326">
        <v>5</v>
      </c>
      <c r="K2326">
        <v>1800</v>
      </c>
      <c r="L2326">
        <v>0.05</v>
      </c>
      <c r="M2326">
        <v>8550</v>
      </c>
      <c r="N2326">
        <v>5500</v>
      </c>
      <c r="O2326">
        <v>3050</v>
      </c>
    </row>
    <row r="2327" spans="1:15" x14ac:dyDescent="0.25">
      <c r="A2327" t="s">
        <v>3390</v>
      </c>
      <c r="B2327" s="2">
        <v>47983</v>
      </c>
      <c r="C2327" t="s">
        <v>994</v>
      </c>
      <c r="D2327" t="s">
        <v>995</v>
      </c>
      <c r="E2327" t="s">
        <v>26</v>
      </c>
      <c r="F2327" t="s">
        <v>27</v>
      </c>
      <c r="G2327" t="s">
        <v>20</v>
      </c>
      <c r="H2327" t="s">
        <v>21</v>
      </c>
      <c r="I2327" t="s">
        <v>22</v>
      </c>
      <c r="J2327">
        <v>5</v>
      </c>
      <c r="K2327">
        <v>650</v>
      </c>
      <c r="L2327">
        <v>0.2</v>
      </c>
      <c r="M2327">
        <v>2600</v>
      </c>
      <c r="N2327">
        <v>1950</v>
      </c>
      <c r="O2327">
        <v>650</v>
      </c>
    </row>
    <row r="2328" spans="1:15" x14ac:dyDescent="0.25">
      <c r="A2328" t="s">
        <v>3391</v>
      </c>
      <c r="B2328" s="2">
        <v>47984</v>
      </c>
      <c r="C2328" t="s">
        <v>1750</v>
      </c>
      <c r="D2328" t="s">
        <v>1751</v>
      </c>
      <c r="E2328" t="s">
        <v>26</v>
      </c>
      <c r="F2328" t="s">
        <v>204</v>
      </c>
      <c r="G2328" t="s">
        <v>57</v>
      </c>
      <c r="H2328" t="s">
        <v>188</v>
      </c>
      <c r="I2328" t="s">
        <v>189</v>
      </c>
      <c r="J2328">
        <v>3</v>
      </c>
      <c r="K2328">
        <v>6200</v>
      </c>
      <c r="L2328">
        <v>0.05</v>
      </c>
      <c r="M2328">
        <v>17670</v>
      </c>
      <c r="N2328">
        <v>12900</v>
      </c>
      <c r="O2328">
        <v>4770</v>
      </c>
    </row>
    <row r="2329" spans="1:15" x14ac:dyDescent="0.25">
      <c r="A2329" t="s">
        <v>3392</v>
      </c>
      <c r="B2329" s="2">
        <v>47985</v>
      </c>
      <c r="C2329" t="s">
        <v>876</v>
      </c>
      <c r="D2329" t="s">
        <v>877</v>
      </c>
      <c r="E2329" t="s">
        <v>39</v>
      </c>
      <c r="F2329" t="s">
        <v>124</v>
      </c>
      <c r="G2329" t="s">
        <v>20</v>
      </c>
      <c r="H2329" t="s">
        <v>41</v>
      </c>
      <c r="I2329" t="s">
        <v>42</v>
      </c>
      <c r="J2329">
        <v>2</v>
      </c>
      <c r="K2329">
        <v>520</v>
      </c>
      <c r="L2329">
        <v>0.15</v>
      </c>
      <c r="M2329">
        <v>884</v>
      </c>
      <c r="N2329">
        <v>660</v>
      </c>
      <c r="O2329">
        <v>224</v>
      </c>
    </row>
    <row r="2330" spans="1:15" x14ac:dyDescent="0.25">
      <c r="A2330" t="s">
        <v>3393</v>
      </c>
      <c r="B2330" s="2">
        <v>47986</v>
      </c>
      <c r="C2330" t="s">
        <v>494</v>
      </c>
      <c r="D2330" t="s">
        <v>495</v>
      </c>
      <c r="E2330" t="s">
        <v>39</v>
      </c>
      <c r="F2330" t="s">
        <v>71</v>
      </c>
      <c r="G2330" t="s">
        <v>28</v>
      </c>
      <c r="H2330" t="s">
        <v>29</v>
      </c>
      <c r="I2330" t="s">
        <v>47</v>
      </c>
      <c r="J2330">
        <v>3</v>
      </c>
      <c r="K2330">
        <v>6800</v>
      </c>
      <c r="L2330">
        <v>0.2</v>
      </c>
      <c r="M2330">
        <v>16320</v>
      </c>
      <c r="N2330">
        <v>14100</v>
      </c>
      <c r="O2330">
        <v>2220</v>
      </c>
    </row>
    <row r="2331" spans="1:15" x14ac:dyDescent="0.25">
      <c r="A2331" t="s">
        <v>3394</v>
      </c>
      <c r="B2331" s="2">
        <v>47987</v>
      </c>
      <c r="C2331" t="s">
        <v>817</v>
      </c>
      <c r="D2331" t="s">
        <v>818</v>
      </c>
      <c r="E2331" t="s">
        <v>39</v>
      </c>
      <c r="F2331" t="s">
        <v>76</v>
      </c>
      <c r="G2331" t="s">
        <v>57</v>
      </c>
      <c r="H2331" t="s">
        <v>58</v>
      </c>
      <c r="I2331" t="s">
        <v>129</v>
      </c>
      <c r="J2331">
        <v>3</v>
      </c>
      <c r="K2331">
        <v>4800</v>
      </c>
      <c r="L2331">
        <v>0.1</v>
      </c>
      <c r="M2331">
        <v>12960</v>
      </c>
      <c r="N2331">
        <v>9900</v>
      </c>
      <c r="O2331">
        <v>3060</v>
      </c>
    </row>
    <row r="2332" spans="1:15" x14ac:dyDescent="0.25">
      <c r="A2332" t="s">
        <v>3395</v>
      </c>
      <c r="B2332" s="2">
        <v>47988</v>
      </c>
      <c r="C2332" t="s">
        <v>1180</v>
      </c>
      <c r="D2332" t="s">
        <v>1181</v>
      </c>
      <c r="E2332" t="s">
        <v>26</v>
      </c>
      <c r="F2332" t="s">
        <v>204</v>
      </c>
      <c r="G2332" t="s">
        <v>51</v>
      </c>
      <c r="H2332" t="s">
        <v>21</v>
      </c>
      <c r="I2332" t="s">
        <v>116</v>
      </c>
      <c r="J2332">
        <v>3</v>
      </c>
      <c r="K2332">
        <v>1400</v>
      </c>
      <c r="L2332">
        <v>0.25</v>
      </c>
      <c r="M2332">
        <v>3150</v>
      </c>
      <c r="N2332">
        <v>2700</v>
      </c>
      <c r="O2332">
        <v>450</v>
      </c>
    </row>
    <row r="2333" spans="1:15" x14ac:dyDescent="0.25">
      <c r="A2333" t="s">
        <v>3396</v>
      </c>
      <c r="B2333" s="2">
        <v>47989</v>
      </c>
      <c r="C2333" t="s">
        <v>1240</v>
      </c>
      <c r="D2333" t="s">
        <v>1241</v>
      </c>
      <c r="E2333" t="s">
        <v>39</v>
      </c>
      <c r="F2333" t="s">
        <v>76</v>
      </c>
      <c r="G2333" t="s">
        <v>57</v>
      </c>
      <c r="H2333" t="s">
        <v>188</v>
      </c>
      <c r="I2333" t="s">
        <v>189</v>
      </c>
      <c r="J2333">
        <v>1</v>
      </c>
      <c r="K2333">
        <v>6200</v>
      </c>
      <c r="L2333">
        <v>0.15</v>
      </c>
      <c r="M2333">
        <v>5270</v>
      </c>
      <c r="N2333">
        <v>4300</v>
      </c>
      <c r="O2333">
        <v>970</v>
      </c>
    </row>
    <row r="2334" spans="1:15" x14ac:dyDescent="0.25">
      <c r="A2334" t="s">
        <v>3397</v>
      </c>
      <c r="B2334" s="2">
        <v>47990</v>
      </c>
      <c r="C2334" t="s">
        <v>333</v>
      </c>
      <c r="D2334" t="s">
        <v>334</v>
      </c>
      <c r="E2334" t="s">
        <v>26</v>
      </c>
      <c r="F2334" t="s">
        <v>204</v>
      </c>
      <c r="G2334" t="s">
        <v>20</v>
      </c>
      <c r="H2334" t="s">
        <v>21</v>
      </c>
      <c r="I2334" t="s">
        <v>22</v>
      </c>
      <c r="J2334">
        <v>5</v>
      </c>
      <c r="K2334">
        <v>650</v>
      </c>
      <c r="L2334">
        <v>0.05</v>
      </c>
      <c r="M2334">
        <v>3087.5</v>
      </c>
      <c r="N2334">
        <v>1950</v>
      </c>
      <c r="O2334">
        <v>1137.5</v>
      </c>
    </row>
    <row r="2335" spans="1:15" x14ac:dyDescent="0.25">
      <c r="A2335" t="s">
        <v>3398</v>
      </c>
      <c r="B2335" s="2">
        <v>47991</v>
      </c>
      <c r="C2335" t="s">
        <v>1498</v>
      </c>
      <c r="D2335" t="s">
        <v>1499</v>
      </c>
      <c r="E2335" t="s">
        <v>18</v>
      </c>
      <c r="F2335" t="s">
        <v>115</v>
      </c>
      <c r="G2335" t="s">
        <v>28</v>
      </c>
      <c r="H2335" t="s">
        <v>63</v>
      </c>
      <c r="I2335" t="s">
        <v>64</v>
      </c>
      <c r="J2335">
        <v>1</v>
      </c>
      <c r="K2335">
        <v>2400</v>
      </c>
      <c r="L2335">
        <v>0.15</v>
      </c>
      <c r="M2335">
        <v>2040</v>
      </c>
      <c r="N2335">
        <v>1650</v>
      </c>
      <c r="O2335">
        <v>390</v>
      </c>
    </row>
    <row r="2336" spans="1:15" x14ac:dyDescent="0.25">
      <c r="A2336" t="s">
        <v>3399</v>
      </c>
      <c r="B2336" s="2">
        <v>47992</v>
      </c>
      <c r="C2336" t="s">
        <v>393</v>
      </c>
      <c r="D2336" t="s">
        <v>394</v>
      </c>
      <c r="E2336" t="s">
        <v>39</v>
      </c>
      <c r="F2336" t="s">
        <v>40</v>
      </c>
      <c r="G2336" t="s">
        <v>20</v>
      </c>
      <c r="H2336" t="s">
        <v>84</v>
      </c>
      <c r="I2336" t="s">
        <v>85</v>
      </c>
      <c r="J2336">
        <v>5</v>
      </c>
      <c r="K2336">
        <v>280</v>
      </c>
      <c r="L2336">
        <v>0.05</v>
      </c>
      <c r="M2336">
        <v>1330</v>
      </c>
      <c r="N2336">
        <v>800</v>
      </c>
      <c r="O2336">
        <v>530</v>
      </c>
    </row>
    <row r="2337" spans="1:15" x14ac:dyDescent="0.25">
      <c r="A2337" t="s">
        <v>3400</v>
      </c>
      <c r="B2337" s="2">
        <v>47993</v>
      </c>
      <c r="C2337" t="s">
        <v>633</v>
      </c>
      <c r="D2337" t="s">
        <v>634</v>
      </c>
      <c r="E2337" t="s">
        <v>39</v>
      </c>
      <c r="F2337" t="s">
        <v>124</v>
      </c>
      <c r="G2337" t="s">
        <v>51</v>
      </c>
      <c r="H2337" t="s">
        <v>89</v>
      </c>
      <c r="I2337" t="s">
        <v>90</v>
      </c>
      <c r="J2337">
        <v>4</v>
      </c>
      <c r="K2337">
        <v>10500</v>
      </c>
      <c r="L2337">
        <v>0.05</v>
      </c>
      <c r="M2337">
        <v>39900</v>
      </c>
      <c r="N2337">
        <v>30400</v>
      </c>
      <c r="O2337">
        <v>9500</v>
      </c>
    </row>
    <row r="2338" spans="1:15" x14ac:dyDescent="0.25">
      <c r="A2338" t="s">
        <v>3401</v>
      </c>
      <c r="B2338" s="2">
        <v>47994</v>
      </c>
      <c r="C2338" t="s">
        <v>669</v>
      </c>
      <c r="D2338" t="s">
        <v>670</v>
      </c>
      <c r="E2338" t="s">
        <v>26</v>
      </c>
      <c r="F2338" t="s">
        <v>34</v>
      </c>
      <c r="G2338" t="s">
        <v>57</v>
      </c>
      <c r="H2338" t="s">
        <v>104</v>
      </c>
      <c r="I2338" t="s">
        <v>105</v>
      </c>
      <c r="J2338">
        <v>3</v>
      </c>
      <c r="K2338">
        <v>7500</v>
      </c>
      <c r="L2338">
        <v>0.1</v>
      </c>
      <c r="M2338">
        <v>20250</v>
      </c>
      <c r="N2338">
        <v>15600</v>
      </c>
      <c r="O2338">
        <v>4650</v>
      </c>
    </row>
    <row r="2339" spans="1:15" x14ac:dyDescent="0.25">
      <c r="A2339" t="s">
        <v>3402</v>
      </c>
      <c r="B2339" s="2">
        <v>47995</v>
      </c>
      <c r="C2339" t="s">
        <v>393</v>
      </c>
      <c r="D2339" t="s">
        <v>394</v>
      </c>
      <c r="E2339" t="s">
        <v>39</v>
      </c>
      <c r="F2339" t="s">
        <v>124</v>
      </c>
      <c r="G2339" t="s">
        <v>51</v>
      </c>
      <c r="H2339" t="s">
        <v>21</v>
      </c>
      <c r="I2339" t="s">
        <v>80</v>
      </c>
      <c r="J2339">
        <v>2</v>
      </c>
      <c r="K2339">
        <v>850</v>
      </c>
      <c r="L2339">
        <v>0.05</v>
      </c>
      <c r="M2339">
        <v>1615</v>
      </c>
      <c r="N2339">
        <v>1120</v>
      </c>
      <c r="O2339">
        <v>495</v>
      </c>
    </row>
    <row r="2340" spans="1:15" x14ac:dyDescent="0.25">
      <c r="A2340" t="s">
        <v>3403</v>
      </c>
      <c r="B2340" s="2">
        <v>47996</v>
      </c>
      <c r="C2340" t="s">
        <v>340</v>
      </c>
      <c r="D2340" t="s">
        <v>341</v>
      </c>
      <c r="E2340" t="s">
        <v>39</v>
      </c>
      <c r="F2340" t="s">
        <v>71</v>
      </c>
      <c r="G2340" t="s">
        <v>28</v>
      </c>
      <c r="H2340" t="s">
        <v>29</v>
      </c>
      <c r="I2340" t="s">
        <v>47</v>
      </c>
      <c r="J2340">
        <v>4</v>
      </c>
      <c r="K2340">
        <v>6800</v>
      </c>
      <c r="L2340">
        <v>0</v>
      </c>
      <c r="M2340">
        <v>27200</v>
      </c>
      <c r="N2340">
        <v>18800</v>
      </c>
      <c r="O2340">
        <v>8400</v>
      </c>
    </row>
    <row r="2341" spans="1:15" x14ac:dyDescent="0.25">
      <c r="A2341" t="s">
        <v>3404</v>
      </c>
      <c r="B2341" s="2">
        <v>47997</v>
      </c>
      <c r="C2341" t="s">
        <v>960</v>
      </c>
      <c r="D2341" t="s">
        <v>961</v>
      </c>
      <c r="E2341" t="s">
        <v>39</v>
      </c>
      <c r="F2341" t="s">
        <v>40</v>
      </c>
      <c r="G2341" t="s">
        <v>57</v>
      </c>
      <c r="H2341" t="s">
        <v>58</v>
      </c>
      <c r="I2341" t="s">
        <v>129</v>
      </c>
      <c r="J2341">
        <v>1</v>
      </c>
      <c r="K2341">
        <v>4800</v>
      </c>
      <c r="L2341">
        <v>0.15</v>
      </c>
      <c r="M2341">
        <v>4080</v>
      </c>
      <c r="N2341">
        <v>3300</v>
      </c>
      <c r="O2341">
        <v>780</v>
      </c>
    </row>
    <row r="2342" spans="1:15" x14ac:dyDescent="0.25">
      <c r="A2342" t="s">
        <v>3405</v>
      </c>
      <c r="B2342" s="2">
        <v>47998</v>
      </c>
      <c r="C2342" t="s">
        <v>1693</v>
      </c>
      <c r="D2342" t="s">
        <v>1694</v>
      </c>
      <c r="E2342" t="s">
        <v>26</v>
      </c>
      <c r="F2342" t="s">
        <v>46</v>
      </c>
      <c r="G2342" t="s">
        <v>28</v>
      </c>
      <c r="H2342" t="s">
        <v>29</v>
      </c>
      <c r="I2342" t="s">
        <v>30</v>
      </c>
      <c r="J2342">
        <v>3</v>
      </c>
      <c r="K2342">
        <v>1900</v>
      </c>
      <c r="L2342">
        <v>0.05</v>
      </c>
      <c r="M2342">
        <v>5415</v>
      </c>
      <c r="N2342">
        <v>3750</v>
      </c>
      <c r="O2342">
        <v>1665</v>
      </c>
    </row>
    <row r="2343" spans="1:15" x14ac:dyDescent="0.25">
      <c r="A2343" t="s">
        <v>3406</v>
      </c>
      <c r="B2343" s="2">
        <v>47999</v>
      </c>
      <c r="C2343" t="s">
        <v>2574</v>
      </c>
      <c r="D2343" t="s">
        <v>2575</v>
      </c>
      <c r="E2343" t="s">
        <v>26</v>
      </c>
      <c r="F2343" t="s">
        <v>27</v>
      </c>
      <c r="G2343" t="s">
        <v>51</v>
      </c>
      <c r="H2343" t="s">
        <v>89</v>
      </c>
      <c r="I2343" t="s">
        <v>90</v>
      </c>
      <c r="J2343">
        <v>5</v>
      </c>
      <c r="K2343">
        <v>10500</v>
      </c>
      <c r="L2343">
        <v>0.2</v>
      </c>
      <c r="M2343">
        <v>42000</v>
      </c>
      <c r="N2343">
        <v>38000</v>
      </c>
      <c r="O2343">
        <v>4000</v>
      </c>
    </row>
    <row r="2344" spans="1:15" x14ac:dyDescent="0.25">
      <c r="A2344" t="s">
        <v>3407</v>
      </c>
      <c r="B2344" s="2">
        <v>48000</v>
      </c>
      <c r="C2344" t="s">
        <v>314</v>
      </c>
      <c r="D2344" t="s">
        <v>315</v>
      </c>
      <c r="E2344" t="s">
        <v>26</v>
      </c>
      <c r="F2344" t="s">
        <v>27</v>
      </c>
      <c r="G2344" t="s">
        <v>20</v>
      </c>
      <c r="H2344" t="s">
        <v>84</v>
      </c>
      <c r="I2344" t="s">
        <v>169</v>
      </c>
      <c r="J2344">
        <v>4</v>
      </c>
      <c r="K2344">
        <v>450</v>
      </c>
      <c r="L2344">
        <v>0.2</v>
      </c>
      <c r="M2344">
        <v>1440</v>
      </c>
      <c r="N2344">
        <v>1040</v>
      </c>
      <c r="O2344">
        <v>400</v>
      </c>
    </row>
    <row r="2345" spans="1:15" x14ac:dyDescent="0.25">
      <c r="A2345" t="s">
        <v>3408</v>
      </c>
      <c r="B2345" s="2">
        <v>48001</v>
      </c>
      <c r="C2345" t="s">
        <v>803</v>
      </c>
      <c r="D2345" t="s">
        <v>804</v>
      </c>
      <c r="E2345" t="s">
        <v>39</v>
      </c>
      <c r="F2345" t="s">
        <v>71</v>
      </c>
      <c r="G2345" t="s">
        <v>20</v>
      </c>
      <c r="H2345" t="s">
        <v>84</v>
      </c>
      <c r="I2345" t="s">
        <v>85</v>
      </c>
      <c r="J2345">
        <v>5</v>
      </c>
      <c r="K2345">
        <v>280</v>
      </c>
      <c r="L2345">
        <v>0.15</v>
      </c>
      <c r="M2345">
        <v>1190</v>
      </c>
      <c r="N2345">
        <v>800</v>
      </c>
      <c r="O2345">
        <v>390</v>
      </c>
    </row>
    <row r="2346" spans="1:15" x14ac:dyDescent="0.25">
      <c r="A2346" t="s">
        <v>3409</v>
      </c>
      <c r="B2346" s="2">
        <v>48002</v>
      </c>
      <c r="C2346" t="s">
        <v>1276</v>
      </c>
      <c r="D2346" t="s">
        <v>1277</v>
      </c>
      <c r="E2346" t="s">
        <v>96</v>
      </c>
      <c r="F2346" t="s">
        <v>120</v>
      </c>
      <c r="G2346" t="s">
        <v>20</v>
      </c>
      <c r="H2346" t="s">
        <v>84</v>
      </c>
      <c r="I2346" t="s">
        <v>85</v>
      </c>
      <c r="J2346">
        <v>5</v>
      </c>
      <c r="K2346">
        <v>280</v>
      </c>
      <c r="L2346">
        <v>0.15</v>
      </c>
      <c r="M2346">
        <v>1190</v>
      </c>
      <c r="N2346">
        <v>800</v>
      </c>
      <c r="O2346">
        <v>390</v>
      </c>
    </row>
    <row r="2347" spans="1:15" x14ac:dyDescent="0.25">
      <c r="A2347" t="s">
        <v>3410</v>
      </c>
      <c r="B2347" s="2">
        <v>48003</v>
      </c>
      <c r="C2347" t="s">
        <v>1964</v>
      </c>
      <c r="D2347" t="s">
        <v>1965</v>
      </c>
      <c r="E2347" t="s">
        <v>26</v>
      </c>
      <c r="F2347" t="s">
        <v>34</v>
      </c>
      <c r="G2347" t="s">
        <v>28</v>
      </c>
      <c r="H2347" t="s">
        <v>29</v>
      </c>
      <c r="I2347" t="s">
        <v>30</v>
      </c>
      <c r="J2347">
        <v>4</v>
      </c>
      <c r="K2347">
        <v>1900</v>
      </c>
      <c r="L2347">
        <v>0.1</v>
      </c>
      <c r="M2347">
        <v>6840</v>
      </c>
      <c r="N2347">
        <v>5000</v>
      </c>
      <c r="O2347">
        <v>1840</v>
      </c>
    </row>
    <row r="2348" spans="1:15" x14ac:dyDescent="0.25">
      <c r="A2348" t="s">
        <v>3411</v>
      </c>
      <c r="B2348" s="2">
        <v>48004</v>
      </c>
      <c r="C2348" t="s">
        <v>960</v>
      </c>
      <c r="D2348" t="s">
        <v>961</v>
      </c>
      <c r="E2348" t="s">
        <v>26</v>
      </c>
      <c r="F2348" t="s">
        <v>128</v>
      </c>
      <c r="G2348" t="s">
        <v>20</v>
      </c>
      <c r="H2348" t="s">
        <v>41</v>
      </c>
      <c r="I2348" t="s">
        <v>42</v>
      </c>
      <c r="J2348">
        <v>2</v>
      </c>
      <c r="K2348">
        <v>520</v>
      </c>
      <c r="L2348">
        <v>0.2</v>
      </c>
      <c r="M2348">
        <v>832</v>
      </c>
      <c r="N2348">
        <v>660</v>
      </c>
      <c r="O2348">
        <v>172</v>
      </c>
    </row>
    <row r="2349" spans="1:15" x14ac:dyDescent="0.25">
      <c r="A2349" t="s">
        <v>3412</v>
      </c>
      <c r="B2349" s="2">
        <v>48005</v>
      </c>
      <c r="C2349" t="s">
        <v>405</v>
      </c>
      <c r="D2349" t="s">
        <v>406</v>
      </c>
      <c r="E2349" t="s">
        <v>26</v>
      </c>
      <c r="F2349" t="s">
        <v>46</v>
      </c>
      <c r="G2349" t="s">
        <v>57</v>
      </c>
      <c r="H2349" t="s">
        <v>58</v>
      </c>
      <c r="I2349" t="s">
        <v>59</v>
      </c>
      <c r="J2349">
        <v>5</v>
      </c>
      <c r="K2349">
        <v>5600</v>
      </c>
      <c r="L2349">
        <v>0</v>
      </c>
      <c r="M2349">
        <v>28000</v>
      </c>
      <c r="N2349">
        <v>19500</v>
      </c>
      <c r="O2349">
        <v>8500</v>
      </c>
    </row>
    <row r="2350" spans="1:15" x14ac:dyDescent="0.25">
      <c r="A2350" t="s">
        <v>3413</v>
      </c>
      <c r="B2350" s="2">
        <v>48006</v>
      </c>
      <c r="C2350" t="s">
        <v>66</v>
      </c>
      <c r="D2350" t="s">
        <v>67</v>
      </c>
      <c r="E2350" t="s">
        <v>39</v>
      </c>
      <c r="F2350" t="s">
        <v>71</v>
      </c>
      <c r="G2350" t="s">
        <v>28</v>
      </c>
      <c r="H2350" t="s">
        <v>29</v>
      </c>
      <c r="I2350" t="s">
        <v>30</v>
      </c>
      <c r="J2350">
        <v>3</v>
      </c>
      <c r="K2350">
        <v>1900</v>
      </c>
      <c r="L2350">
        <v>0.15</v>
      </c>
      <c r="M2350">
        <v>4845</v>
      </c>
      <c r="N2350">
        <v>3750</v>
      </c>
      <c r="O2350">
        <v>1095</v>
      </c>
    </row>
    <row r="2351" spans="1:15" x14ac:dyDescent="0.25">
      <c r="A2351" t="s">
        <v>3414</v>
      </c>
      <c r="B2351" s="2">
        <v>48007</v>
      </c>
      <c r="C2351" t="s">
        <v>1471</v>
      </c>
      <c r="D2351" t="s">
        <v>1472</v>
      </c>
      <c r="E2351" t="s">
        <v>18</v>
      </c>
      <c r="F2351" t="s">
        <v>115</v>
      </c>
      <c r="G2351" t="s">
        <v>20</v>
      </c>
      <c r="H2351" t="s">
        <v>21</v>
      </c>
      <c r="I2351" t="s">
        <v>22</v>
      </c>
      <c r="J2351">
        <v>1</v>
      </c>
      <c r="K2351">
        <v>650</v>
      </c>
      <c r="L2351">
        <v>0.05</v>
      </c>
      <c r="M2351">
        <v>617.5</v>
      </c>
      <c r="N2351">
        <v>390</v>
      </c>
      <c r="O2351">
        <v>227.5</v>
      </c>
    </row>
    <row r="2352" spans="1:15" x14ac:dyDescent="0.25">
      <c r="A2352" t="s">
        <v>3415</v>
      </c>
      <c r="B2352" s="2">
        <v>48008</v>
      </c>
      <c r="C2352" t="s">
        <v>834</v>
      </c>
      <c r="D2352" t="s">
        <v>835</v>
      </c>
      <c r="E2352" t="s">
        <v>26</v>
      </c>
      <c r="F2352" t="s">
        <v>204</v>
      </c>
      <c r="G2352" t="s">
        <v>57</v>
      </c>
      <c r="H2352" t="s">
        <v>58</v>
      </c>
      <c r="I2352" t="s">
        <v>129</v>
      </c>
      <c r="J2352">
        <v>1</v>
      </c>
      <c r="K2352">
        <v>4800</v>
      </c>
      <c r="L2352">
        <v>0.05</v>
      </c>
      <c r="M2352">
        <v>4560</v>
      </c>
      <c r="N2352">
        <v>3300</v>
      </c>
      <c r="O2352">
        <v>1260</v>
      </c>
    </row>
    <row r="2353" spans="1:15" x14ac:dyDescent="0.25">
      <c r="A2353" t="s">
        <v>3416</v>
      </c>
      <c r="B2353" s="2">
        <v>48009</v>
      </c>
      <c r="C2353" t="s">
        <v>2131</v>
      </c>
      <c r="D2353" t="s">
        <v>2132</v>
      </c>
      <c r="E2353" t="s">
        <v>26</v>
      </c>
      <c r="F2353" t="s">
        <v>34</v>
      </c>
      <c r="G2353" t="s">
        <v>51</v>
      </c>
      <c r="H2353" t="s">
        <v>21</v>
      </c>
      <c r="I2353" t="s">
        <v>80</v>
      </c>
      <c r="J2353">
        <v>2</v>
      </c>
      <c r="K2353">
        <v>850</v>
      </c>
      <c r="L2353">
        <v>0.15</v>
      </c>
      <c r="M2353">
        <v>1445</v>
      </c>
      <c r="N2353">
        <v>1120</v>
      </c>
      <c r="O2353">
        <v>325</v>
      </c>
    </row>
    <row r="2354" spans="1:15" x14ac:dyDescent="0.25">
      <c r="A2354" t="s">
        <v>3417</v>
      </c>
      <c r="B2354" s="2">
        <v>48010</v>
      </c>
      <c r="C2354" t="s">
        <v>1430</v>
      </c>
      <c r="D2354" t="s">
        <v>1431</v>
      </c>
      <c r="E2354" t="s">
        <v>39</v>
      </c>
      <c r="F2354" t="s">
        <v>124</v>
      </c>
      <c r="G2354" t="s">
        <v>51</v>
      </c>
      <c r="H2354" t="s">
        <v>89</v>
      </c>
      <c r="I2354" t="s">
        <v>90</v>
      </c>
      <c r="J2354">
        <v>2</v>
      </c>
      <c r="K2354">
        <v>10500</v>
      </c>
      <c r="L2354">
        <v>0.2</v>
      </c>
      <c r="M2354">
        <v>16800</v>
      </c>
      <c r="N2354">
        <v>15200</v>
      </c>
      <c r="O2354">
        <v>1600</v>
      </c>
    </row>
    <row r="2355" spans="1:15" x14ac:dyDescent="0.25">
      <c r="A2355" t="s">
        <v>3418</v>
      </c>
      <c r="B2355" s="2">
        <v>48011</v>
      </c>
      <c r="C2355" t="s">
        <v>137</v>
      </c>
      <c r="D2355" t="s">
        <v>138</v>
      </c>
      <c r="E2355" t="s">
        <v>26</v>
      </c>
      <c r="F2355" t="s">
        <v>128</v>
      </c>
      <c r="G2355" t="s">
        <v>28</v>
      </c>
      <c r="H2355" t="s">
        <v>29</v>
      </c>
      <c r="I2355" t="s">
        <v>47</v>
      </c>
      <c r="J2355">
        <v>4</v>
      </c>
      <c r="K2355">
        <v>6800</v>
      </c>
      <c r="L2355">
        <v>0.15</v>
      </c>
      <c r="M2355">
        <v>23120</v>
      </c>
      <c r="N2355">
        <v>18800</v>
      </c>
      <c r="O2355">
        <v>4320</v>
      </c>
    </row>
    <row r="2356" spans="1:15" x14ac:dyDescent="0.25">
      <c r="A2356" t="s">
        <v>3419</v>
      </c>
      <c r="B2356" s="2">
        <v>48012</v>
      </c>
      <c r="C2356" t="s">
        <v>1538</v>
      </c>
      <c r="D2356" t="s">
        <v>1539</v>
      </c>
      <c r="E2356" t="s">
        <v>18</v>
      </c>
      <c r="F2356" t="s">
        <v>19</v>
      </c>
      <c r="G2356" t="s">
        <v>20</v>
      </c>
      <c r="H2356" t="s">
        <v>21</v>
      </c>
      <c r="I2356" t="s">
        <v>22</v>
      </c>
      <c r="J2356">
        <v>3</v>
      </c>
      <c r="K2356">
        <v>650</v>
      </c>
      <c r="L2356">
        <v>0.1</v>
      </c>
      <c r="M2356">
        <v>1755</v>
      </c>
      <c r="N2356">
        <v>1170</v>
      </c>
      <c r="O2356">
        <v>585</v>
      </c>
    </row>
    <row r="2357" spans="1:15" x14ac:dyDescent="0.25">
      <c r="A2357" t="s">
        <v>3420</v>
      </c>
      <c r="B2357" s="2">
        <v>48013</v>
      </c>
      <c r="C2357" t="s">
        <v>1551</v>
      </c>
      <c r="D2357" t="s">
        <v>1552</v>
      </c>
      <c r="E2357" t="s">
        <v>26</v>
      </c>
      <c r="F2357" t="s">
        <v>34</v>
      </c>
      <c r="G2357" t="s">
        <v>20</v>
      </c>
      <c r="H2357" t="s">
        <v>41</v>
      </c>
      <c r="I2357" t="s">
        <v>42</v>
      </c>
      <c r="J2357">
        <v>3</v>
      </c>
      <c r="K2357">
        <v>520</v>
      </c>
      <c r="L2357">
        <v>0.2</v>
      </c>
      <c r="M2357">
        <v>1248</v>
      </c>
      <c r="N2357">
        <v>990</v>
      </c>
      <c r="O2357">
        <v>258</v>
      </c>
    </row>
    <row r="2358" spans="1:15" x14ac:dyDescent="0.25">
      <c r="A2358" t="s">
        <v>3421</v>
      </c>
      <c r="B2358" s="2">
        <v>48014</v>
      </c>
      <c r="C2358" t="s">
        <v>229</v>
      </c>
      <c r="D2358" t="s">
        <v>230</v>
      </c>
      <c r="E2358" t="s">
        <v>96</v>
      </c>
      <c r="F2358" t="s">
        <v>200</v>
      </c>
      <c r="G2358" t="s">
        <v>20</v>
      </c>
      <c r="H2358" t="s">
        <v>41</v>
      </c>
      <c r="I2358" t="s">
        <v>42</v>
      </c>
      <c r="J2358">
        <v>5</v>
      </c>
      <c r="K2358">
        <v>520</v>
      </c>
      <c r="L2358">
        <v>0.1</v>
      </c>
      <c r="M2358">
        <v>2340</v>
      </c>
      <c r="N2358">
        <v>1650</v>
      </c>
      <c r="O2358">
        <v>690</v>
      </c>
    </row>
    <row r="2359" spans="1:15" x14ac:dyDescent="0.25">
      <c r="A2359" t="s">
        <v>3422</v>
      </c>
      <c r="B2359" s="2">
        <v>48015</v>
      </c>
      <c r="C2359" t="s">
        <v>573</v>
      </c>
      <c r="D2359" t="s">
        <v>574</v>
      </c>
      <c r="E2359" t="s">
        <v>39</v>
      </c>
      <c r="F2359" t="s">
        <v>124</v>
      </c>
      <c r="G2359" t="s">
        <v>28</v>
      </c>
      <c r="H2359" t="s">
        <v>29</v>
      </c>
      <c r="I2359" t="s">
        <v>47</v>
      </c>
      <c r="J2359">
        <v>5</v>
      </c>
      <c r="K2359">
        <v>6800</v>
      </c>
      <c r="L2359">
        <v>0</v>
      </c>
      <c r="M2359">
        <v>34000</v>
      </c>
      <c r="N2359">
        <v>23500</v>
      </c>
      <c r="O2359">
        <v>10500</v>
      </c>
    </row>
    <row r="2360" spans="1:15" x14ac:dyDescent="0.25">
      <c r="A2360" t="s">
        <v>3423</v>
      </c>
      <c r="B2360" s="2">
        <v>48016</v>
      </c>
      <c r="C2360" t="s">
        <v>750</v>
      </c>
      <c r="D2360" t="s">
        <v>751</v>
      </c>
      <c r="E2360" t="s">
        <v>39</v>
      </c>
      <c r="F2360" t="s">
        <v>71</v>
      </c>
      <c r="G2360" t="s">
        <v>20</v>
      </c>
      <c r="H2360" t="s">
        <v>84</v>
      </c>
      <c r="I2360" t="s">
        <v>85</v>
      </c>
      <c r="J2360">
        <v>2</v>
      </c>
      <c r="K2360">
        <v>280</v>
      </c>
      <c r="L2360">
        <v>0</v>
      </c>
      <c r="M2360">
        <v>560</v>
      </c>
      <c r="N2360">
        <v>320</v>
      </c>
      <c r="O2360">
        <v>240</v>
      </c>
    </row>
    <row r="2361" spans="1:15" x14ac:dyDescent="0.25">
      <c r="A2361" t="s">
        <v>3424</v>
      </c>
      <c r="B2361" s="2">
        <v>48017</v>
      </c>
      <c r="C2361" t="s">
        <v>99</v>
      </c>
      <c r="D2361" t="s">
        <v>100</v>
      </c>
      <c r="E2361" t="s">
        <v>26</v>
      </c>
      <c r="F2361" t="s">
        <v>128</v>
      </c>
      <c r="G2361" t="s">
        <v>51</v>
      </c>
      <c r="H2361" t="s">
        <v>21</v>
      </c>
      <c r="I2361" t="s">
        <v>80</v>
      </c>
      <c r="J2361">
        <v>1</v>
      </c>
      <c r="K2361">
        <v>850</v>
      </c>
      <c r="L2361">
        <v>0.1</v>
      </c>
      <c r="M2361">
        <v>765</v>
      </c>
      <c r="N2361">
        <v>560</v>
      </c>
      <c r="O2361">
        <v>205</v>
      </c>
    </row>
    <row r="2362" spans="1:15" x14ac:dyDescent="0.25">
      <c r="A2362" t="s">
        <v>3425</v>
      </c>
      <c r="B2362" s="2">
        <v>48018</v>
      </c>
      <c r="C2362" t="s">
        <v>497</v>
      </c>
      <c r="D2362" t="s">
        <v>498</v>
      </c>
      <c r="E2362" t="s">
        <v>26</v>
      </c>
      <c r="F2362" t="s">
        <v>204</v>
      </c>
      <c r="G2362" t="s">
        <v>28</v>
      </c>
      <c r="H2362" t="s">
        <v>29</v>
      </c>
      <c r="I2362" t="s">
        <v>47</v>
      </c>
      <c r="J2362">
        <v>5</v>
      </c>
      <c r="K2362">
        <v>6800</v>
      </c>
      <c r="L2362">
        <v>0.1</v>
      </c>
      <c r="M2362">
        <v>30600</v>
      </c>
      <c r="N2362">
        <v>23500</v>
      </c>
      <c r="O2362">
        <v>7100</v>
      </c>
    </row>
    <row r="2363" spans="1:15" x14ac:dyDescent="0.25">
      <c r="A2363" t="s">
        <v>3426</v>
      </c>
      <c r="B2363" s="2">
        <v>48019</v>
      </c>
      <c r="C2363" t="s">
        <v>481</v>
      </c>
      <c r="D2363" t="s">
        <v>482</v>
      </c>
      <c r="E2363" t="s">
        <v>39</v>
      </c>
      <c r="F2363" t="s">
        <v>76</v>
      </c>
      <c r="G2363" t="s">
        <v>57</v>
      </c>
      <c r="H2363" t="s">
        <v>188</v>
      </c>
      <c r="I2363" t="s">
        <v>189</v>
      </c>
      <c r="J2363">
        <v>5</v>
      </c>
      <c r="K2363">
        <v>6200</v>
      </c>
      <c r="L2363">
        <v>0</v>
      </c>
      <c r="M2363">
        <v>31000</v>
      </c>
      <c r="N2363">
        <v>21500</v>
      </c>
      <c r="O2363">
        <v>9500</v>
      </c>
    </row>
    <row r="2364" spans="1:15" x14ac:dyDescent="0.25">
      <c r="A2364" t="s">
        <v>3427</v>
      </c>
      <c r="B2364" s="2">
        <v>48020</v>
      </c>
      <c r="C2364" t="s">
        <v>2356</v>
      </c>
      <c r="D2364" t="s">
        <v>2357</v>
      </c>
      <c r="E2364" t="s">
        <v>39</v>
      </c>
      <c r="F2364" t="s">
        <v>124</v>
      </c>
      <c r="G2364" t="s">
        <v>51</v>
      </c>
      <c r="H2364" t="s">
        <v>21</v>
      </c>
      <c r="I2364" t="s">
        <v>80</v>
      </c>
      <c r="J2364">
        <v>1</v>
      </c>
      <c r="K2364">
        <v>850</v>
      </c>
      <c r="L2364">
        <v>0.2</v>
      </c>
      <c r="M2364">
        <v>680</v>
      </c>
      <c r="N2364">
        <v>560</v>
      </c>
      <c r="O2364">
        <v>120</v>
      </c>
    </row>
    <row r="2365" spans="1:15" x14ac:dyDescent="0.25">
      <c r="A2365" t="s">
        <v>3428</v>
      </c>
      <c r="B2365" s="2">
        <v>48021</v>
      </c>
      <c r="C2365" t="s">
        <v>2207</v>
      </c>
      <c r="D2365" t="s">
        <v>2208</v>
      </c>
      <c r="E2365" t="s">
        <v>26</v>
      </c>
      <c r="F2365" t="s">
        <v>128</v>
      </c>
      <c r="G2365" t="s">
        <v>28</v>
      </c>
      <c r="H2365" t="s">
        <v>29</v>
      </c>
      <c r="I2365" t="s">
        <v>47</v>
      </c>
      <c r="J2365">
        <v>3</v>
      </c>
      <c r="K2365">
        <v>6800</v>
      </c>
      <c r="L2365">
        <v>0.05</v>
      </c>
      <c r="M2365">
        <v>19380</v>
      </c>
      <c r="N2365">
        <v>14100</v>
      </c>
      <c r="O2365">
        <v>5280</v>
      </c>
    </row>
    <row r="2366" spans="1:15" x14ac:dyDescent="0.25">
      <c r="A2366" t="s">
        <v>3429</v>
      </c>
      <c r="B2366" s="2">
        <v>48022</v>
      </c>
      <c r="C2366" t="s">
        <v>809</v>
      </c>
      <c r="D2366" t="s">
        <v>810</v>
      </c>
      <c r="E2366" t="s">
        <v>39</v>
      </c>
      <c r="F2366" t="s">
        <v>40</v>
      </c>
      <c r="G2366" t="s">
        <v>57</v>
      </c>
      <c r="H2366" t="s">
        <v>58</v>
      </c>
      <c r="I2366" t="s">
        <v>129</v>
      </c>
      <c r="J2366">
        <v>4</v>
      </c>
      <c r="K2366">
        <v>4800</v>
      </c>
      <c r="L2366">
        <v>0.2</v>
      </c>
      <c r="M2366">
        <v>15360</v>
      </c>
      <c r="N2366">
        <v>13200</v>
      </c>
      <c r="O2366">
        <v>2160</v>
      </c>
    </row>
    <row r="2367" spans="1:15" x14ac:dyDescent="0.25">
      <c r="A2367" t="s">
        <v>3430</v>
      </c>
      <c r="B2367" s="2">
        <v>48023</v>
      </c>
      <c r="C2367" t="s">
        <v>439</v>
      </c>
      <c r="D2367" t="s">
        <v>440</v>
      </c>
      <c r="E2367" t="s">
        <v>26</v>
      </c>
      <c r="F2367" t="s">
        <v>204</v>
      </c>
      <c r="G2367" t="s">
        <v>28</v>
      </c>
      <c r="H2367" t="s">
        <v>29</v>
      </c>
      <c r="I2367" t="s">
        <v>47</v>
      </c>
      <c r="J2367">
        <v>5</v>
      </c>
      <c r="K2367">
        <v>6800</v>
      </c>
      <c r="L2367">
        <v>0.1</v>
      </c>
      <c r="M2367">
        <v>30600</v>
      </c>
      <c r="N2367">
        <v>23500</v>
      </c>
      <c r="O2367">
        <v>7100</v>
      </c>
    </row>
    <row r="2368" spans="1:15" x14ac:dyDescent="0.25">
      <c r="A2368" t="s">
        <v>3431</v>
      </c>
      <c r="B2368" s="2">
        <v>48024</v>
      </c>
      <c r="C2368" t="s">
        <v>1786</v>
      </c>
      <c r="D2368" t="s">
        <v>1787</v>
      </c>
      <c r="E2368" t="s">
        <v>26</v>
      </c>
      <c r="F2368" t="s">
        <v>34</v>
      </c>
      <c r="G2368" t="s">
        <v>28</v>
      </c>
      <c r="H2368" t="s">
        <v>29</v>
      </c>
      <c r="I2368" t="s">
        <v>47</v>
      </c>
      <c r="J2368">
        <v>2</v>
      </c>
      <c r="K2368">
        <v>6800</v>
      </c>
      <c r="L2368">
        <v>0.2</v>
      </c>
      <c r="M2368">
        <v>10880</v>
      </c>
      <c r="N2368">
        <v>9400</v>
      </c>
      <c r="O2368">
        <v>1480</v>
      </c>
    </row>
    <row r="2369" spans="1:15" x14ac:dyDescent="0.25">
      <c r="A2369" t="s">
        <v>3432</v>
      </c>
      <c r="B2369" s="2">
        <v>48025</v>
      </c>
      <c r="C2369" t="s">
        <v>1699</v>
      </c>
      <c r="D2369" t="s">
        <v>1700</v>
      </c>
      <c r="E2369" t="s">
        <v>26</v>
      </c>
      <c r="F2369" t="s">
        <v>128</v>
      </c>
      <c r="G2369" t="s">
        <v>20</v>
      </c>
      <c r="H2369" t="s">
        <v>84</v>
      </c>
      <c r="I2369" t="s">
        <v>210</v>
      </c>
      <c r="J2369">
        <v>2</v>
      </c>
      <c r="K2369">
        <v>300</v>
      </c>
      <c r="L2369">
        <v>0.05</v>
      </c>
      <c r="M2369">
        <v>570</v>
      </c>
      <c r="N2369">
        <v>340</v>
      </c>
      <c r="O2369">
        <v>230</v>
      </c>
    </row>
    <row r="2370" spans="1:15" x14ac:dyDescent="0.25">
      <c r="A2370" t="s">
        <v>3433</v>
      </c>
      <c r="B2370" s="2">
        <v>48026</v>
      </c>
      <c r="C2370" t="s">
        <v>1997</v>
      </c>
      <c r="D2370" t="s">
        <v>1998</v>
      </c>
      <c r="E2370" t="s">
        <v>96</v>
      </c>
      <c r="F2370" t="s">
        <v>196</v>
      </c>
      <c r="G2370" t="s">
        <v>57</v>
      </c>
      <c r="H2370" t="s">
        <v>188</v>
      </c>
      <c r="I2370" t="s">
        <v>189</v>
      </c>
      <c r="J2370">
        <v>5</v>
      </c>
      <c r="K2370">
        <v>6200</v>
      </c>
      <c r="L2370">
        <v>0.05</v>
      </c>
      <c r="M2370">
        <v>29450</v>
      </c>
      <c r="N2370">
        <v>21500</v>
      </c>
      <c r="O2370">
        <v>7950</v>
      </c>
    </row>
    <row r="2371" spans="1:15" x14ac:dyDescent="0.25">
      <c r="A2371" t="s">
        <v>3434</v>
      </c>
      <c r="B2371" s="2">
        <v>48027</v>
      </c>
      <c r="C2371" t="s">
        <v>570</v>
      </c>
      <c r="D2371" t="s">
        <v>571</v>
      </c>
      <c r="E2371" t="s">
        <v>96</v>
      </c>
      <c r="F2371" t="s">
        <v>196</v>
      </c>
      <c r="G2371" t="s">
        <v>20</v>
      </c>
      <c r="H2371" t="s">
        <v>84</v>
      </c>
      <c r="I2371" t="s">
        <v>169</v>
      </c>
      <c r="J2371">
        <v>5</v>
      </c>
      <c r="K2371">
        <v>450</v>
      </c>
      <c r="L2371">
        <v>0.15</v>
      </c>
      <c r="M2371">
        <v>1912.5</v>
      </c>
      <c r="N2371">
        <v>1300</v>
      </c>
      <c r="O2371">
        <v>612.5</v>
      </c>
    </row>
    <row r="2372" spans="1:15" x14ac:dyDescent="0.25">
      <c r="A2372" t="s">
        <v>3435</v>
      </c>
      <c r="B2372" s="2">
        <v>48028</v>
      </c>
      <c r="C2372" t="s">
        <v>2263</v>
      </c>
      <c r="D2372" t="s">
        <v>2264</v>
      </c>
      <c r="E2372" t="s">
        <v>39</v>
      </c>
      <c r="F2372" t="s">
        <v>76</v>
      </c>
      <c r="G2372" t="s">
        <v>20</v>
      </c>
      <c r="H2372" t="s">
        <v>84</v>
      </c>
      <c r="I2372" t="s">
        <v>85</v>
      </c>
      <c r="J2372">
        <v>2</v>
      </c>
      <c r="K2372">
        <v>280</v>
      </c>
      <c r="L2372">
        <v>0.05</v>
      </c>
      <c r="M2372">
        <v>532</v>
      </c>
      <c r="N2372">
        <v>320</v>
      </c>
      <c r="O2372">
        <v>212</v>
      </c>
    </row>
    <row r="2373" spans="1:15" x14ac:dyDescent="0.25">
      <c r="A2373" t="s">
        <v>3436</v>
      </c>
      <c r="B2373" s="2">
        <v>48029</v>
      </c>
      <c r="C2373" t="s">
        <v>990</v>
      </c>
      <c r="D2373" t="s">
        <v>991</v>
      </c>
      <c r="E2373" t="s">
        <v>26</v>
      </c>
      <c r="F2373" t="s">
        <v>34</v>
      </c>
      <c r="G2373" t="s">
        <v>51</v>
      </c>
      <c r="H2373" t="s">
        <v>89</v>
      </c>
      <c r="I2373" t="s">
        <v>90</v>
      </c>
      <c r="J2373">
        <v>4</v>
      </c>
      <c r="K2373">
        <v>10500</v>
      </c>
      <c r="L2373">
        <v>0.25</v>
      </c>
      <c r="M2373">
        <v>31500</v>
      </c>
      <c r="N2373">
        <v>30400</v>
      </c>
      <c r="O2373">
        <v>1100</v>
      </c>
    </row>
    <row r="2374" spans="1:15" x14ac:dyDescent="0.25">
      <c r="A2374" t="s">
        <v>3437</v>
      </c>
      <c r="B2374" s="2">
        <v>48030</v>
      </c>
      <c r="C2374" t="s">
        <v>1679</v>
      </c>
      <c r="D2374" t="s">
        <v>1680</v>
      </c>
      <c r="E2374" t="s">
        <v>26</v>
      </c>
      <c r="F2374" t="s">
        <v>27</v>
      </c>
      <c r="G2374" t="s">
        <v>28</v>
      </c>
      <c r="H2374" t="s">
        <v>29</v>
      </c>
      <c r="I2374" t="s">
        <v>47</v>
      </c>
      <c r="J2374">
        <v>3</v>
      </c>
      <c r="K2374">
        <v>6800</v>
      </c>
      <c r="L2374">
        <v>0.2</v>
      </c>
      <c r="M2374">
        <v>16320</v>
      </c>
      <c r="N2374">
        <v>14100</v>
      </c>
      <c r="O2374">
        <v>2220</v>
      </c>
    </row>
    <row r="2375" spans="1:15" x14ac:dyDescent="0.25">
      <c r="A2375" t="s">
        <v>3438</v>
      </c>
      <c r="B2375" s="2">
        <v>48031</v>
      </c>
      <c r="C2375" t="s">
        <v>597</v>
      </c>
      <c r="D2375" t="s">
        <v>598</v>
      </c>
      <c r="E2375" t="s">
        <v>18</v>
      </c>
      <c r="F2375" t="s">
        <v>115</v>
      </c>
      <c r="G2375" t="s">
        <v>20</v>
      </c>
      <c r="H2375" t="s">
        <v>84</v>
      </c>
      <c r="I2375" t="s">
        <v>169</v>
      </c>
      <c r="J2375">
        <v>1</v>
      </c>
      <c r="K2375">
        <v>450</v>
      </c>
      <c r="L2375">
        <v>0.25</v>
      </c>
      <c r="M2375">
        <v>337.5</v>
      </c>
      <c r="N2375">
        <v>260</v>
      </c>
      <c r="O2375">
        <v>77.5</v>
      </c>
    </row>
    <row r="2376" spans="1:15" x14ac:dyDescent="0.25">
      <c r="A2376" t="s">
        <v>3439</v>
      </c>
      <c r="B2376" s="2">
        <v>48032</v>
      </c>
      <c r="C2376" t="s">
        <v>232</v>
      </c>
      <c r="D2376" t="s">
        <v>233</v>
      </c>
      <c r="E2376" t="s">
        <v>96</v>
      </c>
      <c r="F2376" t="s">
        <v>97</v>
      </c>
      <c r="G2376" t="s">
        <v>57</v>
      </c>
      <c r="H2376" t="s">
        <v>58</v>
      </c>
      <c r="I2376" t="s">
        <v>59</v>
      </c>
      <c r="J2376">
        <v>5</v>
      </c>
      <c r="K2376">
        <v>5600</v>
      </c>
      <c r="L2376">
        <v>0.2</v>
      </c>
      <c r="M2376">
        <v>22400</v>
      </c>
      <c r="N2376">
        <v>19500</v>
      </c>
      <c r="O2376">
        <v>2900</v>
      </c>
    </row>
    <row r="2377" spans="1:15" x14ac:dyDescent="0.25">
      <c r="A2377" t="s">
        <v>3440</v>
      </c>
      <c r="B2377" s="2">
        <v>48033</v>
      </c>
      <c r="C2377" t="s">
        <v>497</v>
      </c>
      <c r="D2377" t="s">
        <v>498</v>
      </c>
      <c r="E2377" t="s">
        <v>96</v>
      </c>
      <c r="F2377" t="s">
        <v>200</v>
      </c>
      <c r="G2377" t="s">
        <v>57</v>
      </c>
      <c r="H2377" t="s">
        <v>58</v>
      </c>
      <c r="I2377" t="s">
        <v>59</v>
      </c>
      <c r="J2377">
        <v>1</v>
      </c>
      <c r="K2377">
        <v>5600</v>
      </c>
      <c r="L2377">
        <v>0.05</v>
      </c>
      <c r="M2377">
        <v>5320</v>
      </c>
      <c r="N2377">
        <v>3900</v>
      </c>
      <c r="O2377">
        <v>1420</v>
      </c>
    </row>
    <row r="2378" spans="1:15" x14ac:dyDescent="0.25">
      <c r="A2378" t="s">
        <v>3441</v>
      </c>
      <c r="B2378" s="2">
        <v>48034</v>
      </c>
      <c r="C2378" t="s">
        <v>167</v>
      </c>
      <c r="D2378" t="s">
        <v>168</v>
      </c>
      <c r="E2378" t="s">
        <v>18</v>
      </c>
      <c r="F2378" t="s">
        <v>94</v>
      </c>
      <c r="G2378" t="s">
        <v>51</v>
      </c>
      <c r="H2378" t="s">
        <v>21</v>
      </c>
      <c r="I2378" t="s">
        <v>72</v>
      </c>
      <c r="J2378">
        <v>1</v>
      </c>
      <c r="K2378">
        <v>1800</v>
      </c>
      <c r="L2378">
        <v>0.25</v>
      </c>
      <c r="M2378">
        <v>1350</v>
      </c>
      <c r="N2378">
        <v>1100</v>
      </c>
      <c r="O2378">
        <v>250</v>
      </c>
    </row>
    <row r="2379" spans="1:15" x14ac:dyDescent="0.25">
      <c r="A2379" t="s">
        <v>3442</v>
      </c>
      <c r="B2379" s="2">
        <v>48035</v>
      </c>
      <c r="C2379" t="s">
        <v>2131</v>
      </c>
      <c r="D2379" t="s">
        <v>2132</v>
      </c>
      <c r="E2379" t="s">
        <v>96</v>
      </c>
      <c r="F2379" t="s">
        <v>120</v>
      </c>
      <c r="G2379" t="s">
        <v>57</v>
      </c>
      <c r="H2379" t="s">
        <v>58</v>
      </c>
      <c r="I2379" t="s">
        <v>129</v>
      </c>
      <c r="J2379">
        <v>2</v>
      </c>
      <c r="K2379">
        <v>4800</v>
      </c>
      <c r="L2379">
        <v>0</v>
      </c>
      <c r="M2379">
        <v>9600</v>
      </c>
      <c r="N2379">
        <v>6600</v>
      </c>
      <c r="O2379">
        <v>3000</v>
      </c>
    </row>
    <row r="2380" spans="1:15" x14ac:dyDescent="0.25">
      <c r="A2380" t="s">
        <v>3443</v>
      </c>
      <c r="B2380" s="2">
        <v>48036</v>
      </c>
      <c r="C2380" t="s">
        <v>790</v>
      </c>
      <c r="D2380" t="s">
        <v>791</v>
      </c>
      <c r="E2380" t="s">
        <v>26</v>
      </c>
      <c r="F2380" t="s">
        <v>34</v>
      </c>
      <c r="G2380" t="s">
        <v>51</v>
      </c>
      <c r="H2380" t="s">
        <v>89</v>
      </c>
      <c r="I2380" t="s">
        <v>90</v>
      </c>
      <c r="J2380">
        <v>5</v>
      </c>
      <c r="K2380">
        <v>10500</v>
      </c>
      <c r="L2380">
        <v>0.2</v>
      </c>
      <c r="M2380">
        <v>42000</v>
      </c>
      <c r="N2380">
        <v>38000</v>
      </c>
      <c r="O2380">
        <v>4000</v>
      </c>
    </row>
    <row r="2381" spans="1:15" x14ac:dyDescent="0.25">
      <c r="A2381" t="s">
        <v>3444</v>
      </c>
      <c r="B2381" s="2">
        <v>48037</v>
      </c>
      <c r="C2381" t="s">
        <v>871</v>
      </c>
      <c r="D2381" t="s">
        <v>872</v>
      </c>
      <c r="E2381" t="s">
        <v>18</v>
      </c>
      <c r="F2381" t="s">
        <v>227</v>
      </c>
      <c r="G2381" t="s">
        <v>20</v>
      </c>
      <c r="H2381" t="s">
        <v>84</v>
      </c>
      <c r="I2381" t="s">
        <v>169</v>
      </c>
      <c r="J2381">
        <v>5</v>
      </c>
      <c r="K2381">
        <v>450</v>
      </c>
      <c r="L2381">
        <v>0.05</v>
      </c>
      <c r="M2381">
        <v>2137.5</v>
      </c>
      <c r="N2381">
        <v>1300</v>
      </c>
      <c r="O2381">
        <v>837.5</v>
      </c>
    </row>
    <row r="2382" spans="1:15" x14ac:dyDescent="0.25">
      <c r="A2382" t="s">
        <v>3445</v>
      </c>
      <c r="B2382" s="2">
        <v>48038</v>
      </c>
      <c r="C2382" t="s">
        <v>2618</v>
      </c>
      <c r="D2382" t="s">
        <v>2619</v>
      </c>
      <c r="E2382" t="s">
        <v>39</v>
      </c>
      <c r="F2382" t="s">
        <v>76</v>
      </c>
      <c r="G2382" t="s">
        <v>20</v>
      </c>
      <c r="H2382" t="s">
        <v>84</v>
      </c>
      <c r="I2382" t="s">
        <v>210</v>
      </c>
      <c r="J2382">
        <v>3</v>
      </c>
      <c r="K2382">
        <v>300</v>
      </c>
      <c r="L2382">
        <v>0.15</v>
      </c>
      <c r="M2382">
        <v>765</v>
      </c>
      <c r="N2382">
        <v>510</v>
      </c>
      <c r="O2382">
        <v>255</v>
      </c>
    </row>
    <row r="2383" spans="1:15" x14ac:dyDescent="0.25">
      <c r="A2383" t="s">
        <v>3446</v>
      </c>
      <c r="B2383" s="2">
        <v>48039</v>
      </c>
      <c r="C2383" t="s">
        <v>1336</v>
      </c>
      <c r="D2383" t="s">
        <v>1337</v>
      </c>
      <c r="E2383" t="s">
        <v>39</v>
      </c>
      <c r="F2383" t="s">
        <v>71</v>
      </c>
      <c r="G2383" t="s">
        <v>51</v>
      </c>
      <c r="H2383" t="s">
        <v>21</v>
      </c>
      <c r="I2383" t="s">
        <v>80</v>
      </c>
      <c r="J2383">
        <v>4</v>
      </c>
      <c r="K2383">
        <v>850</v>
      </c>
      <c r="L2383">
        <v>0.05</v>
      </c>
      <c r="M2383">
        <v>3230</v>
      </c>
      <c r="N2383">
        <v>2240</v>
      </c>
      <c r="O2383">
        <v>990</v>
      </c>
    </row>
    <row r="2384" spans="1:15" x14ac:dyDescent="0.25">
      <c r="A2384" t="s">
        <v>3447</v>
      </c>
      <c r="B2384" s="2">
        <v>48040</v>
      </c>
      <c r="C2384" t="s">
        <v>2031</v>
      </c>
      <c r="D2384" t="s">
        <v>2032</v>
      </c>
      <c r="E2384" t="s">
        <v>26</v>
      </c>
      <c r="F2384" t="s">
        <v>46</v>
      </c>
      <c r="G2384" t="s">
        <v>51</v>
      </c>
      <c r="H2384" t="s">
        <v>52</v>
      </c>
      <c r="I2384" t="s">
        <v>53</v>
      </c>
      <c r="J2384">
        <v>1</v>
      </c>
      <c r="K2384">
        <v>2200</v>
      </c>
      <c r="L2384">
        <v>0.15</v>
      </c>
      <c r="M2384">
        <v>1870</v>
      </c>
      <c r="N2384">
        <v>1450</v>
      </c>
      <c r="O2384">
        <v>420</v>
      </c>
    </row>
    <row r="2385" spans="1:15" x14ac:dyDescent="0.25">
      <c r="A2385" t="s">
        <v>3448</v>
      </c>
      <c r="B2385" s="2">
        <v>48041</v>
      </c>
      <c r="C2385" t="s">
        <v>161</v>
      </c>
      <c r="D2385" t="s">
        <v>162</v>
      </c>
      <c r="E2385" t="s">
        <v>39</v>
      </c>
      <c r="F2385" t="s">
        <v>40</v>
      </c>
      <c r="G2385" t="s">
        <v>28</v>
      </c>
      <c r="H2385" t="s">
        <v>29</v>
      </c>
      <c r="I2385" t="s">
        <v>30</v>
      </c>
      <c r="J2385">
        <v>4</v>
      </c>
      <c r="K2385">
        <v>1900</v>
      </c>
      <c r="L2385">
        <v>0</v>
      </c>
      <c r="M2385">
        <v>7600</v>
      </c>
      <c r="N2385">
        <v>5000</v>
      </c>
      <c r="O2385">
        <v>2600</v>
      </c>
    </row>
    <row r="2386" spans="1:15" x14ac:dyDescent="0.25">
      <c r="A2386" t="s">
        <v>3449</v>
      </c>
      <c r="B2386" s="2">
        <v>48042</v>
      </c>
      <c r="C2386" t="s">
        <v>821</v>
      </c>
      <c r="D2386" t="s">
        <v>822</v>
      </c>
      <c r="E2386" t="s">
        <v>39</v>
      </c>
      <c r="F2386" t="s">
        <v>40</v>
      </c>
      <c r="G2386" t="s">
        <v>20</v>
      </c>
      <c r="H2386" t="s">
        <v>21</v>
      </c>
      <c r="I2386" t="s">
        <v>22</v>
      </c>
      <c r="J2386">
        <v>4</v>
      </c>
      <c r="K2386">
        <v>650</v>
      </c>
      <c r="L2386">
        <v>0.05</v>
      </c>
      <c r="M2386">
        <v>2470</v>
      </c>
      <c r="N2386">
        <v>1560</v>
      </c>
      <c r="O2386">
        <v>910</v>
      </c>
    </row>
    <row r="2387" spans="1:15" x14ac:dyDescent="0.25">
      <c r="A2387" t="s">
        <v>3450</v>
      </c>
      <c r="B2387" s="2">
        <v>48043</v>
      </c>
      <c r="C2387" t="s">
        <v>466</v>
      </c>
      <c r="D2387" t="s">
        <v>467</v>
      </c>
      <c r="E2387" t="s">
        <v>18</v>
      </c>
      <c r="F2387" t="s">
        <v>227</v>
      </c>
      <c r="G2387" t="s">
        <v>57</v>
      </c>
      <c r="H2387" t="s">
        <v>58</v>
      </c>
      <c r="I2387" t="s">
        <v>129</v>
      </c>
      <c r="J2387">
        <v>3</v>
      </c>
      <c r="K2387">
        <v>4800</v>
      </c>
      <c r="L2387">
        <v>0.05</v>
      </c>
      <c r="M2387">
        <v>13680</v>
      </c>
      <c r="N2387">
        <v>9900</v>
      </c>
      <c r="O2387">
        <v>3780</v>
      </c>
    </row>
    <row r="2388" spans="1:15" x14ac:dyDescent="0.25">
      <c r="A2388" t="s">
        <v>3451</v>
      </c>
      <c r="B2388" s="2">
        <v>48044</v>
      </c>
      <c r="C2388" t="s">
        <v>2125</v>
      </c>
      <c r="D2388" t="s">
        <v>2126</v>
      </c>
      <c r="E2388" t="s">
        <v>39</v>
      </c>
      <c r="F2388" t="s">
        <v>124</v>
      </c>
      <c r="G2388" t="s">
        <v>51</v>
      </c>
      <c r="H2388" t="s">
        <v>21</v>
      </c>
      <c r="I2388" t="s">
        <v>116</v>
      </c>
      <c r="J2388">
        <v>3</v>
      </c>
      <c r="K2388">
        <v>1400</v>
      </c>
      <c r="L2388">
        <v>0.1</v>
      </c>
      <c r="M2388">
        <v>3780</v>
      </c>
      <c r="N2388">
        <v>2700</v>
      </c>
      <c r="O2388">
        <v>1080</v>
      </c>
    </row>
    <row r="2389" spans="1:15" x14ac:dyDescent="0.25">
      <c r="A2389" t="s">
        <v>3452</v>
      </c>
      <c r="B2389" s="2">
        <v>48045</v>
      </c>
      <c r="C2389" t="s">
        <v>896</v>
      </c>
      <c r="D2389" t="s">
        <v>897</v>
      </c>
      <c r="E2389" t="s">
        <v>18</v>
      </c>
      <c r="F2389" t="s">
        <v>94</v>
      </c>
      <c r="G2389" t="s">
        <v>57</v>
      </c>
      <c r="H2389" t="s">
        <v>58</v>
      </c>
      <c r="I2389" t="s">
        <v>59</v>
      </c>
      <c r="J2389">
        <v>5</v>
      </c>
      <c r="K2389">
        <v>5600</v>
      </c>
      <c r="L2389">
        <v>0.05</v>
      </c>
      <c r="M2389">
        <v>26600</v>
      </c>
      <c r="N2389">
        <v>19500</v>
      </c>
      <c r="O2389">
        <v>7100</v>
      </c>
    </row>
    <row r="2390" spans="1:15" x14ac:dyDescent="0.25">
      <c r="A2390" t="s">
        <v>3453</v>
      </c>
      <c r="B2390" s="2">
        <v>48046</v>
      </c>
      <c r="C2390" t="s">
        <v>1915</v>
      </c>
      <c r="D2390" t="s">
        <v>1916</v>
      </c>
      <c r="E2390" t="s">
        <v>39</v>
      </c>
      <c r="F2390" t="s">
        <v>40</v>
      </c>
      <c r="G2390" t="s">
        <v>57</v>
      </c>
      <c r="H2390" t="s">
        <v>104</v>
      </c>
      <c r="I2390" t="s">
        <v>105</v>
      </c>
      <c r="J2390">
        <v>5</v>
      </c>
      <c r="K2390">
        <v>7500</v>
      </c>
      <c r="L2390">
        <v>0.15</v>
      </c>
      <c r="M2390">
        <v>31875</v>
      </c>
      <c r="N2390">
        <v>26000</v>
      </c>
      <c r="O2390">
        <v>5875</v>
      </c>
    </row>
    <row r="2391" spans="1:15" x14ac:dyDescent="0.25">
      <c r="A2391" t="s">
        <v>3454</v>
      </c>
      <c r="B2391" s="2">
        <v>48047</v>
      </c>
      <c r="C2391" t="s">
        <v>378</v>
      </c>
      <c r="D2391" t="s">
        <v>379</v>
      </c>
      <c r="E2391" t="s">
        <v>96</v>
      </c>
      <c r="F2391" t="s">
        <v>200</v>
      </c>
      <c r="G2391" t="s">
        <v>20</v>
      </c>
      <c r="H2391" t="s">
        <v>84</v>
      </c>
      <c r="I2391" t="s">
        <v>169</v>
      </c>
      <c r="J2391">
        <v>2</v>
      </c>
      <c r="K2391">
        <v>450</v>
      </c>
      <c r="L2391">
        <v>0.05</v>
      </c>
      <c r="M2391">
        <v>855</v>
      </c>
      <c r="N2391">
        <v>520</v>
      </c>
      <c r="O2391">
        <v>335</v>
      </c>
    </row>
    <row r="2392" spans="1:15" x14ac:dyDescent="0.25">
      <c r="A2392" t="s">
        <v>3455</v>
      </c>
      <c r="B2392" s="2">
        <v>48048</v>
      </c>
      <c r="C2392" t="s">
        <v>1368</v>
      </c>
      <c r="D2392" t="s">
        <v>1369</v>
      </c>
      <c r="E2392" t="s">
        <v>26</v>
      </c>
      <c r="F2392" t="s">
        <v>204</v>
      </c>
      <c r="G2392" t="s">
        <v>20</v>
      </c>
      <c r="H2392" t="s">
        <v>84</v>
      </c>
      <c r="I2392" t="s">
        <v>169</v>
      </c>
      <c r="J2392">
        <v>5</v>
      </c>
      <c r="K2392">
        <v>450</v>
      </c>
      <c r="L2392">
        <v>0.05</v>
      </c>
      <c r="M2392">
        <v>2137.5</v>
      </c>
      <c r="N2392">
        <v>1300</v>
      </c>
      <c r="O2392">
        <v>837.5</v>
      </c>
    </row>
    <row r="2393" spans="1:15" x14ac:dyDescent="0.25">
      <c r="A2393" t="s">
        <v>3456</v>
      </c>
      <c r="B2393" s="2">
        <v>48049</v>
      </c>
      <c r="C2393" t="s">
        <v>868</v>
      </c>
      <c r="D2393" t="s">
        <v>869</v>
      </c>
      <c r="E2393" t="s">
        <v>18</v>
      </c>
      <c r="F2393" t="s">
        <v>227</v>
      </c>
      <c r="G2393" t="s">
        <v>28</v>
      </c>
      <c r="H2393" t="s">
        <v>29</v>
      </c>
      <c r="I2393" t="s">
        <v>30</v>
      </c>
      <c r="J2393">
        <v>4</v>
      </c>
      <c r="K2393">
        <v>1900</v>
      </c>
      <c r="L2393">
        <v>0.1</v>
      </c>
      <c r="M2393">
        <v>6840</v>
      </c>
      <c r="N2393">
        <v>5000</v>
      </c>
      <c r="O2393">
        <v>1840</v>
      </c>
    </row>
    <row r="2394" spans="1:15" x14ac:dyDescent="0.25">
      <c r="A2394" t="s">
        <v>3457</v>
      </c>
      <c r="B2394" s="2">
        <v>48050</v>
      </c>
      <c r="C2394" t="s">
        <v>1294</v>
      </c>
      <c r="D2394" t="s">
        <v>1295</v>
      </c>
      <c r="E2394" t="s">
        <v>96</v>
      </c>
      <c r="F2394" t="s">
        <v>200</v>
      </c>
      <c r="G2394" t="s">
        <v>20</v>
      </c>
      <c r="H2394" t="s">
        <v>84</v>
      </c>
      <c r="I2394" t="s">
        <v>169</v>
      </c>
      <c r="J2394">
        <v>5</v>
      </c>
      <c r="K2394">
        <v>450</v>
      </c>
      <c r="L2394">
        <v>0</v>
      </c>
      <c r="M2394">
        <v>2250</v>
      </c>
      <c r="N2394">
        <v>1300</v>
      </c>
      <c r="O2394">
        <v>950</v>
      </c>
    </row>
    <row r="2395" spans="1:15" x14ac:dyDescent="0.25">
      <c r="A2395" t="s">
        <v>3458</v>
      </c>
      <c r="B2395" s="2">
        <v>48051</v>
      </c>
      <c r="C2395" t="s">
        <v>655</v>
      </c>
      <c r="D2395" t="s">
        <v>656</v>
      </c>
      <c r="E2395" t="s">
        <v>96</v>
      </c>
      <c r="F2395" t="s">
        <v>200</v>
      </c>
      <c r="G2395" t="s">
        <v>20</v>
      </c>
      <c r="H2395" t="s">
        <v>84</v>
      </c>
      <c r="I2395" t="s">
        <v>210</v>
      </c>
      <c r="J2395">
        <v>1</v>
      </c>
      <c r="K2395">
        <v>300</v>
      </c>
      <c r="L2395">
        <v>0.1</v>
      </c>
      <c r="M2395">
        <v>270</v>
      </c>
      <c r="N2395">
        <v>170</v>
      </c>
      <c r="O2395">
        <v>100</v>
      </c>
    </row>
    <row r="2396" spans="1:15" x14ac:dyDescent="0.25">
      <c r="A2396" t="s">
        <v>3459</v>
      </c>
      <c r="B2396" s="2">
        <v>48052</v>
      </c>
      <c r="C2396" t="s">
        <v>69</v>
      </c>
      <c r="D2396" t="s">
        <v>70</v>
      </c>
      <c r="E2396" t="s">
        <v>39</v>
      </c>
      <c r="F2396" t="s">
        <v>76</v>
      </c>
      <c r="G2396" t="s">
        <v>57</v>
      </c>
      <c r="H2396" t="s">
        <v>58</v>
      </c>
      <c r="I2396" t="s">
        <v>129</v>
      </c>
      <c r="J2396">
        <v>5</v>
      </c>
      <c r="K2396">
        <v>4800</v>
      </c>
      <c r="L2396">
        <v>0.1</v>
      </c>
      <c r="M2396">
        <v>21600</v>
      </c>
      <c r="N2396">
        <v>16500</v>
      </c>
      <c r="O2396">
        <v>5100</v>
      </c>
    </row>
    <row r="2397" spans="1:15" x14ac:dyDescent="0.25">
      <c r="A2397" t="s">
        <v>3460</v>
      </c>
      <c r="B2397" s="2">
        <v>48053</v>
      </c>
      <c r="C2397" t="s">
        <v>2247</v>
      </c>
      <c r="D2397" t="s">
        <v>2248</v>
      </c>
      <c r="E2397" t="s">
        <v>96</v>
      </c>
      <c r="F2397" t="s">
        <v>97</v>
      </c>
      <c r="G2397" t="s">
        <v>51</v>
      </c>
      <c r="H2397" t="s">
        <v>21</v>
      </c>
      <c r="I2397" t="s">
        <v>72</v>
      </c>
      <c r="J2397">
        <v>2</v>
      </c>
      <c r="K2397">
        <v>1800</v>
      </c>
      <c r="L2397">
        <v>0.15</v>
      </c>
      <c r="M2397">
        <v>3060</v>
      </c>
      <c r="N2397">
        <v>2200</v>
      </c>
      <c r="O2397">
        <v>860</v>
      </c>
    </row>
    <row r="2398" spans="1:15" x14ac:dyDescent="0.25">
      <c r="A2398" t="s">
        <v>3461</v>
      </c>
      <c r="B2398" s="2">
        <v>48054</v>
      </c>
      <c r="C2398" t="s">
        <v>803</v>
      </c>
      <c r="D2398" t="s">
        <v>804</v>
      </c>
      <c r="E2398" t="s">
        <v>96</v>
      </c>
      <c r="F2398" t="s">
        <v>196</v>
      </c>
      <c r="G2398" t="s">
        <v>57</v>
      </c>
      <c r="H2398" t="s">
        <v>58</v>
      </c>
      <c r="I2398" t="s">
        <v>59</v>
      </c>
      <c r="J2398">
        <v>4</v>
      </c>
      <c r="K2398">
        <v>5600</v>
      </c>
      <c r="L2398">
        <v>0</v>
      </c>
      <c r="M2398">
        <v>22400</v>
      </c>
      <c r="N2398">
        <v>15600</v>
      </c>
      <c r="O2398">
        <v>6800</v>
      </c>
    </row>
    <row r="2399" spans="1:15" x14ac:dyDescent="0.25">
      <c r="A2399" t="s">
        <v>3462</v>
      </c>
      <c r="B2399" s="2">
        <v>48055</v>
      </c>
      <c r="C2399" t="s">
        <v>372</v>
      </c>
      <c r="D2399" t="s">
        <v>373</v>
      </c>
      <c r="E2399" t="s">
        <v>39</v>
      </c>
      <c r="F2399" t="s">
        <v>124</v>
      </c>
      <c r="G2399" t="s">
        <v>20</v>
      </c>
      <c r="H2399" t="s">
        <v>84</v>
      </c>
      <c r="I2399" t="s">
        <v>210</v>
      </c>
      <c r="J2399">
        <v>4</v>
      </c>
      <c r="K2399">
        <v>300</v>
      </c>
      <c r="L2399">
        <v>0</v>
      </c>
      <c r="M2399">
        <v>1200</v>
      </c>
      <c r="N2399">
        <v>680</v>
      </c>
      <c r="O2399">
        <v>520</v>
      </c>
    </row>
    <row r="2400" spans="1:15" x14ac:dyDescent="0.25">
      <c r="A2400" t="s">
        <v>3463</v>
      </c>
      <c r="B2400" s="2">
        <v>48056</v>
      </c>
      <c r="C2400" t="s">
        <v>1207</v>
      </c>
      <c r="D2400" t="s">
        <v>1208</v>
      </c>
      <c r="E2400" t="s">
        <v>26</v>
      </c>
      <c r="F2400" t="s">
        <v>34</v>
      </c>
      <c r="G2400" t="s">
        <v>57</v>
      </c>
      <c r="H2400" t="s">
        <v>188</v>
      </c>
      <c r="I2400" t="s">
        <v>189</v>
      </c>
      <c r="J2400">
        <v>4</v>
      </c>
      <c r="K2400">
        <v>6200</v>
      </c>
      <c r="L2400">
        <v>0.15</v>
      </c>
      <c r="M2400">
        <v>21080</v>
      </c>
      <c r="N2400">
        <v>17200</v>
      </c>
      <c r="O2400">
        <v>3880</v>
      </c>
    </row>
    <row r="2401" spans="1:15" x14ac:dyDescent="0.25">
      <c r="A2401" t="s">
        <v>3464</v>
      </c>
      <c r="B2401" s="2">
        <v>48057</v>
      </c>
      <c r="C2401" t="s">
        <v>1186</v>
      </c>
      <c r="D2401" t="s">
        <v>1187</v>
      </c>
      <c r="E2401" t="s">
        <v>26</v>
      </c>
      <c r="F2401" t="s">
        <v>46</v>
      </c>
      <c r="G2401" t="s">
        <v>57</v>
      </c>
      <c r="H2401" t="s">
        <v>188</v>
      </c>
      <c r="I2401" t="s">
        <v>189</v>
      </c>
      <c r="J2401">
        <v>3</v>
      </c>
      <c r="K2401">
        <v>6200</v>
      </c>
      <c r="L2401">
        <v>0.05</v>
      </c>
      <c r="M2401">
        <v>17670</v>
      </c>
      <c r="N2401">
        <v>12900</v>
      </c>
      <c r="O2401">
        <v>4770</v>
      </c>
    </row>
    <row r="2402" spans="1:15" x14ac:dyDescent="0.25">
      <c r="A2402" t="s">
        <v>3465</v>
      </c>
      <c r="B2402" s="2">
        <v>48058</v>
      </c>
      <c r="C2402" t="s">
        <v>32</v>
      </c>
      <c r="D2402" t="s">
        <v>33</v>
      </c>
      <c r="E2402" t="s">
        <v>26</v>
      </c>
      <c r="F2402" t="s">
        <v>128</v>
      </c>
      <c r="G2402" t="s">
        <v>57</v>
      </c>
      <c r="H2402" t="s">
        <v>58</v>
      </c>
      <c r="I2402" t="s">
        <v>59</v>
      </c>
      <c r="J2402">
        <v>3</v>
      </c>
      <c r="K2402">
        <v>5600</v>
      </c>
      <c r="L2402">
        <v>0</v>
      </c>
      <c r="M2402">
        <v>16800</v>
      </c>
      <c r="N2402">
        <v>11700</v>
      </c>
      <c r="O2402">
        <v>5100</v>
      </c>
    </row>
    <row r="2403" spans="1:15" x14ac:dyDescent="0.25">
      <c r="A2403" t="s">
        <v>3466</v>
      </c>
      <c r="B2403" s="2">
        <v>48059</v>
      </c>
      <c r="C2403" t="s">
        <v>336</v>
      </c>
      <c r="D2403" t="s">
        <v>337</v>
      </c>
      <c r="E2403" t="s">
        <v>39</v>
      </c>
      <c r="F2403" t="s">
        <v>40</v>
      </c>
      <c r="G2403" t="s">
        <v>28</v>
      </c>
      <c r="H2403" t="s">
        <v>63</v>
      </c>
      <c r="I2403" t="s">
        <v>64</v>
      </c>
      <c r="J2403">
        <v>1</v>
      </c>
      <c r="K2403">
        <v>2400</v>
      </c>
      <c r="L2403">
        <v>0.1</v>
      </c>
      <c r="M2403">
        <v>2160</v>
      </c>
      <c r="N2403">
        <v>1650</v>
      </c>
      <c r="O2403">
        <v>510</v>
      </c>
    </row>
    <row r="2404" spans="1:15" x14ac:dyDescent="0.25">
      <c r="A2404" t="s">
        <v>3467</v>
      </c>
      <c r="B2404" s="2">
        <v>48060</v>
      </c>
      <c r="C2404" t="s">
        <v>126</v>
      </c>
      <c r="D2404" t="s">
        <v>127</v>
      </c>
      <c r="E2404" t="s">
        <v>26</v>
      </c>
      <c r="F2404" t="s">
        <v>204</v>
      </c>
      <c r="G2404" t="s">
        <v>28</v>
      </c>
      <c r="H2404" t="s">
        <v>29</v>
      </c>
      <c r="I2404" t="s">
        <v>47</v>
      </c>
      <c r="J2404">
        <v>4</v>
      </c>
      <c r="K2404">
        <v>6800</v>
      </c>
      <c r="L2404">
        <v>0.15</v>
      </c>
      <c r="M2404">
        <v>23120</v>
      </c>
      <c r="N2404">
        <v>18800</v>
      </c>
      <c r="O2404">
        <v>4320</v>
      </c>
    </row>
    <row r="2405" spans="1:15" x14ac:dyDescent="0.25">
      <c r="A2405" t="s">
        <v>3468</v>
      </c>
      <c r="B2405" s="2">
        <v>48061</v>
      </c>
      <c r="C2405" t="s">
        <v>1430</v>
      </c>
      <c r="D2405" t="s">
        <v>1431</v>
      </c>
      <c r="E2405" t="s">
        <v>39</v>
      </c>
      <c r="F2405" t="s">
        <v>76</v>
      </c>
      <c r="G2405" t="s">
        <v>28</v>
      </c>
      <c r="H2405" t="s">
        <v>29</v>
      </c>
      <c r="I2405" t="s">
        <v>30</v>
      </c>
      <c r="J2405">
        <v>5</v>
      </c>
      <c r="K2405">
        <v>1900</v>
      </c>
      <c r="L2405">
        <v>0.15</v>
      </c>
      <c r="M2405">
        <v>8075</v>
      </c>
      <c r="N2405">
        <v>6250</v>
      </c>
      <c r="O2405">
        <v>1825</v>
      </c>
    </row>
    <row r="2406" spans="1:15" x14ac:dyDescent="0.25">
      <c r="A2406" t="s">
        <v>3469</v>
      </c>
      <c r="B2406" s="2">
        <v>48062</v>
      </c>
      <c r="C2406" t="s">
        <v>559</v>
      </c>
      <c r="D2406" t="s">
        <v>560</v>
      </c>
      <c r="E2406" t="s">
        <v>39</v>
      </c>
      <c r="F2406" t="s">
        <v>124</v>
      </c>
      <c r="G2406" t="s">
        <v>20</v>
      </c>
      <c r="H2406" t="s">
        <v>84</v>
      </c>
      <c r="I2406" t="s">
        <v>169</v>
      </c>
      <c r="J2406">
        <v>2</v>
      </c>
      <c r="K2406">
        <v>450</v>
      </c>
      <c r="L2406">
        <v>0.25</v>
      </c>
      <c r="M2406">
        <v>675</v>
      </c>
      <c r="N2406">
        <v>520</v>
      </c>
      <c r="O2406">
        <v>155</v>
      </c>
    </row>
    <row r="2407" spans="1:15" x14ac:dyDescent="0.25">
      <c r="A2407" t="s">
        <v>3470</v>
      </c>
      <c r="B2407" s="2">
        <v>48063</v>
      </c>
      <c r="C2407" t="s">
        <v>1294</v>
      </c>
      <c r="D2407" t="s">
        <v>1295</v>
      </c>
      <c r="E2407" t="s">
        <v>26</v>
      </c>
      <c r="F2407" t="s">
        <v>128</v>
      </c>
      <c r="G2407" t="s">
        <v>20</v>
      </c>
      <c r="H2407" t="s">
        <v>84</v>
      </c>
      <c r="I2407" t="s">
        <v>169</v>
      </c>
      <c r="J2407">
        <v>3</v>
      </c>
      <c r="K2407">
        <v>450</v>
      </c>
      <c r="L2407">
        <v>0.1</v>
      </c>
      <c r="M2407">
        <v>1215</v>
      </c>
      <c r="N2407">
        <v>780</v>
      </c>
      <c r="O2407">
        <v>435</v>
      </c>
    </row>
    <row r="2408" spans="1:15" x14ac:dyDescent="0.25">
      <c r="A2408" t="s">
        <v>3471</v>
      </c>
      <c r="B2408" s="2">
        <v>48064</v>
      </c>
      <c r="C2408" t="s">
        <v>2015</v>
      </c>
      <c r="D2408" t="s">
        <v>2016</v>
      </c>
      <c r="E2408" t="s">
        <v>39</v>
      </c>
      <c r="F2408" t="s">
        <v>71</v>
      </c>
      <c r="G2408" t="s">
        <v>57</v>
      </c>
      <c r="H2408" t="s">
        <v>58</v>
      </c>
      <c r="I2408" t="s">
        <v>59</v>
      </c>
      <c r="J2408">
        <v>5</v>
      </c>
      <c r="K2408">
        <v>5600</v>
      </c>
      <c r="L2408">
        <v>0.15</v>
      </c>
      <c r="M2408">
        <v>23800</v>
      </c>
      <c r="N2408">
        <v>19500</v>
      </c>
      <c r="O2408">
        <v>4300</v>
      </c>
    </row>
    <row r="2409" spans="1:15" x14ac:dyDescent="0.25">
      <c r="A2409" t="s">
        <v>3472</v>
      </c>
      <c r="B2409" s="2">
        <v>48065</v>
      </c>
      <c r="C2409" t="s">
        <v>78</v>
      </c>
      <c r="D2409" t="s">
        <v>79</v>
      </c>
      <c r="E2409" t="s">
        <v>26</v>
      </c>
      <c r="F2409" t="s">
        <v>27</v>
      </c>
      <c r="G2409" t="s">
        <v>57</v>
      </c>
      <c r="H2409" t="s">
        <v>58</v>
      </c>
      <c r="I2409" t="s">
        <v>129</v>
      </c>
      <c r="J2409">
        <v>1</v>
      </c>
      <c r="K2409">
        <v>4800</v>
      </c>
      <c r="L2409">
        <v>0.25</v>
      </c>
      <c r="M2409">
        <v>3600</v>
      </c>
      <c r="N2409">
        <v>3300</v>
      </c>
      <c r="O2409">
        <v>300</v>
      </c>
    </row>
    <row r="2410" spans="1:15" x14ac:dyDescent="0.25">
      <c r="A2410" t="s">
        <v>3473</v>
      </c>
      <c r="B2410" s="2">
        <v>48066</v>
      </c>
      <c r="C2410" t="s">
        <v>194</v>
      </c>
      <c r="D2410" t="s">
        <v>195</v>
      </c>
      <c r="E2410" t="s">
        <v>39</v>
      </c>
      <c r="F2410" t="s">
        <v>76</v>
      </c>
      <c r="G2410" t="s">
        <v>20</v>
      </c>
      <c r="H2410" t="s">
        <v>84</v>
      </c>
      <c r="I2410" t="s">
        <v>85</v>
      </c>
      <c r="J2410">
        <v>5</v>
      </c>
      <c r="K2410">
        <v>280</v>
      </c>
      <c r="L2410">
        <v>0</v>
      </c>
      <c r="M2410">
        <v>1400</v>
      </c>
      <c r="N2410">
        <v>800</v>
      </c>
      <c r="O2410">
        <v>600</v>
      </c>
    </row>
    <row r="2411" spans="1:15" x14ac:dyDescent="0.25">
      <c r="A2411" t="s">
        <v>3474</v>
      </c>
      <c r="B2411" s="2">
        <v>48067</v>
      </c>
      <c r="C2411" t="s">
        <v>1049</v>
      </c>
      <c r="D2411" t="s">
        <v>1050</v>
      </c>
      <c r="E2411" t="s">
        <v>39</v>
      </c>
      <c r="F2411" t="s">
        <v>40</v>
      </c>
      <c r="G2411" t="s">
        <v>51</v>
      </c>
      <c r="H2411" t="s">
        <v>21</v>
      </c>
      <c r="I2411" t="s">
        <v>80</v>
      </c>
      <c r="J2411">
        <v>2</v>
      </c>
      <c r="K2411">
        <v>850</v>
      </c>
      <c r="L2411">
        <v>0.2</v>
      </c>
      <c r="M2411">
        <v>1360</v>
      </c>
      <c r="N2411">
        <v>1120</v>
      </c>
      <c r="O2411">
        <v>240</v>
      </c>
    </row>
    <row r="2412" spans="1:15" x14ac:dyDescent="0.25">
      <c r="A2412" t="s">
        <v>3475</v>
      </c>
      <c r="B2412" s="2">
        <v>48068</v>
      </c>
      <c r="C2412" t="s">
        <v>259</v>
      </c>
      <c r="D2412" t="s">
        <v>260</v>
      </c>
      <c r="E2412" t="s">
        <v>96</v>
      </c>
      <c r="F2412" t="s">
        <v>120</v>
      </c>
      <c r="G2412" t="s">
        <v>57</v>
      </c>
      <c r="H2412" t="s">
        <v>58</v>
      </c>
      <c r="I2412" t="s">
        <v>59</v>
      </c>
      <c r="J2412">
        <v>3</v>
      </c>
      <c r="K2412">
        <v>5600</v>
      </c>
      <c r="L2412">
        <v>0.15</v>
      </c>
      <c r="M2412">
        <v>14280</v>
      </c>
      <c r="N2412">
        <v>11700</v>
      </c>
      <c r="O2412">
        <v>2580</v>
      </c>
    </row>
    <row r="2413" spans="1:15" x14ac:dyDescent="0.25">
      <c r="A2413" t="s">
        <v>3476</v>
      </c>
      <c r="B2413" s="2">
        <v>48069</v>
      </c>
      <c r="C2413" t="s">
        <v>977</v>
      </c>
      <c r="D2413" t="s">
        <v>978</v>
      </c>
      <c r="E2413" t="s">
        <v>18</v>
      </c>
      <c r="F2413" t="s">
        <v>94</v>
      </c>
      <c r="G2413" t="s">
        <v>51</v>
      </c>
      <c r="H2413" t="s">
        <v>52</v>
      </c>
      <c r="I2413" t="s">
        <v>53</v>
      </c>
      <c r="J2413">
        <v>5</v>
      </c>
      <c r="K2413">
        <v>2200</v>
      </c>
      <c r="L2413">
        <v>0.15</v>
      </c>
      <c r="M2413">
        <v>9350</v>
      </c>
      <c r="N2413">
        <v>7250</v>
      </c>
      <c r="O2413">
        <v>2100</v>
      </c>
    </row>
    <row r="2414" spans="1:15" x14ac:dyDescent="0.25">
      <c r="A2414" t="s">
        <v>3477</v>
      </c>
      <c r="B2414" s="2">
        <v>48070</v>
      </c>
      <c r="C2414" t="s">
        <v>772</v>
      </c>
      <c r="D2414" t="s">
        <v>773</v>
      </c>
      <c r="E2414" t="s">
        <v>39</v>
      </c>
      <c r="F2414" t="s">
        <v>71</v>
      </c>
      <c r="G2414" t="s">
        <v>20</v>
      </c>
      <c r="H2414" t="s">
        <v>41</v>
      </c>
      <c r="I2414" t="s">
        <v>42</v>
      </c>
      <c r="J2414">
        <v>2</v>
      </c>
      <c r="K2414">
        <v>520</v>
      </c>
      <c r="L2414">
        <v>0.1</v>
      </c>
      <c r="M2414">
        <v>936</v>
      </c>
      <c r="N2414">
        <v>660</v>
      </c>
      <c r="O2414">
        <v>276</v>
      </c>
    </row>
    <row r="2415" spans="1:15" x14ac:dyDescent="0.25">
      <c r="A2415" t="s">
        <v>3478</v>
      </c>
      <c r="B2415" s="2">
        <v>48071</v>
      </c>
      <c r="C2415" t="s">
        <v>1025</v>
      </c>
      <c r="D2415" t="s">
        <v>1026</v>
      </c>
      <c r="E2415" t="s">
        <v>26</v>
      </c>
      <c r="F2415" t="s">
        <v>204</v>
      </c>
      <c r="G2415" t="s">
        <v>28</v>
      </c>
      <c r="H2415" t="s">
        <v>63</v>
      </c>
      <c r="I2415" t="s">
        <v>64</v>
      </c>
      <c r="J2415">
        <v>4</v>
      </c>
      <c r="K2415">
        <v>2400</v>
      </c>
      <c r="L2415">
        <v>0</v>
      </c>
      <c r="M2415">
        <v>9600</v>
      </c>
      <c r="N2415">
        <v>6600</v>
      </c>
      <c r="O2415">
        <v>3000</v>
      </c>
    </row>
    <row r="2416" spans="1:15" x14ac:dyDescent="0.25">
      <c r="A2416" t="s">
        <v>3479</v>
      </c>
      <c r="B2416" s="2">
        <v>48072</v>
      </c>
      <c r="C2416" t="s">
        <v>573</v>
      </c>
      <c r="D2416" t="s">
        <v>574</v>
      </c>
      <c r="E2416" t="s">
        <v>26</v>
      </c>
      <c r="F2416" t="s">
        <v>34</v>
      </c>
      <c r="G2416" t="s">
        <v>20</v>
      </c>
      <c r="H2416" t="s">
        <v>41</v>
      </c>
      <c r="I2416" t="s">
        <v>42</v>
      </c>
      <c r="J2416">
        <v>4</v>
      </c>
      <c r="K2416">
        <v>520</v>
      </c>
      <c r="L2416">
        <v>0.05</v>
      </c>
      <c r="M2416">
        <v>1976</v>
      </c>
      <c r="N2416">
        <v>1320</v>
      </c>
      <c r="O2416">
        <v>656</v>
      </c>
    </row>
    <row r="2417" spans="1:15" x14ac:dyDescent="0.25">
      <c r="A2417" t="s">
        <v>3480</v>
      </c>
      <c r="B2417" s="2">
        <v>48073</v>
      </c>
      <c r="C2417" t="s">
        <v>2574</v>
      </c>
      <c r="D2417" t="s">
        <v>2575</v>
      </c>
      <c r="E2417" t="s">
        <v>26</v>
      </c>
      <c r="F2417" t="s">
        <v>27</v>
      </c>
      <c r="G2417" t="s">
        <v>20</v>
      </c>
      <c r="H2417" t="s">
        <v>84</v>
      </c>
      <c r="I2417" t="s">
        <v>169</v>
      </c>
      <c r="J2417">
        <v>5</v>
      </c>
      <c r="K2417">
        <v>450</v>
      </c>
      <c r="L2417">
        <v>0</v>
      </c>
      <c r="M2417">
        <v>2250</v>
      </c>
      <c r="N2417">
        <v>1300</v>
      </c>
      <c r="O2417">
        <v>950</v>
      </c>
    </row>
    <row r="2418" spans="1:15" x14ac:dyDescent="0.25">
      <c r="A2418" t="s">
        <v>3481</v>
      </c>
      <c r="B2418" s="2">
        <v>48074</v>
      </c>
      <c r="C2418" t="s">
        <v>1434</v>
      </c>
      <c r="D2418" t="s">
        <v>1435</v>
      </c>
      <c r="E2418" t="s">
        <v>26</v>
      </c>
      <c r="F2418" t="s">
        <v>128</v>
      </c>
      <c r="G2418" t="s">
        <v>51</v>
      </c>
      <c r="H2418" t="s">
        <v>21</v>
      </c>
      <c r="I2418" t="s">
        <v>80</v>
      </c>
      <c r="J2418">
        <v>5</v>
      </c>
      <c r="K2418">
        <v>850</v>
      </c>
      <c r="L2418">
        <v>0.1</v>
      </c>
      <c r="M2418">
        <v>3825</v>
      </c>
      <c r="N2418">
        <v>2800</v>
      </c>
      <c r="O2418">
        <v>1025</v>
      </c>
    </row>
    <row r="2419" spans="1:15" x14ac:dyDescent="0.25">
      <c r="A2419" t="s">
        <v>3482</v>
      </c>
      <c r="B2419" s="2">
        <v>48075</v>
      </c>
      <c r="C2419" t="s">
        <v>1755</v>
      </c>
      <c r="D2419" t="s">
        <v>1756</v>
      </c>
      <c r="E2419" t="s">
        <v>39</v>
      </c>
      <c r="F2419" t="s">
        <v>71</v>
      </c>
      <c r="G2419" t="s">
        <v>51</v>
      </c>
      <c r="H2419" t="s">
        <v>21</v>
      </c>
      <c r="I2419" t="s">
        <v>116</v>
      </c>
      <c r="J2419">
        <v>4</v>
      </c>
      <c r="K2419">
        <v>1400</v>
      </c>
      <c r="L2419">
        <v>0.15</v>
      </c>
      <c r="M2419">
        <v>4760</v>
      </c>
      <c r="N2419">
        <v>3600</v>
      </c>
      <c r="O2419">
        <v>1160</v>
      </c>
    </row>
    <row r="2420" spans="1:15" x14ac:dyDescent="0.25">
      <c r="A2420" t="s">
        <v>3483</v>
      </c>
      <c r="B2420" s="2">
        <v>48076</v>
      </c>
      <c r="C2420" t="s">
        <v>219</v>
      </c>
      <c r="D2420" t="s">
        <v>220</v>
      </c>
      <c r="E2420" t="s">
        <v>39</v>
      </c>
      <c r="F2420" t="s">
        <v>40</v>
      </c>
      <c r="G2420" t="s">
        <v>28</v>
      </c>
      <c r="H2420" t="s">
        <v>29</v>
      </c>
      <c r="I2420" t="s">
        <v>35</v>
      </c>
      <c r="J2420">
        <v>3</v>
      </c>
      <c r="K2420">
        <v>4200</v>
      </c>
      <c r="L2420">
        <v>0.1</v>
      </c>
      <c r="M2420">
        <v>11340</v>
      </c>
      <c r="N2420">
        <v>8700</v>
      </c>
      <c r="O2420">
        <v>2640</v>
      </c>
    </row>
    <row r="2421" spans="1:15" x14ac:dyDescent="0.25">
      <c r="A2421" t="s">
        <v>3484</v>
      </c>
      <c r="B2421" s="2">
        <v>48077</v>
      </c>
      <c r="C2421" t="s">
        <v>423</v>
      </c>
      <c r="D2421" t="s">
        <v>424</v>
      </c>
      <c r="E2421" t="s">
        <v>26</v>
      </c>
      <c r="F2421" t="s">
        <v>27</v>
      </c>
      <c r="G2421" t="s">
        <v>51</v>
      </c>
      <c r="H2421" t="s">
        <v>21</v>
      </c>
      <c r="I2421" t="s">
        <v>116</v>
      </c>
      <c r="J2421">
        <v>4</v>
      </c>
      <c r="K2421">
        <v>1400</v>
      </c>
      <c r="L2421">
        <v>0</v>
      </c>
      <c r="M2421">
        <v>5600</v>
      </c>
      <c r="N2421">
        <v>3600</v>
      </c>
      <c r="O2421">
        <v>2000</v>
      </c>
    </row>
    <row r="2422" spans="1:15" x14ac:dyDescent="0.25">
      <c r="A2422" t="s">
        <v>3485</v>
      </c>
      <c r="B2422" s="2">
        <v>48078</v>
      </c>
      <c r="C2422" t="s">
        <v>2580</v>
      </c>
      <c r="D2422" t="s">
        <v>2581</v>
      </c>
      <c r="E2422" t="s">
        <v>26</v>
      </c>
      <c r="F2422" t="s">
        <v>27</v>
      </c>
      <c r="G2422" t="s">
        <v>20</v>
      </c>
      <c r="H2422" t="s">
        <v>41</v>
      </c>
      <c r="I2422" t="s">
        <v>42</v>
      </c>
      <c r="J2422">
        <v>3</v>
      </c>
      <c r="K2422">
        <v>520</v>
      </c>
      <c r="L2422">
        <v>0.2</v>
      </c>
      <c r="M2422">
        <v>1248</v>
      </c>
      <c r="N2422">
        <v>990</v>
      </c>
      <c r="O2422">
        <v>258</v>
      </c>
    </row>
    <row r="2423" spans="1:15" x14ac:dyDescent="0.25">
      <c r="A2423" t="s">
        <v>3486</v>
      </c>
      <c r="B2423" s="2">
        <v>48079</v>
      </c>
      <c r="C2423" t="s">
        <v>708</v>
      </c>
      <c r="D2423" t="s">
        <v>709</v>
      </c>
      <c r="E2423" t="s">
        <v>96</v>
      </c>
      <c r="F2423" t="s">
        <v>97</v>
      </c>
      <c r="G2423" t="s">
        <v>51</v>
      </c>
      <c r="H2423" t="s">
        <v>89</v>
      </c>
      <c r="I2423" t="s">
        <v>90</v>
      </c>
      <c r="J2423">
        <v>5</v>
      </c>
      <c r="K2423">
        <v>10500</v>
      </c>
      <c r="L2423">
        <v>0.05</v>
      </c>
      <c r="M2423">
        <v>49875</v>
      </c>
      <c r="N2423">
        <v>38000</v>
      </c>
      <c r="O2423">
        <v>11875</v>
      </c>
    </row>
    <row r="2424" spans="1:15" x14ac:dyDescent="0.25">
      <c r="A2424" t="s">
        <v>3487</v>
      </c>
      <c r="B2424" s="2">
        <v>48080</v>
      </c>
      <c r="C2424" t="s">
        <v>491</v>
      </c>
      <c r="D2424" t="s">
        <v>492</v>
      </c>
      <c r="E2424" t="s">
        <v>26</v>
      </c>
      <c r="F2424" t="s">
        <v>128</v>
      </c>
      <c r="G2424" t="s">
        <v>57</v>
      </c>
      <c r="H2424" t="s">
        <v>188</v>
      </c>
      <c r="I2424" t="s">
        <v>189</v>
      </c>
      <c r="J2424">
        <v>3</v>
      </c>
      <c r="K2424">
        <v>6200</v>
      </c>
      <c r="L2424">
        <v>0.15</v>
      </c>
      <c r="M2424">
        <v>15810</v>
      </c>
      <c r="N2424">
        <v>12900</v>
      </c>
      <c r="O2424">
        <v>2910</v>
      </c>
    </row>
    <row r="2425" spans="1:15" x14ac:dyDescent="0.25">
      <c r="A2425" t="s">
        <v>3488</v>
      </c>
      <c r="B2425" s="2">
        <v>48081</v>
      </c>
      <c r="C2425" t="s">
        <v>113</v>
      </c>
      <c r="D2425" t="s">
        <v>114</v>
      </c>
      <c r="E2425" t="s">
        <v>96</v>
      </c>
      <c r="F2425" t="s">
        <v>97</v>
      </c>
      <c r="G2425" t="s">
        <v>51</v>
      </c>
      <c r="H2425" t="s">
        <v>52</v>
      </c>
      <c r="I2425" t="s">
        <v>208</v>
      </c>
      <c r="J2425">
        <v>3</v>
      </c>
      <c r="K2425">
        <v>2800</v>
      </c>
      <c r="L2425">
        <v>0.15</v>
      </c>
      <c r="M2425">
        <v>7140</v>
      </c>
      <c r="N2425">
        <v>5400</v>
      </c>
      <c r="O2425">
        <v>1740</v>
      </c>
    </row>
    <row r="2426" spans="1:15" x14ac:dyDescent="0.25">
      <c r="A2426" t="s">
        <v>3489</v>
      </c>
      <c r="B2426" s="2">
        <v>48082</v>
      </c>
      <c r="C2426" t="s">
        <v>323</v>
      </c>
      <c r="D2426" t="s">
        <v>324</v>
      </c>
      <c r="E2426" t="s">
        <v>26</v>
      </c>
      <c r="F2426" t="s">
        <v>27</v>
      </c>
      <c r="G2426" t="s">
        <v>57</v>
      </c>
      <c r="H2426" t="s">
        <v>188</v>
      </c>
      <c r="I2426" t="s">
        <v>189</v>
      </c>
      <c r="J2426">
        <v>3</v>
      </c>
      <c r="K2426">
        <v>6200</v>
      </c>
      <c r="L2426">
        <v>0.15</v>
      </c>
      <c r="M2426">
        <v>15810</v>
      </c>
      <c r="N2426">
        <v>12900</v>
      </c>
      <c r="O2426">
        <v>2910</v>
      </c>
    </row>
    <row r="2427" spans="1:15" x14ac:dyDescent="0.25">
      <c r="A2427" t="s">
        <v>3490</v>
      </c>
      <c r="B2427" s="2">
        <v>48083</v>
      </c>
      <c r="C2427" t="s">
        <v>1636</v>
      </c>
      <c r="D2427" t="s">
        <v>1637</v>
      </c>
      <c r="E2427" t="s">
        <v>26</v>
      </c>
      <c r="F2427" t="s">
        <v>46</v>
      </c>
      <c r="G2427" t="s">
        <v>20</v>
      </c>
      <c r="H2427" t="s">
        <v>21</v>
      </c>
      <c r="I2427" t="s">
        <v>22</v>
      </c>
      <c r="J2427">
        <v>5</v>
      </c>
      <c r="K2427">
        <v>650</v>
      </c>
      <c r="L2427">
        <v>0.1</v>
      </c>
      <c r="M2427">
        <v>2925</v>
      </c>
      <c r="N2427">
        <v>1950</v>
      </c>
      <c r="O2427">
        <v>975</v>
      </c>
    </row>
    <row r="2428" spans="1:15" x14ac:dyDescent="0.25">
      <c r="A2428" t="s">
        <v>3491</v>
      </c>
      <c r="B2428" s="2">
        <v>48084</v>
      </c>
      <c r="C2428" t="s">
        <v>248</v>
      </c>
      <c r="D2428" t="s">
        <v>249</v>
      </c>
      <c r="E2428" t="s">
        <v>26</v>
      </c>
      <c r="F2428" t="s">
        <v>27</v>
      </c>
      <c r="G2428" t="s">
        <v>51</v>
      </c>
      <c r="H2428" t="s">
        <v>89</v>
      </c>
      <c r="I2428" t="s">
        <v>90</v>
      </c>
      <c r="J2428">
        <v>1</v>
      </c>
      <c r="K2428">
        <v>10500</v>
      </c>
      <c r="L2428">
        <v>0.2</v>
      </c>
      <c r="M2428">
        <v>8400</v>
      </c>
      <c r="N2428">
        <v>7600</v>
      </c>
      <c r="O2428">
        <v>800</v>
      </c>
    </row>
    <row r="2429" spans="1:15" x14ac:dyDescent="0.25">
      <c r="A2429" t="s">
        <v>3492</v>
      </c>
      <c r="B2429" s="2">
        <v>48085</v>
      </c>
      <c r="C2429" t="s">
        <v>244</v>
      </c>
      <c r="D2429" t="s">
        <v>245</v>
      </c>
      <c r="E2429" t="s">
        <v>39</v>
      </c>
      <c r="F2429" t="s">
        <v>124</v>
      </c>
      <c r="G2429" t="s">
        <v>20</v>
      </c>
      <c r="H2429" t="s">
        <v>21</v>
      </c>
      <c r="I2429" t="s">
        <v>22</v>
      </c>
      <c r="J2429">
        <v>5</v>
      </c>
      <c r="K2429">
        <v>650</v>
      </c>
      <c r="L2429">
        <v>0.2</v>
      </c>
      <c r="M2429">
        <v>2600</v>
      </c>
      <c r="N2429">
        <v>1950</v>
      </c>
      <c r="O2429">
        <v>650</v>
      </c>
    </row>
    <row r="2430" spans="1:15" x14ac:dyDescent="0.25">
      <c r="A2430" t="s">
        <v>3493</v>
      </c>
      <c r="B2430" s="2">
        <v>48086</v>
      </c>
      <c r="C2430" t="s">
        <v>1308</v>
      </c>
      <c r="D2430" t="s">
        <v>1309</v>
      </c>
      <c r="E2430" t="s">
        <v>26</v>
      </c>
      <c r="F2430" t="s">
        <v>27</v>
      </c>
      <c r="G2430" t="s">
        <v>20</v>
      </c>
      <c r="H2430" t="s">
        <v>41</v>
      </c>
      <c r="I2430" t="s">
        <v>42</v>
      </c>
      <c r="J2430">
        <v>5</v>
      </c>
      <c r="K2430">
        <v>520</v>
      </c>
      <c r="L2430">
        <v>0</v>
      </c>
      <c r="M2430">
        <v>2600</v>
      </c>
      <c r="N2430">
        <v>1650</v>
      </c>
      <c r="O2430">
        <v>950</v>
      </c>
    </row>
    <row r="2431" spans="1:15" x14ac:dyDescent="0.25">
      <c r="A2431" t="s">
        <v>3494</v>
      </c>
      <c r="B2431" s="2">
        <v>48087</v>
      </c>
      <c r="C2431" t="s">
        <v>1734</v>
      </c>
      <c r="D2431" t="s">
        <v>1735</v>
      </c>
      <c r="E2431" t="s">
        <v>39</v>
      </c>
      <c r="F2431" t="s">
        <v>124</v>
      </c>
      <c r="G2431" t="s">
        <v>51</v>
      </c>
      <c r="H2431" t="s">
        <v>89</v>
      </c>
      <c r="I2431" t="s">
        <v>90</v>
      </c>
      <c r="J2431">
        <v>3</v>
      </c>
      <c r="K2431">
        <v>10500</v>
      </c>
      <c r="L2431">
        <v>0.15</v>
      </c>
      <c r="M2431">
        <v>26775</v>
      </c>
      <c r="N2431">
        <v>22800</v>
      </c>
      <c r="O2431">
        <v>3975</v>
      </c>
    </row>
    <row r="2432" spans="1:15" x14ac:dyDescent="0.25">
      <c r="A2432" t="s">
        <v>3495</v>
      </c>
      <c r="B2432" s="2">
        <v>48088</v>
      </c>
      <c r="C2432" t="s">
        <v>1299</v>
      </c>
      <c r="D2432" t="s">
        <v>1300</v>
      </c>
      <c r="E2432" t="s">
        <v>96</v>
      </c>
      <c r="F2432" t="s">
        <v>200</v>
      </c>
      <c r="G2432" t="s">
        <v>51</v>
      </c>
      <c r="H2432" t="s">
        <v>52</v>
      </c>
      <c r="I2432" t="s">
        <v>53</v>
      </c>
      <c r="J2432">
        <v>4</v>
      </c>
      <c r="K2432">
        <v>2200</v>
      </c>
      <c r="L2432">
        <v>0.05</v>
      </c>
      <c r="M2432">
        <v>8360</v>
      </c>
      <c r="N2432">
        <v>5800</v>
      </c>
      <c r="O2432">
        <v>2560</v>
      </c>
    </row>
    <row r="2433" spans="1:15" x14ac:dyDescent="0.25">
      <c r="A2433" t="s">
        <v>3496</v>
      </c>
      <c r="B2433" s="2">
        <v>48089</v>
      </c>
      <c r="C2433" t="s">
        <v>436</v>
      </c>
      <c r="D2433" t="s">
        <v>437</v>
      </c>
      <c r="E2433" t="s">
        <v>26</v>
      </c>
      <c r="F2433" t="s">
        <v>27</v>
      </c>
      <c r="G2433" t="s">
        <v>57</v>
      </c>
      <c r="H2433" t="s">
        <v>58</v>
      </c>
      <c r="I2433" t="s">
        <v>59</v>
      </c>
      <c r="J2433">
        <v>2</v>
      </c>
      <c r="K2433">
        <v>5600</v>
      </c>
      <c r="L2433">
        <v>0</v>
      </c>
      <c r="M2433">
        <v>11200</v>
      </c>
      <c r="N2433">
        <v>7800</v>
      </c>
      <c r="O2433">
        <v>3400</v>
      </c>
    </row>
    <row r="2434" spans="1:15" x14ac:dyDescent="0.25">
      <c r="A2434" t="s">
        <v>3497</v>
      </c>
      <c r="B2434" s="2">
        <v>48090</v>
      </c>
      <c r="C2434" t="s">
        <v>1243</v>
      </c>
      <c r="D2434" t="s">
        <v>1244</v>
      </c>
      <c r="E2434" t="s">
        <v>26</v>
      </c>
      <c r="F2434" t="s">
        <v>128</v>
      </c>
      <c r="G2434" t="s">
        <v>28</v>
      </c>
      <c r="H2434" t="s">
        <v>29</v>
      </c>
      <c r="I2434" t="s">
        <v>47</v>
      </c>
      <c r="J2434">
        <v>2</v>
      </c>
      <c r="K2434">
        <v>6800</v>
      </c>
      <c r="L2434">
        <v>0.1</v>
      </c>
      <c r="M2434">
        <v>12240</v>
      </c>
      <c r="N2434">
        <v>9400</v>
      </c>
      <c r="O2434">
        <v>2840</v>
      </c>
    </row>
    <row r="2435" spans="1:15" x14ac:dyDescent="0.25">
      <c r="A2435" t="s">
        <v>3498</v>
      </c>
      <c r="B2435" s="2">
        <v>48091</v>
      </c>
      <c r="C2435" t="s">
        <v>1551</v>
      </c>
      <c r="D2435" t="s">
        <v>1552</v>
      </c>
      <c r="E2435" t="s">
        <v>26</v>
      </c>
      <c r="F2435" t="s">
        <v>46</v>
      </c>
      <c r="G2435" t="s">
        <v>51</v>
      </c>
      <c r="H2435" t="s">
        <v>21</v>
      </c>
      <c r="I2435" t="s">
        <v>72</v>
      </c>
      <c r="J2435">
        <v>3</v>
      </c>
      <c r="K2435">
        <v>1800</v>
      </c>
      <c r="L2435">
        <v>0.05</v>
      </c>
      <c r="M2435">
        <v>5130</v>
      </c>
      <c r="N2435">
        <v>3300</v>
      </c>
      <c r="O2435">
        <v>1830</v>
      </c>
    </row>
    <row r="2436" spans="1:15" x14ac:dyDescent="0.25">
      <c r="A2436" t="s">
        <v>3499</v>
      </c>
      <c r="B2436" s="2">
        <v>48092</v>
      </c>
      <c r="C2436" t="s">
        <v>2052</v>
      </c>
      <c r="D2436" t="s">
        <v>2053</v>
      </c>
      <c r="E2436" t="s">
        <v>26</v>
      </c>
      <c r="F2436" t="s">
        <v>34</v>
      </c>
      <c r="G2436" t="s">
        <v>20</v>
      </c>
      <c r="H2436" t="s">
        <v>21</v>
      </c>
      <c r="I2436" t="s">
        <v>22</v>
      </c>
      <c r="J2436">
        <v>5</v>
      </c>
      <c r="K2436">
        <v>650</v>
      </c>
      <c r="L2436">
        <v>0.15</v>
      </c>
      <c r="M2436">
        <v>2762.5</v>
      </c>
      <c r="N2436">
        <v>1950</v>
      </c>
      <c r="O2436">
        <v>812.5</v>
      </c>
    </row>
    <row r="2437" spans="1:15" x14ac:dyDescent="0.25">
      <c r="A2437" t="s">
        <v>3500</v>
      </c>
      <c r="B2437" s="2">
        <v>48093</v>
      </c>
      <c r="C2437" t="s">
        <v>778</v>
      </c>
      <c r="D2437" t="s">
        <v>779</v>
      </c>
      <c r="E2437" t="s">
        <v>18</v>
      </c>
      <c r="F2437" t="s">
        <v>19</v>
      </c>
      <c r="G2437" t="s">
        <v>51</v>
      </c>
      <c r="H2437" t="s">
        <v>21</v>
      </c>
      <c r="I2437" t="s">
        <v>116</v>
      </c>
      <c r="J2437">
        <v>5</v>
      </c>
      <c r="K2437">
        <v>1400</v>
      </c>
      <c r="L2437">
        <v>0</v>
      </c>
      <c r="M2437">
        <v>7000</v>
      </c>
      <c r="N2437">
        <v>4500</v>
      </c>
      <c r="O2437">
        <v>2500</v>
      </c>
    </row>
    <row r="2438" spans="1:15" x14ac:dyDescent="0.25">
      <c r="A2438" t="s">
        <v>3501</v>
      </c>
      <c r="B2438" s="2">
        <v>48094</v>
      </c>
      <c r="C2438" t="s">
        <v>547</v>
      </c>
      <c r="D2438" t="s">
        <v>548</v>
      </c>
      <c r="E2438" t="s">
        <v>18</v>
      </c>
      <c r="F2438" t="s">
        <v>19</v>
      </c>
      <c r="G2438" t="s">
        <v>51</v>
      </c>
      <c r="H2438" t="s">
        <v>21</v>
      </c>
      <c r="I2438" t="s">
        <v>72</v>
      </c>
      <c r="J2438">
        <v>2</v>
      </c>
      <c r="K2438">
        <v>1800</v>
      </c>
      <c r="L2438">
        <v>0.15</v>
      </c>
      <c r="M2438">
        <v>3060</v>
      </c>
      <c r="N2438">
        <v>2200</v>
      </c>
      <c r="O2438">
        <v>860</v>
      </c>
    </row>
    <row r="2439" spans="1:15" x14ac:dyDescent="0.25">
      <c r="A2439" t="s">
        <v>3502</v>
      </c>
      <c r="B2439" s="2">
        <v>48095</v>
      </c>
      <c r="C2439" t="s">
        <v>110</v>
      </c>
      <c r="D2439" t="s">
        <v>111</v>
      </c>
      <c r="E2439" t="s">
        <v>26</v>
      </c>
      <c r="F2439" t="s">
        <v>128</v>
      </c>
      <c r="G2439" t="s">
        <v>57</v>
      </c>
      <c r="H2439" t="s">
        <v>58</v>
      </c>
      <c r="I2439" t="s">
        <v>59</v>
      </c>
      <c r="J2439">
        <v>3</v>
      </c>
      <c r="K2439">
        <v>5600</v>
      </c>
      <c r="L2439">
        <v>0</v>
      </c>
      <c r="M2439">
        <v>16800</v>
      </c>
      <c r="N2439">
        <v>11700</v>
      </c>
      <c r="O2439">
        <v>5100</v>
      </c>
    </row>
    <row r="2440" spans="1:15" x14ac:dyDescent="0.25">
      <c r="A2440" t="s">
        <v>3503</v>
      </c>
      <c r="B2440" s="2">
        <v>48096</v>
      </c>
      <c r="C2440" t="s">
        <v>519</v>
      </c>
      <c r="D2440" t="s">
        <v>520</v>
      </c>
      <c r="E2440" t="s">
        <v>39</v>
      </c>
      <c r="F2440" t="s">
        <v>71</v>
      </c>
      <c r="G2440" t="s">
        <v>20</v>
      </c>
      <c r="H2440" t="s">
        <v>84</v>
      </c>
      <c r="I2440" t="s">
        <v>210</v>
      </c>
      <c r="J2440">
        <v>5</v>
      </c>
      <c r="K2440">
        <v>300</v>
      </c>
      <c r="L2440">
        <v>0.2</v>
      </c>
      <c r="M2440">
        <v>1200</v>
      </c>
      <c r="N2440">
        <v>850</v>
      </c>
      <c r="O2440">
        <v>350</v>
      </c>
    </row>
    <row r="2441" spans="1:15" x14ac:dyDescent="0.25">
      <c r="A2441" t="s">
        <v>3504</v>
      </c>
      <c r="B2441" s="2">
        <v>48097</v>
      </c>
      <c r="C2441" t="s">
        <v>623</v>
      </c>
      <c r="D2441" t="s">
        <v>624</v>
      </c>
      <c r="E2441" t="s">
        <v>39</v>
      </c>
      <c r="F2441" t="s">
        <v>76</v>
      </c>
      <c r="G2441" t="s">
        <v>51</v>
      </c>
      <c r="H2441" t="s">
        <v>52</v>
      </c>
      <c r="I2441" t="s">
        <v>208</v>
      </c>
      <c r="J2441">
        <v>4</v>
      </c>
      <c r="K2441">
        <v>2800</v>
      </c>
      <c r="L2441">
        <v>0.2</v>
      </c>
      <c r="M2441">
        <v>8960</v>
      </c>
      <c r="N2441">
        <v>7200</v>
      </c>
      <c r="O2441">
        <v>1760</v>
      </c>
    </row>
    <row r="2442" spans="1:15" x14ac:dyDescent="0.25">
      <c r="A2442" t="s">
        <v>3505</v>
      </c>
      <c r="B2442" s="2">
        <v>48098</v>
      </c>
      <c r="C2442" t="s">
        <v>871</v>
      </c>
      <c r="D2442" t="s">
        <v>872</v>
      </c>
      <c r="E2442" t="s">
        <v>96</v>
      </c>
      <c r="F2442" t="s">
        <v>196</v>
      </c>
      <c r="G2442" t="s">
        <v>51</v>
      </c>
      <c r="H2442" t="s">
        <v>21</v>
      </c>
      <c r="I2442" t="s">
        <v>116</v>
      </c>
      <c r="J2442">
        <v>2</v>
      </c>
      <c r="K2442">
        <v>1400</v>
      </c>
      <c r="L2442">
        <v>0.1</v>
      </c>
      <c r="M2442">
        <v>2520</v>
      </c>
      <c r="N2442">
        <v>1800</v>
      </c>
      <c r="O2442">
        <v>720</v>
      </c>
    </row>
    <row r="2443" spans="1:15" x14ac:dyDescent="0.25">
      <c r="A2443" t="s">
        <v>3506</v>
      </c>
      <c r="B2443" s="2">
        <v>48099</v>
      </c>
      <c r="C2443" t="s">
        <v>1783</v>
      </c>
      <c r="D2443" t="s">
        <v>1784</v>
      </c>
      <c r="E2443" t="s">
        <v>26</v>
      </c>
      <c r="F2443" t="s">
        <v>34</v>
      </c>
      <c r="G2443" t="s">
        <v>20</v>
      </c>
      <c r="H2443" t="s">
        <v>84</v>
      </c>
      <c r="I2443" t="s">
        <v>169</v>
      </c>
      <c r="J2443">
        <v>4</v>
      </c>
      <c r="K2443">
        <v>450</v>
      </c>
      <c r="L2443">
        <v>0.15</v>
      </c>
      <c r="M2443">
        <v>1530</v>
      </c>
      <c r="N2443">
        <v>1040</v>
      </c>
      <c r="O2443">
        <v>490</v>
      </c>
    </row>
    <row r="2444" spans="1:15" x14ac:dyDescent="0.25">
      <c r="A2444" t="s">
        <v>3507</v>
      </c>
      <c r="B2444" s="2">
        <v>48100</v>
      </c>
      <c r="C2444" t="s">
        <v>2015</v>
      </c>
      <c r="D2444" t="s">
        <v>2016</v>
      </c>
      <c r="E2444" t="s">
        <v>39</v>
      </c>
      <c r="F2444" t="s">
        <v>71</v>
      </c>
      <c r="G2444" t="s">
        <v>28</v>
      </c>
      <c r="H2444" t="s">
        <v>63</v>
      </c>
      <c r="I2444" t="s">
        <v>64</v>
      </c>
      <c r="J2444">
        <v>3</v>
      </c>
      <c r="K2444">
        <v>2400</v>
      </c>
      <c r="L2444">
        <v>0.1</v>
      </c>
      <c r="M2444">
        <v>6480</v>
      </c>
      <c r="N2444">
        <v>4950</v>
      </c>
      <c r="O2444">
        <v>1530</v>
      </c>
    </row>
    <row r="2445" spans="1:15" x14ac:dyDescent="0.25">
      <c r="A2445" t="s">
        <v>3508</v>
      </c>
      <c r="B2445" s="2">
        <v>48101</v>
      </c>
      <c r="C2445" t="s">
        <v>1510</v>
      </c>
      <c r="D2445" t="s">
        <v>1511</v>
      </c>
      <c r="E2445" t="s">
        <v>96</v>
      </c>
      <c r="F2445" t="s">
        <v>196</v>
      </c>
      <c r="G2445" t="s">
        <v>57</v>
      </c>
      <c r="H2445" t="s">
        <v>58</v>
      </c>
      <c r="I2445" t="s">
        <v>129</v>
      </c>
      <c r="J2445">
        <v>1</v>
      </c>
      <c r="K2445">
        <v>4800</v>
      </c>
      <c r="L2445">
        <v>0.1</v>
      </c>
      <c r="M2445">
        <v>4320</v>
      </c>
      <c r="N2445">
        <v>3300</v>
      </c>
      <c r="O2445">
        <v>1020</v>
      </c>
    </row>
    <row r="2446" spans="1:15" x14ac:dyDescent="0.25">
      <c r="A2446" t="s">
        <v>3509</v>
      </c>
      <c r="B2446" s="2">
        <v>48102</v>
      </c>
      <c r="C2446" t="s">
        <v>2470</v>
      </c>
      <c r="D2446" t="s">
        <v>2471</v>
      </c>
      <c r="E2446" t="s">
        <v>18</v>
      </c>
      <c r="F2446" t="s">
        <v>115</v>
      </c>
      <c r="G2446" t="s">
        <v>20</v>
      </c>
      <c r="H2446" t="s">
        <v>84</v>
      </c>
      <c r="I2446" t="s">
        <v>169</v>
      </c>
      <c r="J2446">
        <v>5</v>
      </c>
      <c r="K2446">
        <v>450</v>
      </c>
      <c r="L2446">
        <v>0.1</v>
      </c>
      <c r="M2446">
        <v>2025</v>
      </c>
      <c r="N2446">
        <v>1300</v>
      </c>
      <c r="O2446">
        <v>725</v>
      </c>
    </row>
    <row r="2447" spans="1:15" x14ac:dyDescent="0.25">
      <c r="A2447" t="s">
        <v>3510</v>
      </c>
      <c r="B2447" s="2">
        <v>48103</v>
      </c>
      <c r="C2447" t="s">
        <v>346</v>
      </c>
      <c r="D2447" t="s">
        <v>347</v>
      </c>
      <c r="E2447" t="s">
        <v>39</v>
      </c>
      <c r="F2447" t="s">
        <v>40</v>
      </c>
      <c r="G2447" t="s">
        <v>57</v>
      </c>
      <c r="H2447" t="s">
        <v>58</v>
      </c>
      <c r="I2447" t="s">
        <v>59</v>
      </c>
      <c r="J2447">
        <v>5</v>
      </c>
      <c r="K2447">
        <v>5600</v>
      </c>
      <c r="L2447">
        <v>0.05</v>
      </c>
      <c r="M2447">
        <v>26600</v>
      </c>
      <c r="N2447">
        <v>19500</v>
      </c>
      <c r="O2447">
        <v>7100</v>
      </c>
    </row>
    <row r="2448" spans="1:15" x14ac:dyDescent="0.25">
      <c r="A2448" t="s">
        <v>3511</v>
      </c>
      <c r="B2448" s="2">
        <v>48104</v>
      </c>
      <c r="C2448" t="s">
        <v>1430</v>
      </c>
      <c r="D2448" t="s">
        <v>1431</v>
      </c>
      <c r="E2448" t="s">
        <v>96</v>
      </c>
      <c r="F2448" t="s">
        <v>97</v>
      </c>
      <c r="G2448" t="s">
        <v>57</v>
      </c>
      <c r="H2448" t="s">
        <v>188</v>
      </c>
      <c r="I2448" t="s">
        <v>189</v>
      </c>
      <c r="J2448">
        <v>3</v>
      </c>
      <c r="K2448">
        <v>6200</v>
      </c>
      <c r="L2448">
        <v>0.1</v>
      </c>
      <c r="M2448">
        <v>16740</v>
      </c>
      <c r="N2448">
        <v>12900</v>
      </c>
      <c r="O2448">
        <v>3840</v>
      </c>
    </row>
    <row r="2449" spans="1:15" x14ac:dyDescent="0.25">
      <c r="A2449" t="s">
        <v>3512</v>
      </c>
      <c r="B2449" s="2">
        <v>48105</v>
      </c>
      <c r="C2449" t="s">
        <v>1067</v>
      </c>
      <c r="D2449" t="s">
        <v>1068</v>
      </c>
      <c r="E2449" t="s">
        <v>26</v>
      </c>
      <c r="F2449" t="s">
        <v>204</v>
      </c>
      <c r="G2449" t="s">
        <v>20</v>
      </c>
      <c r="H2449" t="s">
        <v>84</v>
      </c>
      <c r="I2449" t="s">
        <v>169</v>
      </c>
      <c r="J2449">
        <v>3</v>
      </c>
      <c r="K2449">
        <v>450</v>
      </c>
      <c r="L2449">
        <v>0.05</v>
      </c>
      <c r="M2449">
        <v>1282.5</v>
      </c>
      <c r="N2449">
        <v>780</v>
      </c>
      <c r="O2449">
        <v>502.5</v>
      </c>
    </row>
    <row r="2450" spans="1:15" x14ac:dyDescent="0.25">
      <c r="A2450" t="s">
        <v>3513</v>
      </c>
      <c r="B2450" s="2">
        <v>48106</v>
      </c>
      <c r="C2450" t="s">
        <v>597</v>
      </c>
      <c r="D2450" t="s">
        <v>598</v>
      </c>
      <c r="E2450" t="s">
        <v>96</v>
      </c>
      <c r="F2450" t="s">
        <v>120</v>
      </c>
      <c r="G2450" t="s">
        <v>20</v>
      </c>
      <c r="H2450" t="s">
        <v>41</v>
      </c>
      <c r="I2450" t="s">
        <v>42</v>
      </c>
      <c r="J2450">
        <v>3</v>
      </c>
      <c r="K2450">
        <v>520</v>
      </c>
      <c r="L2450">
        <v>0</v>
      </c>
      <c r="M2450">
        <v>1560</v>
      </c>
      <c r="N2450">
        <v>990</v>
      </c>
      <c r="O2450">
        <v>570</v>
      </c>
    </row>
    <row r="2451" spans="1:15" x14ac:dyDescent="0.25">
      <c r="A2451" t="s">
        <v>3514</v>
      </c>
      <c r="B2451" s="2">
        <v>48107</v>
      </c>
      <c r="C2451" t="s">
        <v>61</v>
      </c>
      <c r="D2451" t="s">
        <v>62</v>
      </c>
      <c r="E2451" t="s">
        <v>26</v>
      </c>
      <c r="F2451" t="s">
        <v>128</v>
      </c>
      <c r="G2451" t="s">
        <v>57</v>
      </c>
      <c r="H2451" t="s">
        <v>58</v>
      </c>
      <c r="I2451" t="s">
        <v>59</v>
      </c>
      <c r="J2451">
        <v>3</v>
      </c>
      <c r="K2451">
        <v>5600</v>
      </c>
      <c r="L2451">
        <v>0.05</v>
      </c>
      <c r="M2451">
        <v>15960</v>
      </c>
      <c r="N2451">
        <v>11700</v>
      </c>
      <c r="O2451">
        <v>4260</v>
      </c>
    </row>
    <row r="2452" spans="1:15" x14ac:dyDescent="0.25">
      <c r="A2452" t="s">
        <v>3515</v>
      </c>
      <c r="B2452" s="2">
        <v>48108</v>
      </c>
      <c r="C2452" t="s">
        <v>55</v>
      </c>
      <c r="D2452" t="s">
        <v>56</v>
      </c>
      <c r="E2452" t="s">
        <v>39</v>
      </c>
      <c r="F2452" t="s">
        <v>40</v>
      </c>
      <c r="G2452" t="s">
        <v>28</v>
      </c>
      <c r="H2452" t="s">
        <v>29</v>
      </c>
      <c r="I2452" t="s">
        <v>30</v>
      </c>
      <c r="J2452">
        <v>2</v>
      </c>
      <c r="K2452">
        <v>1900</v>
      </c>
      <c r="L2452">
        <v>0.1</v>
      </c>
      <c r="M2452">
        <v>3420</v>
      </c>
      <c r="N2452">
        <v>2500</v>
      </c>
      <c r="O2452">
        <v>920</v>
      </c>
    </row>
    <row r="2453" spans="1:15" x14ac:dyDescent="0.25">
      <c r="A2453" t="s">
        <v>3516</v>
      </c>
      <c r="B2453" s="2">
        <v>48109</v>
      </c>
      <c r="C2453" t="s">
        <v>678</v>
      </c>
      <c r="D2453" t="s">
        <v>679</v>
      </c>
      <c r="E2453" t="s">
        <v>39</v>
      </c>
      <c r="F2453" t="s">
        <v>124</v>
      </c>
      <c r="G2453" t="s">
        <v>51</v>
      </c>
      <c r="H2453" t="s">
        <v>21</v>
      </c>
      <c r="I2453" t="s">
        <v>80</v>
      </c>
      <c r="J2453">
        <v>1</v>
      </c>
      <c r="K2453">
        <v>850</v>
      </c>
      <c r="L2453">
        <v>0.1</v>
      </c>
      <c r="M2453">
        <v>765</v>
      </c>
      <c r="N2453">
        <v>560</v>
      </c>
      <c r="O2453">
        <v>205</v>
      </c>
    </row>
    <row r="2454" spans="1:15" x14ac:dyDescent="0.25">
      <c r="A2454" t="s">
        <v>3517</v>
      </c>
      <c r="B2454" s="2">
        <v>48110</v>
      </c>
      <c r="C2454" t="s">
        <v>2470</v>
      </c>
      <c r="D2454" t="s">
        <v>2471</v>
      </c>
      <c r="E2454" t="s">
        <v>39</v>
      </c>
      <c r="F2454" t="s">
        <v>40</v>
      </c>
      <c r="G2454" t="s">
        <v>57</v>
      </c>
      <c r="H2454" t="s">
        <v>58</v>
      </c>
      <c r="I2454" t="s">
        <v>59</v>
      </c>
      <c r="J2454">
        <v>3</v>
      </c>
      <c r="K2454">
        <v>5600</v>
      </c>
      <c r="L2454">
        <v>0.1</v>
      </c>
      <c r="M2454">
        <v>15120</v>
      </c>
      <c r="N2454">
        <v>11700</v>
      </c>
      <c r="O2454">
        <v>3420</v>
      </c>
    </row>
    <row r="2455" spans="1:15" x14ac:dyDescent="0.25">
      <c r="A2455" t="s">
        <v>3518</v>
      </c>
      <c r="B2455" s="2">
        <v>48111</v>
      </c>
      <c r="C2455" t="s">
        <v>544</v>
      </c>
      <c r="D2455" t="s">
        <v>545</v>
      </c>
      <c r="E2455" t="s">
        <v>39</v>
      </c>
      <c r="F2455" t="s">
        <v>124</v>
      </c>
      <c r="G2455" t="s">
        <v>20</v>
      </c>
      <c r="H2455" t="s">
        <v>41</v>
      </c>
      <c r="I2455" t="s">
        <v>42</v>
      </c>
      <c r="J2455">
        <v>3</v>
      </c>
      <c r="K2455">
        <v>520</v>
      </c>
      <c r="L2455">
        <v>0.2</v>
      </c>
      <c r="M2455">
        <v>1248</v>
      </c>
      <c r="N2455">
        <v>990</v>
      </c>
      <c r="O2455">
        <v>258</v>
      </c>
    </row>
    <row r="2456" spans="1:15" x14ac:dyDescent="0.25">
      <c r="A2456" t="s">
        <v>3519</v>
      </c>
      <c r="B2456" s="2">
        <v>48112</v>
      </c>
      <c r="C2456" t="s">
        <v>2247</v>
      </c>
      <c r="D2456" t="s">
        <v>2248</v>
      </c>
      <c r="E2456" t="s">
        <v>96</v>
      </c>
      <c r="F2456" t="s">
        <v>200</v>
      </c>
      <c r="G2456" t="s">
        <v>57</v>
      </c>
      <c r="H2456" t="s">
        <v>58</v>
      </c>
      <c r="I2456" t="s">
        <v>59</v>
      </c>
      <c r="J2456">
        <v>5</v>
      </c>
      <c r="K2456">
        <v>5600</v>
      </c>
      <c r="L2456">
        <v>0.1</v>
      </c>
      <c r="M2456">
        <v>25200</v>
      </c>
      <c r="N2456">
        <v>19500</v>
      </c>
      <c r="O2456">
        <v>5700</v>
      </c>
    </row>
    <row r="2457" spans="1:15" x14ac:dyDescent="0.25">
      <c r="A2457" t="s">
        <v>3520</v>
      </c>
      <c r="B2457" s="2">
        <v>48113</v>
      </c>
      <c r="C2457" t="s">
        <v>896</v>
      </c>
      <c r="D2457" t="s">
        <v>897</v>
      </c>
      <c r="E2457" t="s">
        <v>39</v>
      </c>
      <c r="F2457" t="s">
        <v>76</v>
      </c>
      <c r="G2457" t="s">
        <v>51</v>
      </c>
      <c r="H2457" t="s">
        <v>52</v>
      </c>
      <c r="I2457" t="s">
        <v>53</v>
      </c>
      <c r="J2457">
        <v>4</v>
      </c>
      <c r="K2457">
        <v>2200</v>
      </c>
      <c r="L2457">
        <v>0.15</v>
      </c>
      <c r="M2457">
        <v>7480</v>
      </c>
      <c r="N2457">
        <v>5800</v>
      </c>
      <c r="O2457">
        <v>1680</v>
      </c>
    </row>
    <row r="2458" spans="1:15" x14ac:dyDescent="0.25">
      <c r="A2458" t="s">
        <v>3521</v>
      </c>
      <c r="B2458" s="2">
        <v>48114</v>
      </c>
      <c r="C2458" t="s">
        <v>578</v>
      </c>
      <c r="D2458" t="s">
        <v>579</v>
      </c>
      <c r="E2458" t="s">
        <v>96</v>
      </c>
      <c r="F2458" t="s">
        <v>120</v>
      </c>
      <c r="G2458" t="s">
        <v>51</v>
      </c>
      <c r="H2458" t="s">
        <v>21</v>
      </c>
      <c r="I2458" t="s">
        <v>80</v>
      </c>
      <c r="J2458">
        <v>5</v>
      </c>
      <c r="K2458">
        <v>850</v>
      </c>
      <c r="L2458">
        <v>0.1</v>
      </c>
      <c r="M2458">
        <v>3825</v>
      </c>
      <c r="N2458">
        <v>2800</v>
      </c>
      <c r="O2458">
        <v>1025</v>
      </c>
    </row>
    <row r="2459" spans="1:15" x14ac:dyDescent="0.25">
      <c r="A2459" t="s">
        <v>3522</v>
      </c>
      <c r="B2459" s="2">
        <v>48115</v>
      </c>
      <c r="C2459" t="s">
        <v>553</v>
      </c>
      <c r="D2459" t="s">
        <v>554</v>
      </c>
      <c r="E2459" t="s">
        <v>26</v>
      </c>
      <c r="F2459" t="s">
        <v>128</v>
      </c>
      <c r="G2459" t="s">
        <v>57</v>
      </c>
      <c r="H2459" t="s">
        <v>188</v>
      </c>
      <c r="I2459" t="s">
        <v>189</v>
      </c>
      <c r="J2459">
        <v>2</v>
      </c>
      <c r="K2459">
        <v>6200</v>
      </c>
      <c r="L2459">
        <v>0.15</v>
      </c>
      <c r="M2459">
        <v>10540</v>
      </c>
      <c r="N2459">
        <v>8600</v>
      </c>
      <c r="O2459">
        <v>1940</v>
      </c>
    </row>
    <row r="2460" spans="1:15" x14ac:dyDescent="0.25">
      <c r="A2460" t="s">
        <v>3523</v>
      </c>
      <c r="B2460" s="2">
        <v>48116</v>
      </c>
      <c r="C2460" t="s">
        <v>821</v>
      </c>
      <c r="D2460" t="s">
        <v>822</v>
      </c>
      <c r="E2460" t="s">
        <v>18</v>
      </c>
      <c r="F2460" t="s">
        <v>115</v>
      </c>
      <c r="G2460" t="s">
        <v>28</v>
      </c>
      <c r="H2460" t="s">
        <v>63</v>
      </c>
      <c r="I2460" t="s">
        <v>64</v>
      </c>
      <c r="J2460">
        <v>5</v>
      </c>
      <c r="K2460">
        <v>2400</v>
      </c>
      <c r="L2460">
        <v>0.1</v>
      </c>
      <c r="M2460">
        <v>10800</v>
      </c>
      <c r="N2460">
        <v>8250</v>
      </c>
      <c r="O2460">
        <v>2550</v>
      </c>
    </row>
    <row r="2461" spans="1:15" x14ac:dyDescent="0.25">
      <c r="A2461" t="s">
        <v>3524</v>
      </c>
      <c r="B2461" s="2">
        <v>48117</v>
      </c>
      <c r="C2461" t="s">
        <v>2374</v>
      </c>
      <c r="D2461" t="s">
        <v>2375</v>
      </c>
      <c r="E2461" t="s">
        <v>96</v>
      </c>
      <c r="F2461" t="s">
        <v>97</v>
      </c>
      <c r="G2461" t="s">
        <v>20</v>
      </c>
      <c r="H2461" t="s">
        <v>84</v>
      </c>
      <c r="I2461" t="s">
        <v>210</v>
      </c>
      <c r="J2461">
        <v>3</v>
      </c>
      <c r="K2461">
        <v>300</v>
      </c>
      <c r="L2461">
        <v>0.15</v>
      </c>
      <c r="M2461">
        <v>765</v>
      </c>
      <c r="N2461">
        <v>510</v>
      </c>
      <c r="O2461">
        <v>255</v>
      </c>
    </row>
    <row r="2462" spans="1:15" x14ac:dyDescent="0.25">
      <c r="A2462" t="s">
        <v>3525</v>
      </c>
      <c r="B2462" s="2">
        <v>48118</v>
      </c>
      <c r="C2462" t="s">
        <v>974</v>
      </c>
      <c r="D2462" t="s">
        <v>975</v>
      </c>
      <c r="E2462" t="s">
        <v>26</v>
      </c>
      <c r="F2462" t="s">
        <v>34</v>
      </c>
      <c r="G2462" t="s">
        <v>28</v>
      </c>
      <c r="H2462" t="s">
        <v>29</v>
      </c>
      <c r="I2462" t="s">
        <v>30</v>
      </c>
      <c r="J2462">
        <v>5</v>
      </c>
      <c r="K2462">
        <v>1900</v>
      </c>
      <c r="L2462">
        <v>0.15</v>
      </c>
      <c r="M2462">
        <v>8075</v>
      </c>
      <c r="N2462">
        <v>6250</v>
      </c>
      <c r="O2462">
        <v>1825</v>
      </c>
    </row>
    <row r="2463" spans="1:15" x14ac:dyDescent="0.25">
      <c r="A2463" t="s">
        <v>3526</v>
      </c>
      <c r="B2463" s="2">
        <v>48119</v>
      </c>
      <c r="C2463" t="s">
        <v>1384</v>
      </c>
      <c r="D2463" t="s">
        <v>1385</v>
      </c>
      <c r="E2463" t="s">
        <v>18</v>
      </c>
      <c r="F2463" t="s">
        <v>227</v>
      </c>
      <c r="G2463" t="s">
        <v>20</v>
      </c>
      <c r="H2463" t="s">
        <v>21</v>
      </c>
      <c r="I2463" t="s">
        <v>22</v>
      </c>
      <c r="J2463">
        <v>5</v>
      </c>
      <c r="K2463">
        <v>650</v>
      </c>
      <c r="L2463">
        <v>0.1</v>
      </c>
      <c r="M2463">
        <v>2925</v>
      </c>
      <c r="N2463">
        <v>1950</v>
      </c>
      <c r="O2463">
        <v>975</v>
      </c>
    </row>
    <row r="2464" spans="1:15" x14ac:dyDescent="0.25">
      <c r="A2464" t="s">
        <v>3527</v>
      </c>
      <c r="B2464" s="2">
        <v>48120</v>
      </c>
      <c r="C2464" t="s">
        <v>1372</v>
      </c>
      <c r="D2464" t="s">
        <v>1373</v>
      </c>
      <c r="E2464" t="s">
        <v>26</v>
      </c>
      <c r="F2464" t="s">
        <v>128</v>
      </c>
      <c r="G2464" t="s">
        <v>51</v>
      </c>
      <c r="H2464" t="s">
        <v>21</v>
      </c>
      <c r="I2464" t="s">
        <v>72</v>
      </c>
      <c r="J2464">
        <v>2</v>
      </c>
      <c r="K2464">
        <v>1800</v>
      </c>
      <c r="L2464">
        <v>0.05</v>
      </c>
      <c r="M2464">
        <v>3420</v>
      </c>
      <c r="N2464">
        <v>2200</v>
      </c>
      <c r="O2464">
        <v>1220</v>
      </c>
    </row>
    <row r="2465" spans="1:15" x14ac:dyDescent="0.25">
      <c r="A2465" t="s">
        <v>3528</v>
      </c>
      <c r="B2465" s="2">
        <v>48121</v>
      </c>
      <c r="C2465" t="s">
        <v>2374</v>
      </c>
      <c r="D2465" t="s">
        <v>2375</v>
      </c>
      <c r="E2465" t="s">
        <v>26</v>
      </c>
      <c r="F2465" t="s">
        <v>204</v>
      </c>
      <c r="G2465" t="s">
        <v>57</v>
      </c>
      <c r="H2465" t="s">
        <v>104</v>
      </c>
      <c r="I2465" t="s">
        <v>105</v>
      </c>
      <c r="J2465">
        <v>2</v>
      </c>
      <c r="K2465">
        <v>7500</v>
      </c>
      <c r="L2465">
        <v>0.1</v>
      </c>
      <c r="M2465">
        <v>13500</v>
      </c>
      <c r="N2465">
        <v>10400</v>
      </c>
      <c r="O2465">
        <v>3100</v>
      </c>
    </row>
    <row r="2466" spans="1:15" x14ac:dyDescent="0.25">
      <c r="A2466" t="s">
        <v>3529</v>
      </c>
      <c r="B2466" s="2">
        <v>48122</v>
      </c>
      <c r="C2466" t="s">
        <v>757</v>
      </c>
      <c r="D2466" t="s">
        <v>758</v>
      </c>
      <c r="E2466" t="s">
        <v>96</v>
      </c>
      <c r="F2466" t="s">
        <v>97</v>
      </c>
      <c r="G2466" t="s">
        <v>28</v>
      </c>
      <c r="H2466" t="s">
        <v>29</v>
      </c>
      <c r="I2466" t="s">
        <v>47</v>
      </c>
      <c r="J2466">
        <v>4</v>
      </c>
      <c r="K2466">
        <v>6800</v>
      </c>
      <c r="L2466">
        <v>0.05</v>
      </c>
      <c r="M2466">
        <v>25840</v>
      </c>
      <c r="N2466">
        <v>18800</v>
      </c>
      <c r="O2466">
        <v>7040</v>
      </c>
    </row>
    <row r="2467" spans="1:15" x14ac:dyDescent="0.25">
      <c r="A2467" t="s">
        <v>3530</v>
      </c>
      <c r="B2467" s="2">
        <v>48123</v>
      </c>
      <c r="C2467" t="s">
        <v>846</v>
      </c>
      <c r="D2467" t="s">
        <v>847</v>
      </c>
      <c r="E2467" t="s">
        <v>26</v>
      </c>
      <c r="F2467" t="s">
        <v>34</v>
      </c>
      <c r="G2467" t="s">
        <v>51</v>
      </c>
      <c r="H2467" t="s">
        <v>21</v>
      </c>
      <c r="I2467" t="s">
        <v>80</v>
      </c>
      <c r="J2467">
        <v>4</v>
      </c>
      <c r="K2467">
        <v>850</v>
      </c>
      <c r="L2467">
        <v>0.05</v>
      </c>
      <c r="M2467">
        <v>3230</v>
      </c>
      <c r="N2467">
        <v>2240</v>
      </c>
      <c r="O2467">
        <v>990</v>
      </c>
    </row>
    <row r="2468" spans="1:15" x14ac:dyDescent="0.25">
      <c r="A2468" t="s">
        <v>3531</v>
      </c>
      <c r="B2468" s="2">
        <v>48124</v>
      </c>
      <c r="C2468" t="s">
        <v>824</v>
      </c>
      <c r="D2468" t="s">
        <v>825</v>
      </c>
      <c r="E2468" t="s">
        <v>26</v>
      </c>
      <c r="F2468" t="s">
        <v>34</v>
      </c>
      <c r="G2468" t="s">
        <v>28</v>
      </c>
      <c r="H2468" t="s">
        <v>29</v>
      </c>
      <c r="I2468" t="s">
        <v>47</v>
      </c>
      <c r="J2468">
        <v>2</v>
      </c>
      <c r="K2468">
        <v>6800</v>
      </c>
      <c r="L2468">
        <v>0.1</v>
      </c>
      <c r="M2468">
        <v>12240</v>
      </c>
      <c r="N2468">
        <v>9400</v>
      </c>
      <c r="O2468">
        <v>2840</v>
      </c>
    </row>
    <row r="2469" spans="1:15" x14ac:dyDescent="0.25">
      <c r="A2469" t="s">
        <v>3532</v>
      </c>
      <c r="B2469" s="2">
        <v>48125</v>
      </c>
      <c r="C2469" t="s">
        <v>1075</v>
      </c>
      <c r="D2469" t="s">
        <v>1076</v>
      </c>
      <c r="E2469" t="s">
        <v>96</v>
      </c>
      <c r="F2469" t="s">
        <v>120</v>
      </c>
      <c r="G2469" t="s">
        <v>20</v>
      </c>
      <c r="H2469" t="s">
        <v>84</v>
      </c>
      <c r="I2469" t="s">
        <v>169</v>
      </c>
      <c r="J2469">
        <v>2</v>
      </c>
      <c r="K2469">
        <v>450</v>
      </c>
      <c r="L2469">
        <v>0</v>
      </c>
      <c r="M2469">
        <v>900</v>
      </c>
      <c r="N2469">
        <v>520</v>
      </c>
      <c r="O2469">
        <v>380</v>
      </c>
    </row>
    <row r="2470" spans="1:15" x14ac:dyDescent="0.25">
      <c r="A2470" t="s">
        <v>3533</v>
      </c>
      <c r="B2470" s="2">
        <v>48126</v>
      </c>
      <c r="C2470" t="s">
        <v>728</v>
      </c>
      <c r="D2470" t="s">
        <v>729</v>
      </c>
      <c r="E2470" t="s">
        <v>39</v>
      </c>
      <c r="F2470" t="s">
        <v>76</v>
      </c>
      <c r="G2470" t="s">
        <v>51</v>
      </c>
      <c r="H2470" t="s">
        <v>21</v>
      </c>
      <c r="I2470" t="s">
        <v>116</v>
      </c>
      <c r="J2470">
        <v>2</v>
      </c>
      <c r="K2470">
        <v>1400</v>
      </c>
      <c r="L2470">
        <v>0.2</v>
      </c>
      <c r="M2470">
        <v>2240</v>
      </c>
      <c r="N2470">
        <v>1800</v>
      </c>
      <c r="O2470">
        <v>440</v>
      </c>
    </row>
    <row r="2471" spans="1:15" x14ac:dyDescent="0.25">
      <c r="A2471" t="s">
        <v>3534</v>
      </c>
      <c r="B2471" s="2">
        <v>48127</v>
      </c>
      <c r="C2471" t="s">
        <v>177</v>
      </c>
      <c r="D2471" t="s">
        <v>178</v>
      </c>
      <c r="E2471" t="s">
        <v>96</v>
      </c>
      <c r="F2471" t="s">
        <v>97</v>
      </c>
      <c r="G2471" t="s">
        <v>51</v>
      </c>
      <c r="H2471" t="s">
        <v>52</v>
      </c>
      <c r="I2471" t="s">
        <v>208</v>
      </c>
      <c r="J2471">
        <v>5</v>
      </c>
      <c r="K2471">
        <v>2800</v>
      </c>
      <c r="L2471">
        <v>0.15</v>
      </c>
      <c r="M2471">
        <v>11900</v>
      </c>
      <c r="N2471">
        <v>9000</v>
      </c>
      <c r="O2471">
        <v>2900</v>
      </c>
    </row>
    <row r="2472" spans="1:15" x14ac:dyDescent="0.25">
      <c r="A2472" t="s">
        <v>3535</v>
      </c>
      <c r="B2472" s="2">
        <v>48128</v>
      </c>
      <c r="C2472" t="s">
        <v>1671</v>
      </c>
      <c r="D2472" t="s">
        <v>1672</v>
      </c>
      <c r="E2472" t="s">
        <v>96</v>
      </c>
      <c r="F2472" t="s">
        <v>196</v>
      </c>
      <c r="G2472" t="s">
        <v>51</v>
      </c>
      <c r="H2472" t="s">
        <v>21</v>
      </c>
      <c r="I2472" t="s">
        <v>116</v>
      </c>
      <c r="J2472">
        <v>1</v>
      </c>
      <c r="K2472">
        <v>1400</v>
      </c>
      <c r="L2472">
        <v>0.2</v>
      </c>
      <c r="M2472">
        <v>1120</v>
      </c>
      <c r="N2472">
        <v>900</v>
      </c>
      <c r="O2472">
        <v>220</v>
      </c>
    </row>
    <row r="2473" spans="1:15" x14ac:dyDescent="0.25">
      <c r="A2473" t="s">
        <v>3536</v>
      </c>
      <c r="B2473" s="2">
        <v>48129</v>
      </c>
      <c r="C2473" t="s">
        <v>957</v>
      </c>
      <c r="D2473" t="s">
        <v>958</v>
      </c>
      <c r="E2473" t="s">
        <v>26</v>
      </c>
      <c r="F2473" t="s">
        <v>204</v>
      </c>
      <c r="G2473" t="s">
        <v>57</v>
      </c>
      <c r="H2473" t="s">
        <v>58</v>
      </c>
      <c r="I2473" t="s">
        <v>59</v>
      </c>
      <c r="J2473">
        <v>1</v>
      </c>
      <c r="K2473">
        <v>5600</v>
      </c>
      <c r="L2473">
        <v>0.1</v>
      </c>
      <c r="M2473">
        <v>5040</v>
      </c>
      <c r="N2473">
        <v>3900</v>
      </c>
      <c r="O2473">
        <v>1140</v>
      </c>
    </row>
    <row r="2474" spans="1:15" x14ac:dyDescent="0.25">
      <c r="A2474" t="s">
        <v>3537</v>
      </c>
      <c r="B2474" s="2">
        <v>48130</v>
      </c>
      <c r="C2474" t="s">
        <v>1641</v>
      </c>
      <c r="D2474" t="s">
        <v>1642</v>
      </c>
      <c r="E2474" t="s">
        <v>26</v>
      </c>
      <c r="F2474" t="s">
        <v>204</v>
      </c>
      <c r="G2474" t="s">
        <v>20</v>
      </c>
      <c r="H2474" t="s">
        <v>84</v>
      </c>
      <c r="I2474" t="s">
        <v>85</v>
      </c>
      <c r="J2474">
        <v>4</v>
      </c>
      <c r="K2474">
        <v>280</v>
      </c>
      <c r="L2474">
        <v>0.1</v>
      </c>
      <c r="M2474">
        <v>1008</v>
      </c>
      <c r="N2474">
        <v>640</v>
      </c>
      <c r="O2474">
        <v>368</v>
      </c>
    </row>
    <row r="2475" spans="1:15" x14ac:dyDescent="0.25">
      <c r="A2475" t="s">
        <v>3538</v>
      </c>
      <c r="B2475" s="2">
        <v>48131</v>
      </c>
      <c r="C2475" t="s">
        <v>817</v>
      </c>
      <c r="D2475" t="s">
        <v>818</v>
      </c>
      <c r="E2475" t="s">
        <v>18</v>
      </c>
      <c r="F2475" t="s">
        <v>94</v>
      </c>
      <c r="G2475" t="s">
        <v>51</v>
      </c>
      <c r="H2475" t="s">
        <v>21</v>
      </c>
      <c r="I2475" t="s">
        <v>116</v>
      </c>
      <c r="J2475">
        <v>5</v>
      </c>
      <c r="K2475">
        <v>1400</v>
      </c>
      <c r="L2475">
        <v>0.05</v>
      </c>
      <c r="M2475">
        <v>6650</v>
      </c>
      <c r="N2475">
        <v>4500</v>
      </c>
      <c r="O2475">
        <v>2150</v>
      </c>
    </row>
    <row r="2476" spans="1:15" x14ac:dyDescent="0.25">
      <c r="A2476" t="s">
        <v>3539</v>
      </c>
      <c r="B2476" s="2">
        <v>48132</v>
      </c>
      <c r="C2476" t="s">
        <v>1869</v>
      </c>
      <c r="D2476" t="s">
        <v>1870</v>
      </c>
      <c r="E2476" t="s">
        <v>26</v>
      </c>
      <c r="F2476" t="s">
        <v>34</v>
      </c>
      <c r="G2476" t="s">
        <v>20</v>
      </c>
      <c r="H2476" t="s">
        <v>84</v>
      </c>
      <c r="I2476" t="s">
        <v>169</v>
      </c>
      <c r="J2476">
        <v>4</v>
      </c>
      <c r="K2476">
        <v>450</v>
      </c>
      <c r="L2476">
        <v>0.1</v>
      </c>
      <c r="M2476">
        <v>1620</v>
      </c>
      <c r="N2476">
        <v>1040</v>
      </c>
      <c r="O2476">
        <v>580</v>
      </c>
    </row>
    <row r="2477" spans="1:15" x14ac:dyDescent="0.25">
      <c r="A2477" t="s">
        <v>3540</v>
      </c>
      <c r="B2477" s="2">
        <v>48133</v>
      </c>
      <c r="C2477" t="s">
        <v>1461</v>
      </c>
      <c r="D2477" t="s">
        <v>1462</v>
      </c>
      <c r="E2477" t="s">
        <v>26</v>
      </c>
      <c r="F2477" t="s">
        <v>46</v>
      </c>
      <c r="G2477" t="s">
        <v>20</v>
      </c>
      <c r="H2477" t="s">
        <v>84</v>
      </c>
      <c r="I2477" t="s">
        <v>85</v>
      </c>
      <c r="J2477">
        <v>5</v>
      </c>
      <c r="K2477">
        <v>280</v>
      </c>
      <c r="L2477">
        <v>0.1</v>
      </c>
      <c r="M2477">
        <v>1260</v>
      </c>
      <c r="N2477">
        <v>800</v>
      </c>
      <c r="O2477">
        <v>460</v>
      </c>
    </row>
    <row r="2478" spans="1:15" x14ac:dyDescent="0.25">
      <c r="A2478" t="s">
        <v>3541</v>
      </c>
      <c r="B2478" s="2">
        <v>48134</v>
      </c>
      <c r="C2478" t="s">
        <v>637</v>
      </c>
      <c r="D2478" t="s">
        <v>638</v>
      </c>
      <c r="E2478" t="s">
        <v>39</v>
      </c>
      <c r="F2478" t="s">
        <v>40</v>
      </c>
      <c r="G2478" t="s">
        <v>28</v>
      </c>
      <c r="H2478" t="s">
        <v>29</v>
      </c>
      <c r="I2478" t="s">
        <v>30</v>
      </c>
      <c r="J2478">
        <v>2</v>
      </c>
      <c r="K2478">
        <v>1900</v>
      </c>
      <c r="L2478">
        <v>0.1</v>
      </c>
      <c r="M2478">
        <v>3420</v>
      </c>
      <c r="N2478">
        <v>2500</v>
      </c>
      <c r="O2478">
        <v>920</v>
      </c>
    </row>
    <row r="2479" spans="1:15" x14ac:dyDescent="0.25">
      <c r="A2479" t="s">
        <v>3542</v>
      </c>
      <c r="B2479" s="2">
        <v>48135</v>
      </c>
      <c r="C2479" t="s">
        <v>92</v>
      </c>
      <c r="D2479" t="s">
        <v>93</v>
      </c>
      <c r="E2479" t="s">
        <v>26</v>
      </c>
      <c r="F2479" t="s">
        <v>128</v>
      </c>
      <c r="G2479" t="s">
        <v>20</v>
      </c>
      <c r="H2479" t="s">
        <v>84</v>
      </c>
      <c r="I2479" t="s">
        <v>210</v>
      </c>
      <c r="J2479">
        <v>2</v>
      </c>
      <c r="K2479">
        <v>300</v>
      </c>
      <c r="L2479">
        <v>0.15</v>
      </c>
      <c r="M2479">
        <v>510</v>
      </c>
      <c r="N2479">
        <v>340</v>
      </c>
      <c r="O2479">
        <v>170</v>
      </c>
    </row>
    <row r="2480" spans="1:15" x14ac:dyDescent="0.25">
      <c r="A2480" t="s">
        <v>3543</v>
      </c>
      <c r="B2480" s="2">
        <v>48136</v>
      </c>
      <c r="C2480" t="s">
        <v>763</v>
      </c>
      <c r="D2480" t="s">
        <v>764</v>
      </c>
      <c r="E2480" t="s">
        <v>39</v>
      </c>
      <c r="F2480" t="s">
        <v>124</v>
      </c>
      <c r="G2480" t="s">
        <v>28</v>
      </c>
      <c r="H2480" t="s">
        <v>29</v>
      </c>
      <c r="I2480" t="s">
        <v>30</v>
      </c>
      <c r="J2480">
        <v>3</v>
      </c>
      <c r="K2480">
        <v>1900</v>
      </c>
      <c r="L2480">
        <v>0.1</v>
      </c>
      <c r="M2480">
        <v>5130</v>
      </c>
      <c r="N2480">
        <v>3750</v>
      </c>
      <c r="O2480">
        <v>1380</v>
      </c>
    </row>
    <row r="2481" spans="1:15" x14ac:dyDescent="0.25">
      <c r="A2481" t="s">
        <v>3544</v>
      </c>
      <c r="B2481" s="2">
        <v>48137</v>
      </c>
      <c r="C2481" t="s">
        <v>256</v>
      </c>
      <c r="D2481" t="s">
        <v>257</v>
      </c>
      <c r="E2481" t="s">
        <v>26</v>
      </c>
      <c r="F2481" t="s">
        <v>27</v>
      </c>
      <c r="G2481" t="s">
        <v>20</v>
      </c>
      <c r="H2481" t="s">
        <v>84</v>
      </c>
      <c r="I2481" t="s">
        <v>85</v>
      </c>
      <c r="J2481">
        <v>4</v>
      </c>
      <c r="K2481">
        <v>280</v>
      </c>
      <c r="L2481">
        <v>0.05</v>
      </c>
      <c r="M2481">
        <v>1064</v>
      </c>
      <c r="N2481">
        <v>640</v>
      </c>
      <c r="O2481">
        <v>424</v>
      </c>
    </row>
    <row r="2482" spans="1:15" x14ac:dyDescent="0.25">
      <c r="A2482" t="s">
        <v>3545</v>
      </c>
      <c r="B2482" s="2">
        <v>48138</v>
      </c>
      <c r="C2482" t="s">
        <v>1067</v>
      </c>
      <c r="D2482" t="s">
        <v>1068</v>
      </c>
      <c r="E2482" t="s">
        <v>39</v>
      </c>
      <c r="F2482" t="s">
        <v>71</v>
      </c>
      <c r="G2482" t="s">
        <v>51</v>
      </c>
      <c r="H2482" t="s">
        <v>52</v>
      </c>
      <c r="I2482" t="s">
        <v>208</v>
      </c>
      <c r="J2482">
        <v>2</v>
      </c>
      <c r="K2482">
        <v>2800</v>
      </c>
      <c r="L2482">
        <v>0.1</v>
      </c>
      <c r="M2482">
        <v>5040</v>
      </c>
      <c r="N2482">
        <v>3600</v>
      </c>
      <c r="O2482">
        <v>1440</v>
      </c>
    </row>
    <row r="2483" spans="1:15" x14ac:dyDescent="0.25">
      <c r="A2483" t="s">
        <v>3546</v>
      </c>
      <c r="B2483" s="2">
        <v>48139</v>
      </c>
      <c r="C2483" t="s">
        <v>384</v>
      </c>
      <c r="D2483" t="s">
        <v>385</v>
      </c>
      <c r="E2483" t="s">
        <v>39</v>
      </c>
      <c r="F2483" t="s">
        <v>76</v>
      </c>
      <c r="G2483" t="s">
        <v>28</v>
      </c>
      <c r="H2483" t="s">
        <v>29</v>
      </c>
      <c r="I2483" t="s">
        <v>30</v>
      </c>
      <c r="J2483">
        <v>3</v>
      </c>
      <c r="K2483">
        <v>1900</v>
      </c>
      <c r="L2483">
        <v>0.15</v>
      </c>
      <c r="M2483">
        <v>4845</v>
      </c>
      <c r="N2483">
        <v>3750</v>
      </c>
      <c r="O2483">
        <v>1095</v>
      </c>
    </row>
    <row r="2484" spans="1:15" x14ac:dyDescent="0.25">
      <c r="A2484" t="s">
        <v>3547</v>
      </c>
      <c r="B2484" s="2">
        <v>48140</v>
      </c>
      <c r="C2484" t="s">
        <v>2263</v>
      </c>
      <c r="D2484" t="s">
        <v>2264</v>
      </c>
      <c r="E2484" t="s">
        <v>96</v>
      </c>
      <c r="F2484" t="s">
        <v>120</v>
      </c>
      <c r="G2484" t="s">
        <v>20</v>
      </c>
      <c r="H2484" t="s">
        <v>21</v>
      </c>
      <c r="I2484" t="s">
        <v>22</v>
      </c>
      <c r="J2484">
        <v>5</v>
      </c>
      <c r="K2484">
        <v>650</v>
      </c>
      <c r="L2484">
        <v>0.15</v>
      </c>
      <c r="M2484">
        <v>2762.5</v>
      </c>
      <c r="N2484">
        <v>1950</v>
      </c>
      <c r="O2484">
        <v>812.5</v>
      </c>
    </row>
    <row r="2485" spans="1:15" x14ac:dyDescent="0.25">
      <c r="A2485" t="s">
        <v>3548</v>
      </c>
      <c r="B2485" s="2">
        <v>48141</v>
      </c>
      <c r="C2485" t="s">
        <v>1213</v>
      </c>
      <c r="D2485" t="s">
        <v>1214</v>
      </c>
      <c r="E2485" t="s">
        <v>39</v>
      </c>
      <c r="F2485" t="s">
        <v>124</v>
      </c>
      <c r="G2485" t="s">
        <v>51</v>
      </c>
      <c r="H2485" t="s">
        <v>89</v>
      </c>
      <c r="I2485" t="s">
        <v>90</v>
      </c>
      <c r="J2485">
        <v>5</v>
      </c>
      <c r="K2485">
        <v>10500</v>
      </c>
      <c r="L2485">
        <v>0.2</v>
      </c>
      <c r="M2485">
        <v>42000</v>
      </c>
      <c r="N2485">
        <v>38000</v>
      </c>
      <c r="O2485">
        <v>4000</v>
      </c>
    </row>
    <row r="2486" spans="1:15" x14ac:dyDescent="0.25">
      <c r="A2486" t="s">
        <v>3549</v>
      </c>
      <c r="B2486" s="2">
        <v>48142</v>
      </c>
      <c r="C2486" t="s">
        <v>87</v>
      </c>
      <c r="D2486" t="s">
        <v>88</v>
      </c>
      <c r="E2486" t="s">
        <v>96</v>
      </c>
      <c r="F2486" t="s">
        <v>196</v>
      </c>
      <c r="G2486" t="s">
        <v>28</v>
      </c>
      <c r="H2486" t="s">
        <v>29</v>
      </c>
      <c r="I2486" t="s">
        <v>47</v>
      </c>
      <c r="J2486">
        <v>2</v>
      </c>
      <c r="K2486">
        <v>6800</v>
      </c>
      <c r="L2486">
        <v>0.1</v>
      </c>
      <c r="M2486">
        <v>12240</v>
      </c>
      <c r="N2486">
        <v>9400</v>
      </c>
      <c r="O2486">
        <v>2840</v>
      </c>
    </row>
    <row r="2487" spans="1:15" x14ac:dyDescent="0.25">
      <c r="A2487" t="s">
        <v>3550</v>
      </c>
      <c r="B2487" s="2">
        <v>48143</v>
      </c>
      <c r="C2487" t="s">
        <v>1213</v>
      </c>
      <c r="D2487" t="s">
        <v>1214</v>
      </c>
      <c r="E2487" t="s">
        <v>26</v>
      </c>
      <c r="F2487" t="s">
        <v>46</v>
      </c>
      <c r="G2487" t="s">
        <v>28</v>
      </c>
      <c r="H2487" t="s">
        <v>63</v>
      </c>
      <c r="I2487" t="s">
        <v>64</v>
      </c>
      <c r="J2487">
        <v>3</v>
      </c>
      <c r="K2487">
        <v>2400</v>
      </c>
      <c r="L2487">
        <v>0.2</v>
      </c>
      <c r="M2487">
        <v>5760</v>
      </c>
      <c r="N2487">
        <v>4950</v>
      </c>
      <c r="O2487">
        <v>810</v>
      </c>
    </row>
    <row r="2488" spans="1:15" x14ac:dyDescent="0.25">
      <c r="A2488" t="s">
        <v>3551</v>
      </c>
      <c r="B2488" s="2">
        <v>48144</v>
      </c>
      <c r="C2488" t="s">
        <v>1207</v>
      </c>
      <c r="D2488" t="s">
        <v>1208</v>
      </c>
      <c r="E2488" t="s">
        <v>39</v>
      </c>
      <c r="F2488" t="s">
        <v>40</v>
      </c>
      <c r="G2488" t="s">
        <v>28</v>
      </c>
      <c r="H2488" t="s">
        <v>29</v>
      </c>
      <c r="I2488" t="s">
        <v>35</v>
      </c>
      <c r="J2488">
        <v>1</v>
      </c>
      <c r="K2488">
        <v>4200</v>
      </c>
      <c r="L2488">
        <v>0.05</v>
      </c>
      <c r="M2488">
        <v>3990</v>
      </c>
      <c r="N2488">
        <v>2900</v>
      </c>
      <c r="O2488">
        <v>1090</v>
      </c>
    </row>
    <row r="2489" spans="1:15" x14ac:dyDescent="0.25">
      <c r="A2489" t="s">
        <v>3552</v>
      </c>
      <c r="B2489" s="2">
        <v>48145</v>
      </c>
      <c r="C2489" t="s">
        <v>1308</v>
      </c>
      <c r="D2489" t="s">
        <v>1309</v>
      </c>
      <c r="E2489" t="s">
        <v>96</v>
      </c>
      <c r="F2489" t="s">
        <v>97</v>
      </c>
      <c r="G2489" t="s">
        <v>20</v>
      </c>
      <c r="H2489" t="s">
        <v>84</v>
      </c>
      <c r="I2489" t="s">
        <v>210</v>
      </c>
      <c r="J2489">
        <v>2</v>
      </c>
      <c r="K2489">
        <v>300</v>
      </c>
      <c r="L2489">
        <v>0</v>
      </c>
      <c r="M2489">
        <v>600</v>
      </c>
      <c r="N2489">
        <v>340</v>
      </c>
      <c r="O2489">
        <v>260</v>
      </c>
    </row>
    <row r="2490" spans="1:15" x14ac:dyDescent="0.25">
      <c r="A2490" t="s">
        <v>3553</v>
      </c>
      <c r="B2490" s="2">
        <v>48146</v>
      </c>
      <c r="C2490" t="s">
        <v>519</v>
      </c>
      <c r="D2490" t="s">
        <v>520</v>
      </c>
      <c r="E2490" t="s">
        <v>39</v>
      </c>
      <c r="F2490" t="s">
        <v>71</v>
      </c>
      <c r="G2490" t="s">
        <v>51</v>
      </c>
      <c r="H2490" t="s">
        <v>52</v>
      </c>
      <c r="I2490" t="s">
        <v>208</v>
      </c>
      <c r="J2490">
        <v>5</v>
      </c>
      <c r="K2490">
        <v>2800</v>
      </c>
      <c r="L2490">
        <v>0</v>
      </c>
      <c r="M2490">
        <v>14000</v>
      </c>
      <c r="N2490">
        <v>9000</v>
      </c>
      <c r="O2490">
        <v>5000</v>
      </c>
    </row>
    <row r="2491" spans="1:15" x14ac:dyDescent="0.25">
      <c r="A2491" t="s">
        <v>3554</v>
      </c>
      <c r="B2491" s="2">
        <v>48147</v>
      </c>
      <c r="C2491" t="s">
        <v>336</v>
      </c>
      <c r="D2491" t="s">
        <v>337</v>
      </c>
      <c r="E2491" t="s">
        <v>26</v>
      </c>
      <c r="F2491" t="s">
        <v>27</v>
      </c>
      <c r="G2491" t="s">
        <v>28</v>
      </c>
      <c r="H2491" t="s">
        <v>29</v>
      </c>
      <c r="I2491" t="s">
        <v>47</v>
      </c>
      <c r="J2491">
        <v>4</v>
      </c>
      <c r="K2491">
        <v>6800</v>
      </c>
      <c r="L2491">
        <v>0.1</v>
      </c>
      <c r="M2491">
        <v>24480</v>
      </c>
      <c r="N2491">
        <v>18800</v>
      </c>
      <c r="O2491">
        <v>5680</v>
      </c>
    </row>
    <row r="2492" spans="1:15" x14ac:dyDescent="0.25">
      <c r="A2492" t="s">
        <v>3555</v>
      </c>
      <c r="B2492" s="2">
        <v>48148</v>
      </c>
      <c r="C2492" t="s">
        <v>2241</v>
      </c>
      <c r="D2492" t="s">
        <v>2242</v>
      </c>
      <c r="E2492" t="s">
        <v>39</v>
      </c>
      <c r="F2492" t="s">
        <v>76</v>
      </c>
      <c r="G2492" t="s">
        <v>20</v>
      </c>
      <c r="H2492" t="s">
        <v>84</v>
      </c>
      <c r="I2492" t="s">
        <v>169</v>
      </c>
      <c r="J2492">
        <v>5</v>
      </c>
      <c r="K2492">
        <v>450</v>
      </c>
      <c r="L2492">
        <v>0.2</v>
      </c>
      <c r="M2492">
        <v>1800</v>
      </c>
      <c r="N2492">
        <v>1300</v>
      </c>
      <c r="O2492">
        <v>500</v>
      </c>
    </row>
    <row r="2493" spans="1:15" x14ac:dyDescent="0.25">
      <c r="A2493" t="s">
        <v>3556</v>
      </c>
      <c r="B2493" s="2">
        <v>48149</v>
      </c>
      <c r="C2493" t="s">
        <v>433</v>
      </c>
      <c r="D2493" t="s">
        <v>434</v>
      </c>
      <c r="E2493" t="s">
        <v>18</v>
      </c>
      <c r="F2493" t="s">
        <v>115</v>
      </c>
      <c r="G2493" t="s">
        <v>20</v>
      </c>
      <c r="H2493" t="s">
        <v>41</v>
      </c>
      <c r="I2493" t="s">
        <v>42</v>
      </c>
      <c r="J2493">
        <v>5</v>
      </c>
      <c r="K2493">
        <v>520</v>
      </c>
      <c r="L2493">
        <v>0.15</v>
      </c>
      <c r="M2493">
        <v>2210</v>
      </c>
      <c r="N2493">
        <v>1650</v>
      </c>
      <c r="O2493">
        <v>560</v>
      </c>
    </row>
    <row r="2494" spans="1:15" x14ac:dyDescent="0.25">
      <c r="A2494" t="s">
        <v>3557</v>
      </c>
      <c r="B2494" s="2">
        <v>48150</v>
      </c>
      <c r="C2494" t="s">
        <v>721</v>
      </c>
      <c r="D2494" t="s">
        <v>722</v>
      </c>
      <c r="E2494" t="s">
        <v>18</v>
      </c>
      <c r="F2494" t="s">
        <v>227</v>
      </c>
      <c r="G2494" t="s">
        <v>28</v>
      </c>
      <c r="H2494" t="s">
        <v>29</v>
      </c>
      <c r="I2494" t="s">
        <v>47</v>
      </c>
      <c r="J2494">
        <v>1</v>
      </c>
      <c r="K2494">
        <v>6800</v>
      </c>
      <c r="L2494">
        <v>0.15</v>
      </c>
      <c r="M2494">
        <v>5780</v>
      </c>
      <c r="N2494">
        <v>4700</v>
      </c>
      <c r="O2494">
        <v>1080</v>
      </c>
    </row>
    <row r="2495" spans="1:15" x14ac:dyDescent="0.25">
      <c r="A2495" t="s">
        <v>3558</v>
      </c>
      <c r="B2495" s="2">
        <v>48151</v>
      </c>
      <c r="C2495" t="s">
        <v>796</v>
      </c>
      <c r="D2495" t="s">
        <v>797</v>
      </c>
      <c r="E2495" t="s">
        <v>18</v>
      </c>
      <c r="F2495" t="s">
        <v>227</v>
      </c>
      <c r="G2495" t="s">
        <v>28</v>
      </c>
      <c r="H2495" t="s">
        <v>63</v>
      </c>
      <c r="I2495" t="s">
        <v>64</v>
      </c>
      <c r="J2495">
        <v>5</v>
      </c>
      <c r="K2495">
        <v>2400</v>
      </c>
      <c r="L2495">
        <v>0.15</v>
      </c>
      <c r="M2495">
        <v>10200</v>
      </c>
      <c r="N2495">
        <v>8250</v>
      </c>
      <c r="O2495">
        <v>1950</v>
      </c>
    </row>
    <row r="2496" spans="1:15" x14ac:dyDescent="0.25">
      <c r="A2496" t="s">
        <v>3559</v>
      </c>
      <c r="B2496" s="2">
        <v>48152</v>
      </c>
      <c r="C2496" t="s">
        <v>369</v>
      </c>
      <c r="D2496" t="s">
        <v>370</v>
      </c>
      <c r="E2496" t="s">
        <v>26</v>
      </c>
      <c r="F2496" t="s">
        <v>34</v>
      </c>
      <c r="G2496" t="s">
        <v>51</v>
      </c>
      <c r="H2496" t="s">
        <v>21</v>
      </c>
      <c r="I2496" t="s">
        <v>72</v>
      </c>
      <c r="J2496">
        <v>4</v>
      </c>
      <c r="K2496">
        <v>1800</v>
      </c>
      <c r="L2496">
        <v>0.05</v>
      </c>
      <c r="M2496">
        <v>6840</v>
      </c>
      <c r="N2496">
        <v>4400</v>
      </c>
      <c r="O2496">
        <v>2440</v>
      </c>
    </row>
    <row r="2497" spans="1:15" x14ac:dyDescent="0.25">
      <c r="A2497" t="s">
        <v>3560</v>
      </c>
      <c r="B2497" s="2">
        <v>48153</v>
      </c>
      <c r="C2497" t="s">
        <v>977</v>
      </c>
      <c r="D2497" t="s">
        <v>978</v>
      </c>
      <c r="E2497" t="s">
        <v>39</v>
      </c>
      <c r="F2497" t="s">
        <v>71</v>
      </c>
      <c r="G2497" t="s">
        <v>57</v>
      </c>
      <c r="H2497" t="s">
        <v>188</v>
      </c>
      <c r="I2497" t="s">
        <v>189</v>
      </c>
      <c r="J2497">
        <v>1</v>
      </c>
      <c r="K2497">
        <v>6200</v>
      </c>
      <c r="L2497">
        <v>0.05</v>
      </c>
      <c r="M2497">
        <v>5890</v>
      </c>
      <c r="N2497">
        <v>4300</v>
      </c>
      <c r="O2497">
        <v>1590</v>
      </c>
    </row>
    <row r="2498" spans="1:15" x14ac:dyDescent="0.25">
      <c r="A2498" t="s">
        <v>3561</v>
      </c>
      <c r="B2498" s="2">
        <v>48154</v>
      </c>
      <c r="C2498" t="s">
        <v>1328</v>
      </c>
      <c r="D2498" t="s">
        <v>1329</v>
      </c>
      <c r="E2498" t="s">
        <v>18</v>
      </c>
      <c r="F2498" t="s">
        <v>227</v>
      </c>
      <c r="G2498" t="s">
        <v>51</v>
      </c>
      <c r="H2498" t="s">
        <v>52</v>
      </c>
      <c r="I2498" t="s">
        <v>208</v>
      </c>
      <c r="J2498">
        <v>5</v>
      </c>
      <c r="K2498">
        <v>2800</v>
      </c>
      <c r="L2498">
        <v>0</v>
      </c>
      <c r="M2498">
        <v>14000</v>
      </c>
      <c r="N2498">
        <v>9000</v>
      </c>
      <c r="O2498">
        <v>5000</v>
      </c>
    </row>
    <row r="2499" spans="1:15" x14ac:dyDescent="0.25">
      <c r="A2499" t="s">
        <v>3562</v>
      </c>
      <c r="B2499" s="2">
        <v>48155</v>
      </c>
      <c r="C2499" t="s">
        <v>614</v>
      </c>
      <c r="D2499" t="s">
        <v>615</v>
      </c>
      <c r="E2499" t="s">
        <v>26</v>
      </c>
      <c r="F2499" t="s">
        <v>204</v>
      </c>
      <c r="G2499" t="s">
        <v>51</v>
      </c>
      <c r="H2499" t="s">
        <v>21</v>
      </c>
      <c r="I2499" t="s">
        <v>80</v>
      </c>
      <c r="J2499">
        <v>5</v>
      </c>
      <c r="K2499">
        <v>850</v>
      </c>
      <c r="L2499">
        <v>0</v>
      </c>
      <c r="M2499">
        <v>4250</v>
      </c>
      <c r="N2499">
        <v>2800</v>
      </c>
      <c r="O2499">
        <v>1450</v>
      </c>
    </row>
    <row r="2500" spans="1:15" x14ac:dyDescent="0.25">
      <c r="A2500" t="s">
        <v>3563</v>
      </c>
      <c r="B2500" s="2">
        <v>48156</v>
      </c>
      <c r="C2500" t="s">
        <v>1404</v>
      </c>
      <c r="D2500" t="s">
        <v>1405</v>
      </c>
      <c r="E2500" t="s">
        <v>18</v>
      </c>
      <c r="F2500" t="s">
        <v>227</v>
      </c>
      <c r="G2500" t="s">
        <v>57</v>
      </c>
      <c r="H2500" t="s">
        <v>104</v>
      </c>
      <c r="I2500" t="s">
        <v>105</v>
      </c>
      <c r="J2500">
        <v>4</v>
      </c>
      <c r="K2500">
        <v>7500</v>
      </c>
      <c r="L2500">
        <v>0.05</v>
      </c>
      <c r="M2500">
        <v>28500</v>
      </c>
      <c r="N2500">
        <v>20800</v>
      </c>
      <c r="O2500">
        <v>7700</v>
      </c>
    </row>
    <row r="2501" spans="1:15" x14ac:dyDescent="0.25">
      <c r="A2501" t="s">
        <v>3564</v>
      </c>
      <c r="B2501" s="2">
        <v>48157</v>
      </c>
      <c r="C2501" t="s">
        <v>715</v>
      </c>
      <c r="D2501" t="s">
        <v>716</v>
      </c>
      <c r="E2501" t="s">
        <v>96</v>
      </c>
      <c r="F2501" t="s">
        <v>97</v>
      </c>
      <c r="G2501" t="s">
        <v>28</v>
      </c>
      <c r="H2501" t="s">
        <v>29</v>
      </c>
      <c r="I2501" t="s">
        <v>35</v>
      </c>
      <c r="J2501">
        <v>2</v>
      </c>
      <c r="K2501">
        <v>4200</v>
      </c>
      <c r="L2501">
        <v>0.1</v>
      </c>
      <c r="M2501">
        <v>7560</v>
      </c>
      <c r="N2501">
        <v>5800</v>
      </c>
      <c r="O2501">
        <v>1760</v>
      </c>
    </row>
    <row r="2502" spans="1:15" x14ac:dyDescent="0.25">
      <c r="A2502" t="s">
        <v>3565</v>
      </c>
      <c r="B2502" s="2">
        <v>48158</v>
      </c>
      <c r="C2502" t="s">
        <v>478</v>
      </c>
      <c r="D2502" t="s">
        <v>479</v>
      </c>
      <c r="E2502" t="s">
        <v>96</v>
      </c>
      <c r="F2502" t="s">
        <v>120</v>
      </c>
      <c r="G2502" t="s">
        <v>28</v>
      </c>
      <c r="H2502" t="s">
        <v>29</v>
      </c>
      <c r="I2502" t="s">
        <v>30</v>
      </c>
      <c r="J2502">
        <v>4</v>
      </c>
      <c r="K2502">
        <v>1900</v>
      </c>
      <c r="L2502">
        <v>0.25</v>
      </c>
      <c r="M2502">
        <v>5700</v>
      </c>
      <c r="N2502">
        <v>5000</v>
      </c>
      <c r="O2502">
        <v>700</v>
      </c>
    </row>
    <row r="2503" spans="1:15" x14ac:dyDescent="0.25">
      <c r="A2503" t="s">
        <v>3566</v>
      </c>
      <c r="B2503" s="2">
        <v>48159</v>
      </c>
      <c r="C2503" t="s">
        <v>475</v>
      </c>
      <c r="D2503" t="s">
        <v>476</v>
      </c>
      <c r="E2503" t="s">
        <v>39</v>
      </c>
      <c r="F2503" t="s">
        <v>40</v>
      </c>
      <c r="G2503" t="s">
        <v>51</v>
      </c>
      <c r="H2503" t="s">
        <v>52</v>
      </c>
      <c r="I2503" t="s">
        <v>53</v>
      </c>
      <c r="J2503">
        <v>3</v>
      </c>
      <c r="K2503">
        <v>2200</v>
      </c>
      <c r="L2503">
        <v>0</v>
      </c>
      <c r="M2503">
        <v>6600</v>
      </c>
      <c r="N2503">
        <v>4350</v>
      </c>
      <c r="O2503">
        <v>2250</v>
      </c>
    </row>
    <row r="2504" spans="1:15" x14ac:dyDescent="0.25">
      <c r="A2504" t="s">
        <v>3567</v>
      </c>
      <c r="B2504" s="2">
        <v>48160</v>
      </c>
      <c r="C2504" t="s">
        <v>1665</v>
      </c>
      <c r="D2504" t="s">
        <v>1666</v>
      </c>
      <c r="E2504" t="s">
        <v>18</v>
      </c>
      <c r="F2504" t="s">
        <v>19</v>
      </c>
      <c r="G2504" t="s">
        <v>51</v>
      </c>
      <c r="H2504" t="s">
        <v>52</v>
      </c>
      <c r="I2504" t="s">
        <v>53</v>
      </c>
      <c r="J2504">
        <v>4</v>
      </c>
      <c r="K2504">
        <v>2200</v>
      </c>
      <c r="L2504">
        <v>0.15</v>
      </c>
      <c r="M2504">
        <v>7480</v>
      </c>
      <c r="N2504">
        <v>5800</v>
      </c>
      <c r="O2504">
        <v>1680</v>
      </c>
    </row>
    <row r="2505" spans="1:15" x14ac:dyDescent="0.25">
      <c r="A2505" t="s">
        <v>3568</v>
      </c>
      <c r="B2505" s="2">
        <v>48161</v>
      </c>
      <c r="C2505" t="s">
        <v>603</v>
      </c>
      <c r="D2505" t="s">
        <v>604</v>
      </c>
      <c r="E2505" t="s">
        <v>26</v>
      </c>
      <c r="F2505" t="s">
        <v>34</v>
      </c>
      <c r="G2505" t="s">
        <v>28</v>
      </c>
      <c r="H2505" t="s">
        <v>29</v>
      </c>
      <c r="I2505" t="s">
        <v>47</v>
      </c>
      <c r="J2505">
        <v>3</v>
      </c>
      <c r="K2505">
        <v>6800</v>
      </c>
      <c r="L2505">
        <v>0.1</v>
      </c>
      <c r="M2505">
        <v>18360</v>
      </c>
      <c r="N2505">
        <v>14100</v>
      </c>
      <c r="O2505">
        <v>4260</v>
      </c>
    </row>
    <row r="2506" spans="1:15" x14ac:dyDescent="0.25">
      <c r="A2506" t="s">
        <v>3569</v>
      </c>
      <c r="B2506" s="2">
        <v>48162</v>
      </c>
      <c r="C2506" t="s">
        <v>475</v>
      </c>
      <c r="D2506" t="s">
        <v>476</v>
      </c>
      <c r="E2506" t="s">
        <v>39</v>
      </c>
      <c r="F2506" t="s">
        <v>40</v>
      </c>
      <c r="G2506" t="s">
        <v>57</v>
      </c>
      <c r="H2506" t="s">
        <v>58</v>
      </c>
      <c r="I2506" t="s">
        <v>59</v>
      </c>
      <c r="J2506">
        <v>1</v>
      </c>
      <c r="K2506">
        <v>5600</v>
      </c>
      <c r="L2506">
        <v>0.1</v>
      </c>
      <c r="M2506">
        <v>5040</v>
      </c>
      <c r="N2506">
        <v>3900</v>
      </c>
      <c r="O2506">
        <v>1140</v>
      </c>
    </row>
    <row r="2507" spans="1:15" x14ac:dyDescent="0.25">
      <c r="A2507" t="s">
        <v>3570</v>
      </c>
      <c r="B2507" s="2">
        <v>48163</v>
      </c>
      <c r="C2507" t="s">
        <v>614</v>
      </c>
      <c r="D2507" t="s">
        <v>615</v>
      </c>
      <c r="E2507" t="s">
        <v>96</v>
      </c>
      <c r="F2507" t="s">
        <v>200</v>
      </c>
      <c r="G2507" t="s">
        <v>51</v>
      </c>
      <c r="H2507" t="s">
        <v>21</v>
      </c>
      <c r="I2507" t="s">
        <v>72</v>
      </c>
      <c r="J2507">
        <v>2</v>
      </c>
      <c r="K2507">
        <v>1800</v>
      </c>
      <c r="L2507">
        <v>0.1</v>
      </c>
      <c r="M2507">
        <v>3240</v>
      </c>
      <c r="N2507">
        <v>2200</v>
      </c>
      <c r="O2507">
        <v>1040</v>
      </c>
    </row>
    <row r="2508" spans="1:15" x14ac:dyDescent="0.25">
      <c r="A2508" t="s">
        <v>3571</v>
      </c>
      <c r="B2508" s="2">
        <v>48164</v>
      </c>
      <c r="C2508" t="s">
        <v>2131</v>
      </c>
      <c r="D2508" t="s">
        <v>2132</v>
      </c>
      <c r="E2508" t="s">
        <v>26</v>
      </c>
      <c r="F2508" t="s">
        <v>27</v>
      </c>
      <c r="G2508" t="s">
        <v>20</v>
      </c>
      <c r="H2508" t="s">
        <v>21</v>
      </c>
      <c r="I2508" t="s">
        <v>22</v>
      </c>
      <c r="J2508">
        <v>1</v>
      </c>
      <c r="K2508">
        <v>650</v>
      </c>
      <c r="L2508">
        <v>0</v>
      </c>
      <c r="M2508">
        <v>650</v>
      </c>
      <c r="N2508">
        <v>390</v>
      </c>
      <c r="O2508">
        <v>260</v>
      </c>
    </row>
    <row r="2509" spans="1:15" x14ac:dyDescent="0.25">
      <c r="A2509" t="s">
        <v>3572</v>
      </c>
      <c r="B2509" s="2">
        <v>48165</v>
      </c>
      <c r="C2509" t="s">
        <v>1349</v>
      </c>
      <c r="D2509" t="s">
        <v>1350</v>
      </c>
      <c r="E2509" t="s">
        <v>26</v>
      </c>
      <c r="F2509" t="s">
        <v>27</v>
      </c>
      <c r="G2509" t="s">
        <v>51</v>
      </c>
      <c r="H2509" t="s">
        <v>89</v>
      </c>
      <c r="I2509" t="s">
        <v>90</v>
      </c>
      <c r="J2509">
        <v>1</v>
      </c>
      <c r="K2509">
        <v>10500</v>
      </c>
      <c r="L2509">
        <v>0.05</v>
      </c>
      <c r="M2509">
        <v>9975</v>
      </c>
      <c r="N2509">
        <v>7600</v>
      </c>
      <c r="O2509">
        <v>2375</v>
      </c>
    </row>
    <row r="2510" spans="1:15" x14ac:dyDescent="0.25">
      <c r="A2510" t="s">
        <v>3573</v>
      </c>
      <c r="B2510" s="2">
        <v>48166</v>
      </c>
      <c r="C2510" t="s">
        <v>501</v>
      </c>
      <c r="D2510" t="s">
        <v>502</v>
      </c>
      <c r="E2510" t="s">
        <v>26</v>
      </c>
      <c r="F2510" t="s">
        <v>46</v>
      </c>
      <c r="G2510" t="s">
        <v>51</v>
      </c>
      <c r="H2510" t="s">
        <v>89</v>
      </c>
      <c r="I2510" t="s">
        <v>90</v>
      </c>
      <c r="J2510">
        <v>1</v>
      </c>
      <c r="K2510">
        <v>10500</v>
      </c>
      <c r="L2510">
        <v>0.05</v>
      </c>
      <c r="M2510">
        <v>9975</v>
      </c>
      <c r="N2510">
        <v>7600</v>
      </c>
      <c r="O2510">
        <v>2375</v>
      </c>
    </row>
    <row r="2511" spans="1:15" x14ac:dyDescent="0.25">
      <c r="A2511" t="s">
        <v>3574</v>
      </c>
      <c r="B2511" s="2">
        <v>48167</v>
      </c>
      <c r="C2511" t="s">
        <v>1299</v>
      </c>
      <c r="D2511" t="s">
        <v>1300</v>
      </c>
      <c r="E2511" t="s">
        <v>96</v>
      </c>
      <c r="F2511" t="s">
        <v>97</v>
      </c>
      <c r="G2511" t="s">
        <v>28</v>
      </c>
      <c r="H2511" t="s">
        <v>29</v>
      </c>
      <c r="I2511" t="s">
        <v>47</v>
      </c>
      <c r="J2511">
        <v>3</v>
      </c>
      <c r="K2511">
        <v>6800</v>
      </c>
      <c r="L2511">
        <v>0.15</v>
      </c>
      <c r="M2511">
        <v>17340</v>
      </c>
      <c r="N2511">
        <v>14100</v>
      </c>
      <c r="O2511">
        <v>3240</v>
      </c>
    </row>
    <row r="2512" spans="1:15" x14ac:dyDescent="0.25">
      <c r="A2512" t="s">
        <v>3575</v>
      </c>
      <c r="B2512" s="2">
        <v>48168</v>
      </c>
      <c r="C2512" t="s">
        <v>637</v>
      </c>
      <c r="D2512" t="s">
        <v>638</v>
      </c>
      <c r="E2512" t="s">
        <v>26</v>
      </c>
      <c r="F2512" t="s">
        <v>34</v>
      </c>
      <c r="G2512" t="s">
        <v>51</v>
      </c>
      <c r="H2512" t="s">
        <v>21</v>
      </c>
      <c r="I2512" t="s">
        <v>72</v>
      </c>
      <c r="J2512">
        <v>1</v>
      </c>
      <c r="K2512">
        <v>1800</v>
      </c>
      <c r="L2512">
        <v>0.1</v>
      </c>
      <c r="M2512">
        <v>1620</v>
      </c>
      <c r="N2512">
        <v>1100</v>
      </c>
      <c r="O2512">
        <v>520</v>
      </c>
    </row>
    <row r="2513" spans="1:15" x14ac:dyDescent="0.25">
      <c r="A2513" t="s">
        <v>3576</v>
      </c>
      <c r="B2513" s="2">
        <v>48169</v>
      </c>
      <c r="C2513" t="s">
        <v>787</v>
      </c>
      <c r="D2513" t="s">
        <v>788</v>
      </c>
      <c r="E2513" t="s">
        <v>39</v>
      </c>
      <c r="F2513" t="s">
        <v>40</v>
      </c>
      <c r="G2513" t="s">
        <v>20</v>
      </c>
      <c r="H2513" t="s">
        <v>41</v>
      </c>
      <c r="I2513" t="s">
        <v>42</v>
      </c>
      <c r="J2513">
        <v>4</v>
      </c>
      <c r="K2513">
        <v>520</v>
      </c>
      <c r="L2513">
        <v>0.15</v>
      </c>
      <c r="M2513">
        <v>1768</v>
      </c>
      <c r="N2513">
        <v>1320</v>
      </c>
      <c r="O2513">
        <v>448</v>
      </c>
    </row>
    <row r="2514" spans="1:15" x14ac:dyDescent="0.25">
      <c r="A2514" t="s">
        <v>3577</v>
      </c>
      <c r="B2514" s="2">
        <v>48170</v>
      </c>
      <c r="C2514" t="s">
        <v>1699</v>
      </c>
      <c r="D2514" t="s">
        <v>1700</v>
      </c>
      <c r="E2514" t="s">
        <v>39</v>
      </c>
      <c r="F2514" t="s">
        <v>124</v>
      </c>
      <c r="G2514" t="s">
        <v>57</v>
      </c>
      <c r="H2514" t="s">
        <v>58</v>
      </c>
      <c r="I2514" t="s">
        <v>59</v>
      </c>
      <c r="J2514">
        <v>5</v>
      </c>
      <c r="K2514">
        <v>5600</v>
      </c>
      <c r="L2514">
        <v>0.15</v>
      </c>
      <c r="M2514">
        <v>23800</v>
      </c>
      <c r="N2514">
        <v>19500</v>
      </c>
      <c r="O2514">
        <v>4300</v>
      </c>
    </row>
    <row r="2515" spans="1:15" x14ac:dyDescent="0.25">
      <c r="A2515" t="s">
        <v>3578</v>
      </c>
      <c r="B2515" s="2">
        <v>48171</v>
      </c>
      <c r="C2515" t="s">
        <v>16</v>
      </c>
      <c r="D2515" t="s">
        <v>17</v>
      </c>
      <c r="E2515" t="s">
        <v>39</v>
      </c>
      <c r="F2515" t="s">
        <v>40</v>
      </c>
      <c r="G2515" t="s">
        <v>28</v>
      </c>
      <c r="H2515" t="s">
        <v>29</v>
      </c>
      <c r="I2515" t="s">
        <v>47</v>
      </c>
      <c r="J2515">
        <v>2</v>
      </c>
      <c r="K2515">
        <v>6800</v>
      </c>
      <c r="L2515">
        <v>0.1</v>
      </c>
      <c r="M2515">
        <v>12240</v>
      </c>
      <c r="N2515">
        <v>9400</v>
      </c>
      <c r="O2515">
        <v>2840</v>
      </c>
    </row>
    <row r="2516" spans="1:15" x14ac:dyDescent="0.25">
      <c r="A2516" t="s">
        <v>3579</v>
      </c>
      <c r="B2516" s="2">
        <v>48172</v>
      </c>
      <c r="C2516" t="s">
        <v>384</v>
      </c>
      <c r="D2516" t="s">
        <v>385</v>
      </c>
      <c r="E2516" t="s">
        <v>26</v>
      </c>
      <c r="F2516" t="s">
        <v>204</v>
      </c>
      <c r="G2516" t="s">
        <v>57</v>
      </c>
      <c r="H2516" t="s">
        <v>58</v>
      </c>
      <c r="I2516" t="s">
        <v>59</v>
      </c>
      <c r="J2516">
        <v>1</v>
      </c>
      <c r="K2516">
        <v>5600</v>
      </c>
      <c r="L2516">
        <v>0.25</v>
      </c>
      <c r="M2516">
        <v>4200</v>
      </c>
      <c r="N2516">
        <v>3900</v>
      </c>
      <c r="O2516">
        <v>300</v>
      </c>
    </row>
    <row r="2517" spans="1:15" x14ac:dyDescent="0.25">
      <c r="A2517" t="s">
        <v>3580</v>
      </c>
      <c r="B2517" s="2">
        <v>48173</v>
      </c>
      <c r="C2517" t="s">
        <v>402</v>
      </c>
      <c r="D2517" t="s">
        <v>403</v>
      </c>
      <c r="E2517" t="s">
        <v>26</v>
      </c>
      <c r="F2517" t="s">
        <v>204</v>
      </c>
      <c r="G2517" t="s">
        <v>57</v>
      </c>
      <c r="H2517" t="s">
        <v>58</v>
      </c>
      <c r="I2517" t="s">
        <v>129</v>
      </c>
      <c r="J2517">
        <v>4</v>
      </c>
      <c r="K2517">
        <v>4800</v>
      </c>
      <c r="L2517">
        <v>0</v>
      </c>
      <c r="M2517">
        <v>19200</v>
      </c>
      <c r="N2517">
        <v>13200</v>
      </c>
      <c r="O2517">
        <v>6000</v>
      </c>
    </row>
    <row r="2518" spans="1:15" x14ac:dyDescent="0.25">
      <c r="A2518" t="s">
        <v>3581</v>
      </c>
      <c r="B2518" s="2">
        <v>48174</v>
      </c>
      <c r="C2518" t="s">
        <v>813</v>
      </c>
      <c r="D2518" t="s">
        <v>814</v>
      </c>
      <c r="E2518" t="s">
        <v>26</v>
      </c>
      <c r="F2518" t="s">
        <v>204</v>
      </c>
      <c r="G2518" t="s">
        <v>20</v>
      </c>
      <c r="H2518" t="s">
        <v>84</v>
      </c>
      <c r="I2518" t="s">
        <v>85</v>
      </c>
      <c r="J2518">
        <v>4</v>
      </c>
      <c r="K2518">
        <v>280</v>
      </c>
      <c r="L2518">
        <v>0.1</v>
      </c>
      <c r="M2518">
        <v>1008</v>
      </c>
      <c r="N2518">
        <v>640</v>
      </c>
      <c r="O2518">
        <v>368</v>
      </c>
    </row>
    <row r="2519" spans="1:15" x14ac:dyDescent="0.25">
      <c r="A2519" t="s">
        <v>3582</v>
      </c>
      <c r="B2519" s="2">
        <v>48175</v>
      </c>
      <c r="C2519" t="s">
        <v>1720</v>
      </c>
      <c r="D2519" t="s">
        <v>1721</v>
      </c>
      <c r="E2519" t="s">
        <v>18</v>
      </c>
      <c r="F2519" t="s">
        <v>227</v>
      </c>
      <c r="G2519" t="s">
        <v>28</v>
      </c>
      <c r="H2519" t="s">
        <v>29</v>
      </c>
      <c r="I2519" t="s">
        <v>35</v>
      </c>
      <c r="J2519">
        <v>1</v>
      </c>
      <c r="K2519">
        <v>4200</v>
      </c>
      <c r="L2519">
        <v>0.2</v>
      </c>
      <c r="M2519">
        <v>3360</v>
      </c>
      <c r="N2519">
        <v>2900</v>
      </c>
      <c r="O2519">
        <v>460</v>
      </c>
    </row>
    <row r="2520" spans="1:15" x14ac:dyDescent="0.25">
      <c r="A2520" t="s">
        <v>3583</v>
      </c>
      <c r="B2520" s="2">
        <v>48176</v>
      </c>
      <c r="C2520" t="s">
        <v>1368</v>
      </c>
      <c r="D2520" t="s">
        <v>1369</v>
      </c>
      <c r="E2520" t="s">
        <v>39</v>
      </c>
      <c r="F2520" t="s">
        <v>40</v>
      </c>
      <c r="G2520" t="s">
        <v>51</v>
      </c>
      <c r="H2520" t="s">
        <v>21</v>
      </c>
      <c r="I2520" t="s">
        <v>80</v>
      </c>
      <c r="J2520">
        <v>2</v>
      </c>
      <c r="K2520">
        <v>850</v>
      </c>
      <c r="L2520">
        <v>0.15</v>
      </c>
      <c r="M2520">
        <v>1445</v>
      </c>
      <c r="N2520">
        <v>1120</v>
      </c>
      <c r="O2520">
        <v>325</v>
      </c>
    </row>
    <row r="2521" spans="1:15" x14ac:dyDescent="0.25">
      <c r="A2521" t="s">
        <v>3584</v>
      </c>
      <c r="B2521" s="2">
        <v>48177</v>
      </c>
      <c r="C2521" t="s">
        <v>744</v>
      </c>
      <c r="D2521" t="s">
        <v>745</v>
      </c>
      <c r="E2521" t="s">
        <v>18</v>
      </c>
      <c r="F2521" t="s">
        <v>115</v>
      </c>
      <c r="G2521" t="s">
        <v>20</v>
      </c>
      <c r="H2521" t="s">
        <v>21</v>
      </c>
      <c r="I2521" t="s">
        <v>22</v>
      </c>
      <c r="J2521">
        <v>2</v>
      </c>
      <c r="K2521">
        <v>650</v>
      </c>
      <c r="L2521">
        <v>0.15</v>
      </c>
      <c r="M2521">
        <v>1105</v>
      </c>
      <c r="N2521">
        <v>780</v>
      </c>
      <c r="O2521">
        <v>325</v>
      </c>
    </row>
    <row r="2522" spans="1:15" x14ac:dyDescent="0.25">
      <c r="A2522" t="s">
        <v>3585</v>
      </c>
      <c r="B2522" s="2">
        <v>48178</v>
      </c>
      <c r="C2522" t="s">
        <v>405</v>
      </c>
      <c r="D2522" t="s">
        <v>406</v>
      </c>
      <c r="E2522" t="s">
        <v>26</v>
      </c>
      <c r="F2522" t="s">
        <v>128</v>
      </c>
      <c r="G2522" t="s">
        <v>57</v>
      </c>
      <c r="H2522" t="s">
        <v>188</v>
      </c>
      <c r="I2522" t="s">
        <v>189</v>
      </c>
      <c r="J2522">
        <v>5</v>
      </c>
      <c r="K2522">
        <v>6200</v>
      </c>
      <c r="L2522">
        <v>0.25</v>
      </c>
      <c r="M2522">
        <v>23250</v>
      </c>
      <c r="N2522">
        <v>21500</v>
      </c>
      <c r="O2522">
        <v>1750</v>
      </c>
    </row>
    <row r="2523" spans="1:15" x14ac:dyDescent="0.25">
      <c r="A2523" t="s">
        <v>3586</v>
      </c>
      <c r="B2523" s="2">
        <v>48179</v>
      </c>
      <c r="C2523" t="s">
        <v>2356</v>
      </c>
      <c r="D2523" t="s">
        <v>2357</v>
      </c>
      <c r="E2523" t="s">
        <v>96</v>
      </c>
      <c r="F2523" t="s">
        <v>120</v>
      </c>
      <c r="G2523" t="s">
        <v>51</v>
      </c>
      <c r="H2523" t="s">
        <v>21</v>
      </c>
      <c r="I2523" t="s">
        <v>80</v>
      </c>
      <c r="J2523">
        <v>2</v>
      </c>
      <c r="K2523">
        <v>850</v>
      </c>
      <c r="L2523">
        <v>0.25</v>
      </c>
      <c r="M2523">
        <v>1275</v>
      </c>
      <c r="N2523">
        <v>1120</v>
      </c>
      <c r="O2523">
        <v>155</v>
      </c>
    </row>
    <row r="2524" spans="1:15" x14ac:dyDescent="0.25">
      <c r="A2524" t="s">
        <v>3587</v>
      </c>
      <c r="B2524" s="2">
        <v>48180</v>
      </c>
      <c r="C2524" t="s">
        <v>1514</v>
      </c>
      <c r="D2524" t="s">
        <v>1515</v>
      </c>
      <c r="E2524" t="s">
        <v>39</v>
      </c>
      <c r="F2524" t="s">
        <v>71</v>
      </c>
      <c r="G2524" t="s">
        <v>51</v>
      </c>
      <c r="H2524" t="s">
        <v>21</v>
      </c>
      <c r="I2524" t="s">
        <v>72</v>
      </c>
      <c r="J2524">
        <v>1</v>
      </c>
      <c r="K2524">
        <v>1800</v>
      </c>
      <c r="L2524">
        <v>0.1</v>
      </c>
      <c r="M2524">
        <v>1620</v>
      </c>
      <c r="N2524">
        <v>1100</v>
      </c>
      <c r="O2524">
        <v>520</v>
      </c>
    </row>
    <row r="2525" spans="1:15" x14ac:dyDescent="0.25">
      <c r="A2525" t="s">
        <v>3588</v>
      </c>
      <c r="B2525" s="2">
        <v>48181</v>
      </c>
      <c r="C2525" t="s">
        <v>1964</v>
      </c>
      <c r="D2525" t="s">
        <v>1965</v>
      </c>
      <c r="E2525" t="s">
        <v>39</v>
      </c>
      <c r="F2525" t="s">
        <v>71</v>
      </c>
      <c r="G2525" t="s">
        <v>57</v>
      </c>
      <c r="H2525" t="s">
        <v>58</v>
      </c>
      <c r="I2525" t="s">
        <v>59</v>
      </c>
      <c r="J2525">
        <v>4</v>
      </c>
      <c r="K2525">
        <v>5600</v>
      </c>
      <c r="L2525">
        <v>0.05</v>
      </c>
      <c r="M2525">
        <v>21280</v>
      </c>
      <c r="N2525">
        <v>15600</v>
      </c>
      <c r="O2525">
        <v>5680</v>
      </c>
    </row>
    <row r="2526" spans="1:15" x14ac:dyDescent="0.25">
      <c r="A2526" t="s">
        <v>3589</v>
      </c>
      <c r="B2526" s="2">
        <v>48182</v>
      </c>
      <c r="C2526" t="s">
        <v>1486</v>
      </c>
      <c r="D2526" t="s">
        <v>1487</v>
      </c>
      <c r="E2526" t="s">
        <v>26</v>
      </c>
      <c r="F2526" t="s">
        <v>46</v>
      </c>
      <c r="G2526" t="s">
        <v>20</v>
      </c>
      <c r="H2526" t="s">
        <v>41</v>
      </c>
      <c r="I2526" t="s">
        <v>42</v>
      </c>
      <c r="J2526">
        <v>1</v>
      </c>
      <c r="K2526">
        <v>520</v>
      </c>
      <c r="L2526">
        <v>0.1</v>
      </c>
      <c r="M2526">
        <v>468</v>
      </c>
      <c r="N2526">
        <v>330</v>
      </c>
      <c r="O2526">
        <v>138</v>
      </c>
    </row>
    <row r="2527" spans="1:15" x14ac:dyDescent="0.25">
      <c r="A2527" t="s">
        <v>3590</v>
      </c>
      <c r="B2527" s="2">
        <v>48183</v>
      </c>
      <c r="C2527" t="s">
        <v>393</v>
      </c>
      <c r="D2527" t="s">
        <v>394</v>
      </c>
      <c r="E2527" t="s">
        <v>26</v>
      </c>
      <c r="F2527" t="s">
        <v>128</v>
      </c>
      <c r="G2527" t="s">
        <v>57</v>
      </c>
      <c r="H2527" t="s">
        <v>104</v>
      </c>
      <c r="I2527" t="s">
        <v>105</v>
      </c>
      <c r="J2527">
        <v>3</v>
      </c>
      <c r="K2527">
        <v>7500</v>
      </c>
      <c r="L2527">
        <v>0.05</v>
      </c>
      <c r="M2527">
        <v>21375</v>
      </c>
      <c r="N2527">
        <v>15600</v>
      </c>
      <c r="O2527">
        <v>5775</v>
      </c>
    </row>
    <row r="2528" spans="1:15" x14ac:dyDescent="0.25">
      <c r="A2528" t="s">
        <v>3591</v>
      </c>
      <c r="B2528" s="2">
        <v>48184</v>
      </c>
      <c r="C2528" t="s">
        <v>134</v>
      </c>
      <c r="D2528" t="s">
        <v>135</v>
      </c>
      <c r="E2528" t="s">
        <v>39</v>
      </c>
      <c r="F2528" t="s">
        <v>71</v>
      </c>
      <c r="G2528" t="s">
        <v>51</v>
      </c>
      <c r="H2528" t="s">
        <v>52</v>
      </c>
      <c r="I2528" t="s">
        <v>208</v>
      </c>
      <c r="J2528">
        <v>2</v>
      </c>
      <c r="K2528">
        <v>2800</v>
      </c>
      <c r="L2528">
        <v>0.1</v>
      </c>
      <c r="M2528">
        <v>5040</v>
      </c>
      <c r="N2528">
        <v>3600</v>
      </c>
      <c r="O2528">
        <v>1440</v>
      </c>
    </row>
    <row r="2529" spans="1:15" x14ac:dyDescent="0.25">
      <c r="A2529" t="s">
        <v>3592</v>
      </c>
      <c r="B2529" s="2">
        <v>48185</v>
      </c>
      <c r="C2529" t="s">
        <v>248</v>
      </c>
      <c r="D2529" t="s">
        <v>249</v>
      </c>
      <c r="E2529" t="s">
        <v>26</v>
      </c>
      <c r="F2529" t="s">
        <v>34</v>
      </c>
      <c r="G2529" t="s">
        <v>57</v>
      </c>
      <c r="H2529" t="s">
        <v>188</v>
      </c>
      <c r="I2529" t="s">
        <v>189</v>
      </c>
      <c r="J2529">
        <v>2</v>
      </c>
      <c r="K2529">
        <v>6200</v>
      </c>
      <c r="L2529">
        <v>0.1</v>
      </c>
      <c r="M2529">
        <v>11160</v>
      </c>
      <c r="N2529">
        <v>8600</v>
      </c>
      <c r="O2529">
        <v>2560</v>
      </c>
    </row>
    <row r="2530" spans="1:15" x14ac:dyDescent="0.25">
      <c r="A2530" t="s">
        <v>3593</v>
      </c>
      <c r="B2530" s="2">
        <v>48186</v>
      </c>
      <c r="C2530" t="s">
        <v>1294</v>
      </c>
      <c r="D2530" t="s">
        <v>1295</v>
      </c>
      <c r="E2530" t="s">
        <v>26</v>
      </c>
      <c r="F2530" t="s">
        <v>46</v>
      </c>
      <c r="G2530" t="s">
        <v>28</v>
      </c>
      <c r="H2530" t="s">
        <v>29</v>
      </c>
      <c r="I2530" t="s">
        <v>47</v>
      </c>
      <c r="J2530">
        <v>1</v>
      </c>
      <c r="K2530">
        <v>6800</v>
      </c>
      <c r="L2530">
        <v>0.1</v>
      </c>
      <c r="M2530">
        <v>6120</v>
      </c>
      <c r="N2530">
        <v>4700</v>
      </c>
      <c r="O2530">
        <v>1420</v>
      </c>
    </row>
    <row r="2531" spans="1:15" x14ac:dyDescent="0.25">
      <c r="A2531" t="s">
        <v>3594</v>
      </c>
      <c r="B2531" s="2">
        <v>48187</v>
      </c>
      <c r="C2531" t="s">
        <v>171</v>
      </c>
      <c r="D2531" t="s">
        <v>172</v>
      </c>
      <c r="E2531" t="s">
        <v>39</v>
      </c>
      <c r="F2531" t="s">
        <v>71</v>
      </c>
      <c r="G2531" t="s">
        <v>20</v>
      </c>
      <c r="H2531" t="s">
        <v>21</v>
      </c>
      <c r="I2531" t="s">
        <v>22</v>
      </c>
      <c r="J2531">
        <v>3</v>
      </c>
      <c r="K2531">
        <v>650</v>
      </c>
      <c r="L2531">
        <v>0</v>
      </c>
      <c r="M2531">
        <v>1950</v>
      </c>
      <c r="N2531">
        <v>1170</v>
      </c>
      <c r="O2531">
        <v>780</v>
      </c>
    </row>
    <row r="2532" spans="1:15" x14ac:dyDescent="0.25">
      <c r="A2532" t="s">
        <v>3595</v>
      </c>
      <c r="B2532" s="2">
        <v>48188</v>
      </c>
      <c r="C2532" t="s">
        <v>582</v>
      </c>
      <c r="D2532" t="s">
        <v>583</v>
      </c>
      <c r="E2532" t="s">
        <v>39</v>
      </c>
      <c r="F2532" t="s">
        <v>40</v>
      </c>
      <c r="G2532" t="s">
        <v>57</v>
      </c>
      <c r="H2532" t="s">
        <v>104</v>
      </c>
      <c r="I2532" t="s">
        <v>105</v>
      </c>
      <c r="J2532">
        <v>2</v>
      </c>
      <c r="K2532">
        <v>7500</v>
      </c>
      <c r="L2532">
        <v>0</v>
      </c>
      <c r="M2532">
        <v>15000</v>
      </c>
      <c r="N2532">
        <v>10400</v>
      </c>
      <c r="O2532">
        <v>4600</v>
      </c>
    </row>
    <row r="2533" spans="1:15" x14ac:dyDescent="0.25">
      <c r="A2533" t="s">
        <v>3596</v>
      </c>
      <c r="B2533" s="2">
        <v>48189</v>
      </c>
      <c r="C2533" t="s">
        <v>1780</v>
      </c>
      <c r="D2533" t="s">
        <v>1781</v>
      </c>
      <c r="E2533" t="s">
        <v>26</v>
      </c>
      <c r="F2533" t="s">
        <v>204</v>
      </c>
      <c r="G2533" t="s">
        <v>51</v>
      </c>
      <c r="H2533" t="s">
        <v>52</v>
      </c>
      <c r="I2533" t="s">
        <v>208</v>
      </c>
      <c r="J2533">
        <v>5</v>
      </c>
      <c r="K2533">
        <v>2800</v>
      </c>
      <c r="L2533">
        <v>0.1</v>
      </c>
      <c r="M2533">
        <v>12600</v>
      </c>
      <c r="N2533">
        <v>9000</v>
      </c>
      <c r="O2533">
        <v>3600</v>
      </c>
    </row>
    <row r="2534" spans="1:15" x14ac:dyDescent="0.25">
      <c r="A2534" t="s">
        <v>3597</v>
      </c>
      <c r="B2534" s="2">
        <v>48190</v>
      </c>
      <c r="C2534" t="s">
        <v>152</v>
      </c>
      <c r="D2534" t="s">
        <v>153</v>
      </c>
      <c r="E2534" t="s">
        <v>26</v>
      </c>
      <c r="F2534" t="s">
        <v>204</v>
      </c>
      <c r="G2534" t="s">
        <v>28</v>
      </c>
      <c r="H2534" t="s">
        <v>63</v>
      </c>
      <c r="I2534" t="s">
        <v>64</v>
      </c>
      <c r="J2534">
        <v>3</v>
      </c>
      <c r="K2534">
        <v>2400</v>
      </c>
      <c r="L2534">
        <v>0.1</v>
      </c>
      <c r="M2534">
        <v>6480</v>
      </c>
      <c r="N2534">
        <v>4950</v>
      </c>
      <c r="O2534">
        <v>1530</v>
      </c>
    </row>
    <row r="2535" spans="1:15" x14ac:dyDescent="0.25">
      <c r="A2535" t="s">
        <v>3598</v>
      </c>
      <c r="B2535" s="2">
        <v>48191</v>
      </c>
      <c r="C2535" t="s">
        <v>1865</v>
      </c>
      <c r="D2535" t="s">
        <v>1866</v>
      </c>
      <c r="E2535" t="s">
        <v>39</v>
      </c>
      <c r="F2535" t="s">
        <v>76</v>
      </c>
      <c r="G2535" t="s">
        <v>20</v>
      </c>
      <c r="H2535" t="s">
        <v>84</v>
      </c>
      <c r="I2535" t="s">
        <v>210</v>
      </c>
      <c r="J2535">
        <v>4</v>
      </c>
      <c r="K2535">
        <v>300</v>
      </c>
      <c r="L2535">
        <v>0</v>
      </c>
      <c r="M2535">
        <v>1200</v>
      </c>
      <c r="N2535">
        <v>680</v>
      </c>
      <c r="O2535">
        <v>520</v>
      </c>
    </row>
    <row r="2536" spans="1:15" x14ac:dyDescent="0.25">
      <c r="A2536" t="s">
        <v>3599</v>
      </c>
      <c r="B2536" s="2">
        <v>48192</v>
      </c>
      <c r="C2536" t="s">
        <v>420</v>
      </c>
      <c r="D2536" t="s">
        <v>421</v>
      </c>
      <c r="E2536" t="s">
        <v>26</v>
      </c>
      <c r="F2536" t="s">
        <v>27</v>
      </c>
      <c r="G2536" t="s">
        <v>20</v>
      </c>
      <c r="H2536" t="s">
        <v>84</v>
      </c>
      <c r="I2536" t="s">
        <v>85</v>
      </c>
      <c r="J2536">
        <v>2</v>
      </c>
      <c r="K2536">
        <v>280</v>
      </c>
      <c r="L2536">
        <v>0.15</v>
      </c>
      <c r="M2536">
        <v>476</v>
      </c>
      <c r="N2536">
        <v>320</v>
      </c>
      <c r="O2536">
        <v>156</v>
      </c>
    </row>
    <row r="2537" spans="1:15" x14ac:dyDescent="0.25">
      <c r="A2537" t="s">
        <v>3600</v>
      </c>
      <c r="B2537" s="2">
        <v>48193</v>
      </c>
      <c r="C2537" t="s">
        <v>1413</v>
      </c>
      <c r="D2537" t="s">
        <v>1414</v>
      </c>
      <c r="E2537" t="s">
        <v>26</v>
      </c>
      <c r="F2537" t="s">
        <v>204</v>
      </c>
      <c r="G2537" t="s">
        <v>51</v>
      </c>
      <c r="H2537" t="s">
        <v>21</v>
      </c>
      <c r="I2537" t="s">
        <v>116</v>
      </c>
      <c r="J2537">
        <v>2</v>
      </c>
      <c r="K2537">
        <v>1400</v>
      </c>
      <c r="L2537">
        <v>0.05</v>
      </c>
      <c r="M2537">
        <v>2660</v>
      </c>
      <c r="N2537">
        <v>1800</v>
      </c>
      <c r="O2537">
        <v>860</v>
      </c>
    </row>
    <row r="2538" spans="1:15" x14ac:dyDescent="0.25">
      <c r="A2538" t="s">
        <v>3601</v>
      </c>
      <c r="B2538" s="2">
        <v>48194</v>
      </c>
      <c r="C2538" t="s">
        <v>3602</v>
      </c>
      <c r="D2538" t="s">
        <v>3603</v>
      </c>
      <c r="E2538" t="s">
        <v>18</v>
      </c>
      <c r="F2538" t="s">
        <v>94</v>
      </c>
      <c r="G2538" t="s">
        <v>20</v>
      </c>
      <c r="H2538" t="s">
        <v>21</v>
      </c>
      <c r="I2538" t="s">
        <v>22</v>
      </c>
      <c r="J2538">
        <v>2</v>
      </c>
      <c r="K2538">
        <v>650</v>
      </c>
      <c r="L2538">
        <v>0.1</v>
      </c>
      <c r="M2538">
        <v>1170</v>
      </c>
      <c r="N2538">
        <v>780</v>
      </c>
      <c r="O2538">
        <v>390</v>
      </c>
    </row>
    <row r="2539" spans="1:15" x14ac:dyDescent="0.25">
      <c r="A2539" t="s">
        <v>3604</v>
      </c>
      <c r="B2539" s="2">
        <v>48195</v>
      </c>
      <c r="C2539" t="s">
        <v>2326</v>
      </c>
      <c r="D2539" t="s">
        <v>2327</v>
      </c>
      <c r="E2539" t="s">
        <v>26</v>
      </c>
      <c r="F2539" t="s">
        <v>46</v>
      </c>
      <c r="G2539" t="s">
        <v>57</v>
      </c>
      <c r="H2539" t="s">
        <v>104</v>
      </c>
      <c r="I2539" t="s">
        <v>105</v>
      </c>
      <c r="J2539">
        <v>3</v>
      </c>
      <c r="K2539">
        <v>7500</v>
      </c>
      <c r="L2539">
        <v>0.05</v>
      </c>
      <c r="M2539">
        <v>21375</v>
      </c>
      <c r="N2539">
        <v>15600</v>
      </c>
      <c r="O2539">
        <v>5775</v>
      </c>
    </row>
    <row r="2540" spans="1:15" x14ac:dyDescent="0.25">
      <c r="A2540" t="s">
        <v>3605</v>
      </c>
      <c r="B2540" s="2">
        <v>48196</v>
      </c>
      <c r="C2540" t="s">
        <v>909</v>
      </c>
      <c r="D2540" t="s">
        <v>910</v>
      </c>
      <c r="E2540" t="s">
        <v>26</v>
      </c>
      <c r="F2540" t="s">
        <v>128</v>
      </c>
      <c r="G2540" t="s">
        <v>28</v>
      </c>
      <c r="H2540" t="s">
        <v>29</v>
      </c>
      <c r="I2540" t="s">
        <v>35</v>
      </c>
      <c r="J2540">
        <v>1</v>
      </c>
      <c r="K2540">
        <v>4200</v>
      </c>
      <c r="L2540">
        <v>0.15</v>
      </c>
      <c r="M2540">
        <v>3570</v>
      </c>
      <c r="N2540">
        <v>2900</v>
      </c>
      <c r="O2540">
        <v>670</v>
      </c>
    </row>
    <row r="2541" spans="1:15" x14ac:dyDescent="0.25">
      <c r="A2541" t="s">
        <v>3606</v>
      </c>
      <c r="B2541" s="2">
        <v>48197</v>
      </c>
      <c r="C2541" t="s">
        <v>1869</v>
      </c>
      <c r="D2541" t="s">
        <v>1870</v>
      </c>
      <c r="E2541" t="s">
        <v>26</v>
      </c>
      <c r="F2541" t="s">
        <v>128</v>
      </c>
      <c r="G2541" t="s">
        <v>28</v>
      </c>
      <c r="H2541" t="s">
        <v>29</v>
      </c>
      <c r="I2541" t="s">
        <v>47</v>
      </c>
      <c r="J2541">
        <v>2</v>
      </c>
      <c r="K2541">
        <v>6800</v>
      </c>
      <c r="L2541">
        <v>0</v>
      </c>
      <c r="M2541">
        <v>13600</v>
      </c>
      <c r="N2541">
        <v>9400</v>
      </c>
      <c r="O2541">
        <v>4200</v>
      </c>
    </row>
    <row r="2542" spans="1:15" x14ac:dyDescent="0.25">
      <c r="A2542" t="s">
        <v>3607</v>
      </c>
      <c r="B2542" s="2">
        <v>48198</v>
      </c>
      <c r="C2542" t="s">
        <v>603</v>
      </c>
      <c r="D2542" t="s">
        <v>604</v>
      </c>
      <c r="E2542" t="s">
        <v>18</v>
      </c>
      <c r="F2542" t="s">
        <v>115</v>
      </c>
      <c r="G2542" t="s">
        <v>20</v>
      </c>
      <c r="H2542" t="s">
        <v>84</v>
      </c>
      <c r="I2542" t="s">
        <v>85</v>
      </c>
      <c r="J2542">
        <v>5</v>
      </c>
      <c r="K2542">
        <v>280</v>
      </c>
      <c r="L2542">
        <v>0.05</v>
      </c>
      <c r="M2542">
        <v>1330</v>
      </c>
      <c r="N2542">
        <v>800</v>
      </c>
      <c r="O2542">
        <v>530</v>
      </c>
    </row>
    <row r="2543" spans="1:15" x14ac:dyDescent="0.25">
      <c r="A2543" t="s">
        <v>3608</v>
      </c>
      <c r="B2543" s="2">
        <v>48199</v>
      </c>
      <c r="C2543" t="s">
        <v>2292</v>
      </c>
      <c r="D2543" t="s">
        <v>2293</v>
      </c>
      <c r="E2543" t="s">
        <v>26</v>
      </c>
      <c r="F2543" t="s">
        <v>204</v>
      </c>
      <c r="G2543" t="s">
        <v>57</v>
      </c>
      <c r="H2543" t="s">
        <v>104</v>
      </c>
      <c r="I2543" t="s">
        <v>105</v>
      </c>
      <c r="J2543">
        <v>5</v>
      </c>
      <c r="K2543">
        <v>7500</v>
      </c>
      <c r="L2543">
        <v>0.15</v>
      </c>
      <c r="M2543">
        <v>31875</v>
      </c>
      <c r="N2543">
        <v>26000</v>
      </c>
      <c r="O2543">
        <v>5875</v>
      </c>
    </row>
    <row r="2544" spans="1:15" x14ac:dyDescent="0.25">
      <c r="A2544" t="s">
        <v>3609</v>
      </c>
      <c r="B2544" s="2">
        <v>48200</v>
      </c>
      <c r="C2544" t="s">
        <v>478</v>
      </c>
      <c r="D2544" t="s">
        <v>479</v>
      </c>
      <c r="E2544" t="s">
        <v>39</v>
      </c>
      <c r="F2544" t="s">
        <v>40</v>
      </c>
      <c r="G2544" t="s">
        <v>57</v>
      </c>
      <c r="H2544" t="s">
        <v>104</v>
      </c>
      <c r="I2544" t="s">
        <v>105</v>
      </c>
      <c r="J2544">
        <v>5</v>
      </c>
      <c r="K2544">
        <v>7500</v>
      </c>
      <c r="L2544">
        <v>0</v>
      </c>
      <c r="M2544">
        <v>37500</v>
      </c>
      <c r="N2544">
        <v>26000</v>
      </c>
      <c r="O2544">
        <v>11500</v>
      </c>
    </row>
    <row r="2545" spans="1:15" x14ac:dyDescent="0.25">
      <c r="A2545" t="s">
        <v>3610</v>
      </c>
      <c r="B2545" s="2">
        <v>48201</v>
      </c>
      <c r="C2545" t="s">
        <v>504</v>
      </c>
      <c r="D2545" t="s">
        <v>505</v>
      </c>
      <c r="E2545" t="s">
        <v>96</v>
      </c>
      <c r="F2545" t="s">
        <v>200</v>
      </c>
      <c r="G2545" t="s">
        <v>57</v>
      </c>
      <c r="H2545" t="s">
        <v>58</v>
      </c>
      <c r="I2545" t="s">
        <v>129</v>
      </c>
      <c r="J2545">
        <v>3</v>
      </c>
      <c r="K2545">
        <v>4800</v>
      </c>
      <c r="L2545">
        <v>0.2</v>
      </c>
      <c r="M2545">
        <v>11520</v>
      </c>
      <c r="N2545">
        <v>9900</v>
      </c>
      <c r="O2545">
        <v>1620</v>
      </c>
    </row>
    <row r="2546" spans="1:15" x14ac:dyDescent="0.25">
      <c r="A2546" t="s">
        <v>3611</v>
      </c>
      <c r="B2546" s="2">
        <v>48202</v>
      </c>
      <c r="C2546" t="s">
        <v>915</v>
      </c>
      <c r="D2546" t="s">
        <v>916</v>
      </c>
      <c r="E2546" t="s">
        <v>26</v>
      </c>
      <c r="F2546" t="s">
        <v>128</v>
      </c>
      <c r="G2546" t="s">
        <v>51</v>
      </c>
      <c r="H2546" t="s">
        <v>52</v>
      </c>
      <c r="I2546" t="s">
        <v>208</v>
      </c>
      <c r="J2546">
        <v>3</v>
      </c>
      <c r="K2546">
        <v>2800</v>
      </c>
      <c r="L2546">
        <v>0.25</v>
      </c>
      <c r="M2546">
        <v>6300</v>
      </c>
      <c r="N2546">
        <v>5400</v>
      </c>
      <c r="O2546">
        <v>900</v>
      </c>
    </row>
    <row r="2547" spans="1:15" x14ac:dyDescent="0.25">
      <c r="A2547" t="s">
        <v>3612</v>
      </c>
      <c r="B2547" s="2">
        <v>48203</v>
      </c>
      <c r="C2547" t="s">
        <v>753</v>
      </c>
      <c r="D2547" t="s">
        <v>754</v>
      </c>
      <c r="E2547" t="s">
        <v>96</v>
      </c>
      <c r="F2547" t="s">
        <v>200</v>
      </c>
      <c r="G2547" t="s">
        <v>20</v>
      </c>
      <c r="H2547" t="s">
        <v>84</v>
      </c>
      <c r="I2547" t="s">
        <v>85</v>
      </c>
      <c r="J2547">
        <v>2</v>
      </c>
      <c r="K2547">
        <v>280</v>
      </c>
      <c r="L2547">
        <v>0.2</v>
      </c>
      <c r="M2547">
        <v>448</v>
      </c>
      <c r="N2547">
        <v>320</v>
      </c>
      <c r="O2547">
        <v>128</v>
      </c>
    </row>
    <row r="2548" spans="1:15" x14ac:dyDescent="0.25">
      <c r="A2548" t="s">
        <v>3613</v>
      </c>
      <c r="B2548" s="2">
        <v>48204</v>
      </c>
      <c r="C2548" t="s">
        <v>627</v>
      </c>
      <c r="D2548" t="s">
        <v>628</v>
      </c>
      <c r="E2548" t="s">
        <v>18</v>
      </c>
      <c r="F2548" t="s">
        <v>94</v>
      </c>
      <c r="G2548" t="s">
        <v>51</v>
      </c>
      <c r="H2548" t="s">
        <v>21</v>
      </c>
      <c r="I2548" t="s">
        <v>116</v>
      </c>
      <c r="J2548">
        <v>4</v>
      </c>
      <c r="K2548">
        <v>1400</v>
      </c>
      <c r="L2548">
        <v>0</v>
      </c>
      <c r="M2548">
        <v>5600</v>
      </c>
      <c r="N2548">
        <v>3600</v>
      </c>
      <c r="O2548">
        <v>2000</v>
      </c>
    </row>
    <row r="2549" spans="1:15" x14ac:dyDescent="0.25">
      <c r="A2549" t="s">
        <v>3614</v>
      </c>
      <c r="B2549" s="2">
        <v>48205</v>
      </c>
      <c r="C2549" t="s">
        <v>881</v>
      </c>
      <c r="D2549" t="s">
        <v>882</v>
      </c>
      <c r="E2549" t="s">
        <v>26</v>
      </c>
      <c r="F2549" t="s">
        <v>27</v>
      </c>
      <c r="G2549" t="s">
        <v>28</v>
      </c>
      <c r="H2549" t="s">
        <v>63</v>
      </c>
      <c r="I2549" t="s">
        <v>64</v>
      </c>
      <c r="J2549">
        <v>2</v>
      </c>
      <c r="K2549">
        <v>2400</v>
      </c>
      <c r="L2549">
        <v>0.15</v>
      </c>
      <c r="M2549">
        <v>4080</v>
      </c>
      <c r="N2549">
        <v>3300</v>
      </c>
      <c r="O2549">
        <v>780</v>
      </c>
    </row>
    <row r="2550" spans="1:15" x14ac:dyDescent="0.25">
      <c r="A2550" t="s">
        <v>3615</v>
      </c>
      <c r="B2550" s="2">
        <v>48206</v>
      </c>
      <c r="C2550" t="s">
        <v>1612</v>
      </c>
      <c r="D2550" t="s">
        <v>1613</v>
      </c>
      <c r="E2550" t="s">
        <v>26</v>
      </c>
      <c r="F2550" t="s">
        <v>204</v>
      </c>
      <c r="G2550" t="s">
        <v>51</v>
      </c>
      <c r="H2550" t="s">
        <v>52</v>
      </c>
      <c r="I2550" t="s">
        <v>53</v>
      </c>
      <c r="J2550">
        <v>3</v>
      </c>
      <c r="K2550">
        <v>2200</v>
      </c>
      <c r="L2550">
        <v>0</v>
      </c>
      <c r="M2550">
        <v>6600</v>
      </c>
      <c r="N2550">
        <v>4350</v>
      </c>
      <c r="O2550">
        <v>2250</v>
      </c>
    </row>
    <row r="2551" spans="1:15" x14ac:dyDescent="0.25">
      <c r="A2551" t="s">
        <v>3616</v>
      </c>
      <c r="B2551" s="2">
        <v>48207</v>
      </c>
      <c r="C2551" t="s">
        <v>411</v>
      </c>
      <c r="D2551" t="s">
        <v>412</v>
      </c>
      <c r="E2551" t="s">
        <v>18</v>
      </c>
      <c r="F2551" t="s">
        <v>94</v>
      </c>
      <c r="G2551" t="s">
        <v>51</v>
      </c>
      <c r="H2551" t="s">
        <v>21</v>
      </c>
      <c r="I2551" t="s">
        <v>72</v>
      </c>
      <c r="J2551">
        <v>1</v>
      </c>
      <c r="K2551">
        <v>1800</v>
      </c>
      <c r="L2551">
        <v>0.15</v>
      </c>
      <c r="M2551">
        <v>1530</v>
      </c>
      <c r="N2551">
        <v>1100</v>
      </c>
      <c r="O2551">
        <v>430</v>
      </c>
    </row>
    <row r="2552" spans="1:15" x14ac:dyDescent="0.25">
      <c r="A2552" t="s">
        <v>3617</v>
      </c>
      <c r="B2552" s="2">
        <v>48208</v>
      </c>
      <c r="C2552" t="s">
        <v>550</v>
      </c>
      <c r="D2552" t="s">
        <v>551</v>
      </c>
      <c r="E2552" t="s">
        <v>26</v>
      </c>
      <c r="F2552" t="s">
        <v>204</v>
      </c>
      <c r="G2552" t="s">
        <v>51</v>
      </c>
      <c r="H2552" t="s">
        <v>89</v>
      </c>
      <c r="I2552" t="s">
        <v>90</v>
      </c>
      <c r="J2552">
        <v>3</v>
      </c>
      <c r="K2552">
        <v>10500</v>
      </c>
      <c r="L2552">
        <v>0.15</v>
      </c>
      <c r="M2552">
        <v>26775</v>
      </c>
      <c r="N2552">
        <v>22800</v>
      </c>
      <c r="O2552">
        <v>3975</v>
      </c>
    </row>
    <row r="2553" spans="1:15" x14ac:dyDescent="0.25">
      <c r="A2553" t="s">
        <v>3618</v>
      </c>
      <c r="B2553" s="2">
        <v>48209</v>
      </c>
      <c r="C2553" t="s">
        <v>1130</v>
      </c>
      <c r="D2553" t="s">
        <v>1131</v>
      </c>
      <c r="E2553" t="s">
        <v>26</v>
      </c>
      <c r="F2553" t="s">
        <v>34</v>
      </c>
      <c r="G2553" t="s">
        <v>28</v>
      </c>
      <c r="H2553" t="s">
        <v>29</v>
      </c>
      <c r="I2553" t="s">
        <v>35</v>
      </c>
      <c r="J2553">
        <v>2</v>
      </c>
      <c r="K2553">
        <v>4200</v>
      </c>
      <c r="L2553">
        <v>0.15</v>
      </c>
      <c r="M2553">
        <v>7140</v>
      </c>
      <c r="N2553">
        <v>5800</v>
      </c>
      <c r="O2553">
        <v>1340</v>
      </c>
    </row>
    <row r="2554" spans="1:15" x14ac:dyDescent="0.25">
      <c r="A2554" t="s">
        <v>3619</v>
      </c>
      <c r="B2554" s="2">
        <v>48210</v>
      </c>
      <c r="C2554" t="s">
        <v>74</v>
      </c>
      <c r="D2554" t="s">
        <v>75</v>
      </c>
      <c r="E2554" t="s">
        <v>26</v>
      </c>
      <c r="F2554" t="s">
        <v>34</v>
      </c>
      <c r="G2554" t="s">
        <v>57</v>
      </c>
      <c r="H2554" t="s">
        <v>58</v>
      </c>
      <c r="I2554" t="s">
        <v>129</v>
      </c>
      <c r="J2554">
        <v>3</v>
      </c>
      <c r="K2554">
        <v>4800</v>
      </c>
      <c r="L2554">
        <v>0.15</v>
      </c>
      <c r="M2554">
        <v>12240</v>
      </c>
      <c r="N2554">
        <v>9900</v>
      </c>
      <c r="O2554">
        <v>2340</v>
      </c>
    </row>
    <row r="2555" spans="1:15" x14ac:dyDescent="0.25">
      <c r="A2555" t="s">
        <v>3620</v>
      </c>
      <c r="B2555" s="2">
        <v>48211</v>
      </c>
      <c r="C2555" t="s">
        <v>222</v>
      </c>
      <c r="D2555" t="s">
        <v>223</v>
      </c>
      <c r="E2555" t="s">
        <v>26</v>
      </c>
      <c r="F2555" t="s">
        <v>46</v>
      </c>
      <c r="G2555" t="s">
        <v>57</v>
      </c>
      <c r="H2555" t="s">
        <v>58</v>
      </c>
      <c r="I2555" t="s">
        <v>59</v>
      </c>
      <c r="J2555">
        <v>3</v>
      </c>
      <c r="K2555">
        <v>5600</v>
      </c>
      <c r="L2555">
        <v>0.1</v>
      </c>
      <c r="M2555">
        <v>15120</v>
      </c>
      <c r="N2555">
        <v>11700</v>
      </c>
      <c r="O2555">
        <v>3420</v>
      </c>
    </row>
    <row r="2556" spans="1:15" x14ac:dyDescent="0.25">
      <c r="A2556" t="s">
        <v>3621</v>
      </c>
      <c r="B2556" s="2">
        <v>48212</v>
      </c>
      <c r="C2556" t="s">
        <v>922</v>
      </c>
      <c r="D2556" t="s">
        <v>923</v>
      </c>
      <c r="E2556" t="s">
        <v>39</v>
      </c>
      <c r="F2556" t="s">
        <v>71</v>
      </c>
      <c r="G2556" t="s">
        <v>20</v>
      </c>
      <c r="H2556" t="s">
        <v>41</v>
      </c>
      <c r="I2556" t="s">
        <v>42</v>
      </c>
      <c r="J2556">
        <v>5</v>
      </c>
      <c r="K2556">
        <v>520</v>
      </c>
      <c r="L2556">
        <v>0</v>
      </c>
      <c r="M2556">
        <v>2600</v>
      </c>
      <c r="N2556">
        <v>1650</v>
      </c>
      <c r="O2556">
        <v>950</v>
      </c>
    </row>
    <row r="2557" spans="1:15" x14ac:dyDescent="0.25">
      <c r="A2557" t="s">
        <v>3622</v>
      </c>
      <c r="B2557" s="2">
        <v>48213</v>
      </c>
      <c r="C2557" t="s">
        <v>1059</v>
      </c>
      <c r="D2557" t="s">
        <v>1060</v>
      </c>
      <c r="E2557" t="s">
        <v>18</v>
      </c>
      <c r="F2557" t="s">
        <v>227</v>
      </c>
      <c r="G2557" t="s">
        <v>28</v>
      </c>
      <c r="H2557" t="s">
        <v>29</v>
      </c>
      <c r="I2557" t="s">
        <v>47</v>
      </c>
      <c r="J2557">
        <v>5</v>
      </c>
      <c r="K2557">
        <v>6800</v>
      </c>
      <c r="L2557">
        <v>0</v>
      </c>
      <c r="M2557">
        <v>34000</v>
      </c>
      <c r="N2557">
        <v>23500</v>
      </c>
      <c r="O2557">
        <v>10500</v>
      </c>
    </row>
    <row r="2558" spans="1:15" x14ac:dyDescent="0.25">
      <c r="A2558" t="s">
        <v>3623</v>
      </c>
      <c r="B2558" s="2">
        <v>48214</v>
      </c>
      <c r="C2558" t="s">
        <v>843</v>
      </c>
      <c r="D2558" t="s">
        <v>844</v>
      </c>
      <c r="E2558" t="s">
        <v>26</v>
      </c>
      <c r="F2558" t="s">
        <v>46</v>
      </c>
      <c r="G2558" t="s">
        <v>51</v>
      </c>
      <c r="H2558" t="s">
        <v>52</v>
      </c>
      <c r="I2558" t="s">
        <v>53</v>
      </c>
      <c r="J2558">
        <v>5</v>
      </c>
      <c r="K2558">
        <v>2200</v>
      </c>
      <c r="L2558">
        <v>0.2</v>
      </c>
      <c r="M2558">
        <v>8800</v>
      </c>
      <c r="N2558">
        <v>7250</v>
      </c>
      <c r="O2558">
        <v>1550</v>
      </c>
    </row>
    <row r="2559" spans="1:15" x14ac:dyDescent="0.25">
      <c r="A2559" t="s">
        <v>3624</v>
      </c>
      <c r="B2559" s="2">
        <v>48215</v>
      </c>
      <c r="C2559" t="s">
        <v>603</v>
      </c>
      <c r="D2559" t="s">
        <v>604</v>
      </c>
      <c r="E2559" t="s">
        <v>96</v>
      </c>
      <c r="F2559" t="s">
        <v>200</v>
      </c>
      <c r="G2559" t="s">
        <v>20</v>
      </c>
      <c r="H2559" t="s">
        <v>84</v>
      </c>
      <c r="I2559" t="s">
        <v>85</v>
      </c>
      <c r="J2559">
        <v>1</v>
      </c>
      <c r="K2559">
        <v>280</v>
      </c>
      <c r="L2559">
        <v>0.05</v>
      </c>
      <c r="M2559">
        <v>266</v>
      </c>
      <c r="N2559">
        <v>160</v>
      </c>
      <c r="O2559">
        <v>106</v>
      </c>
    </row>
    <row r="2560" spans="1:15" x14ac:dyDescent="0.25">
      <c r="A2560" t="s">
        <v>3625</v>
      </c>
      <c r="B2560" s="2">
        <v>48216</v>
      </c>
      <c r="C2560" t="s">
        <v>74</v>
      </c>
      <c r="D2560" t="s">
        <v>75</v>
      </c>
      <c r="E2560" t="s">
        <v>26</v>
      </c>
      <c r="F2560" t="s">
        <v>34</v>
      </c>
      <c r="G2560" t="s">
        <v>51</v>
      </c>
      <c r="H2560" t="s">
        <v>21</v>
      </c>
      <c r="I2560" t="s">
        <v>116</v>
      </c>
      <c r="J2560">
        <v>1</v>
      </c>
      <c r="K2560">
        <v>1400</v>
      </c>
      <c r="L2560">
        <v>0.05</v>
      </c>
      <c r="M2560">
        <v>1330</v>
      </c>
      <c r="N2560">
        <v>900</v>
      </c>
      <c r="O2560">
        <v>430</v>
      </c>
    </row>
    <row r="2561" spans="1:15" x14ac:dyDescent="0.25">
      <c r="A2561" t="s">
        <v>3626</v>
      </c>
      <c r="B2561" s="2">
        <v>48217</v>
      </c>
      <c r="C2561" t="s">
        <v>134</v>
      </c>
      <c r="D2561" t="s">
        <v>135</v>
      </c>
      <c r="E2561" t="s">
        <v>26</v>
      </c>
      <c r="F2561" t="s">
        <v>27</v>
      </c>
      <c r="G2561" t="s">
        <v>51</v>
      </c>
      <c r="H2561" t="s">
        <v>21</v>
      </c>
      <c r="I2561" t="s">
        <v>80</v>
      </c>
      <c r="J2561">
        <v>5</v>
      </c>
      <c r="K2561">
        <v>850</v>
      </c>
      <c r="L2561">
        <v>0.1</v>
      </c>
      <c r="M2561">
        <v>3825</v>
      </c>
      <c r="N2561">
        <v>2800</v>
      </c>
      <c r="O2561">
        <v>1025</v>
      </c>
    </row>
    <row r="2562" spans="1:15" x14ac:dyDescent="0.25">
      <c r="A2562" t="s">
        <v>3627</v>
      </c>
      <c r="B2562" s="2">
        <v>48218</v>
      </c>
      <c r="C2562" t="s">
        <v>61</v>
      </c>
      <c r="D2562" t="s">
        <v>62</v>
      </c>
      <c r="E2562" t="s">
        <v>26</v>
      </c>
      <c r="F2562" t="s">
        <v>27</v>
      </c>
      <c r="G2562" t="s">
        <v>51</v>
      </c>
      <c r="H2562" t="s">
        <v>89</v>
      </c>
      <c r="I2562" t="s">
        <v>90</v>
      </c>
      <c r="J2562">
        <v>3</v>
      </c>
      <c r="K2562">
        <v>10500</v>
      </c>
      <c r="L2562">
        <v>0</v>
      </c>
      <c r="M2562">
        <v>31500</v>
      </c>
      <c r="N2562">
        <v>22800</v>
      </c>
      <c r="O2562">
        <v>8700</v>
      </c>
    </row>
    <row r="2563" spans="1:15" x14ac:dyDescent="0.25">
      <c r="A2563" t="s">
        <v>3628</v>
      </c>
      <c r="B2563" s="2">
        <v>48219</v>
      </c>
      <c r="C2563" t="s">
        <v>366</v>
      </c>
      <c r="D2563" t="s">
        <v>367</v>
      </c>
      <c r="E2563" t="s">
        <v>39</v>
      </c>
      <c r="F2563" t="s">
        <v>76</v>
      </c>
      <c r="G2563" t="s">
        <v>51</v>
      </c>
      <c r="H2563" t="s">
        <v>21</v>
      </c>
      <c r="I2563" t="s">
        <v>116</v>
      </c>
      <c r="J2563">
        <v>3</v>
      </c>
      <c r="K2563">
        <v>1400</v>
      </c>
      <c r="L2563">
        <v>0.2</v>
      </c>
      <c r="M2563">
        <v>3360</v>
      </c>
      <c r="N2563">
        <v>2700</v>
      </c>
      <c r="O2563">
        <v>660</v>
      </c>
    </row>
    <row r="2564" spans="1:15" x14ac:dyDescent="0.25">
      <c r="A2564" t="s">
        <v>3629</v>
      </c>
      <c r="B2564" s="2">
        <v>48220</v>
      </c>
      <c r="C2564" t="s">
        <v>1157</v>
      </c>
      <c r="D2564" t="s">
        <v>1158</v>
      </c>
      <c r="E2564" t="s">
        <v>39</v>
      </c>
      <c r="F2564" t="s">
        <v>40</v>
      </c>
      <c r="G2564" t="s">
        <v>20</v>
      </c>
      <c r="H2564" t="s">
        <v>41</v>
      </c>
      <c r="I2564" t="s">
        <v>42</v>
      </c>
      <c r="J2564">
        <v>2</v>
      </c>
      <c r="K2564">
        <v>520</v>
      </c>
      <c r="L2564">
        <v>0.1</v>
      </c>
      <c r="M2564">
        <v>936</v>
      </c>
      <c r="N2564">
        <v>660</v>
      </c>
      <c r="O2564">
        <v>276</v>
      </c>
    </row>
    <row r="2565" spans="1:15" x14ac:dyDescent="0.25">
      <c r="A2565" t="s">
        <v>3630</v>
      </c>
      <c r="B2565" s="2">
        <v>48221</v>
      </c>
      <c r="C2565" t="s">
        <v>1780</v>
      </c>
      <c r="D2565" t="s">
        <v>1781</v>
      </c>
      <c r="E2565" t="s">
        <v>18</v>
      </c>
      <c r="F2565" t="s">
        <v>115</v>
      </c>
      <c r="G2565" t="s">
        <v>51</v>
      </c>
      <c r="H2565" t="s">
        <v>89</v>
      </c>
      <c r="I2565" t="s">
        <v>90</v>
      </c>
      <c r="J2565">
        <v>3</v>
      </c>
      <c r="K2565">
        <v>10500</v>
      </c>
      <c r="L2565">
        <v>0.2</v>
      </c>
      <c r="M2565">
        <v>25200</v>
      </c>
      <c r="N2565">
        <v>22800</v>
      </c>
      <c r="O2565">
        <v>2400</v>
      </c>
    </row>
    <row r="2566" spans="1:15" x14ac:dyDescent="0.25">
      <c r="A2566" t="s">
        <v>3631</v>
      </c>
      <c r="B2566" s="2">
        <v>48222</v>
      </c>
      <c r="C2566" t="s">
        <v>524</v>
      </c>
      <c r="D2566" t="s">
        <v>525</v>
      </c>
      <c r="E2566" t="s">
        <v>39</v>
      </c>
      <c r="F2566" t="s">
        <v>71</v>
      </c>
      <c r="G2566" t="s">
        <v>28</v>
      </c>
      <c r="H2566" t="s">
        <v>29</v>
      </c>
      <c r="I2566" t="s">
        <v>47</v>
      </c>
      <c r="J2566">
        <v>1</v>
      </c>
      <c r="K2566">
        <v>6800</v>
      </c>
      <c r="L2566">
        <v>0.2</v>
      </c>
      <c r="M2566">
        <v>5440</v>
      </c>
      <c r="N2566">
        <v>4700</v>
      </c>
      <c r="O2566">
        <v>740</v>
      </c>
    </row>
    <row r="2567" spans="1:15" x14ac:dyDescent="0.25">
      <c r="A2567" t="s">
        <v>3632</v>
      </c>
      <c r="B2567" s="2">
        <v>48223</v>
      </c>
      <c r="C2567" t="s">
        <v>1124</v>
      </c>
      <c r="D2567" t="s">
        <v>1125</v>
      </c>
      <c r="E2567" t="s">
        <v>39</v>
      </c>
      <c r="F2567" t="s">
        <v>124</v>
      </c>
      <c r="G2567" t="s">
        <v>20</v>
      </c>
      <c r="H2567" t="s">
        <v>84</v>
      </c>
      <c r="I2567" t="s">
        <v>85</v>
      </c>
      <c r="J2567">
        <v>4</v>
      </c>
      <c r="K2567">
        <v>280</v>
      </c>
      <c r="L2567">
        <v>0.15</v>
      </c>
      <c r="M2567">
        <v>952</v>
      </c>
      <c r="N2567">
        <v>640</v>
      </c>
      <c r="O2567">
        <v>312</v>
      </c>
    </row>
    <row r="2568" spans="1:15" x14ac:dyDescent="0.25">
      <c r="A2568" t="s">
        <v>3633</v>
      </c>
      <c r="B2568" s="2">
        <v>48224</v>
      </c>
      <c r="C2568" t="s">
        <v>1699</v>
      </c>
      <c r="D2568" t="s">
        <v>1700</v>
      </c>
      <c r="E2568" t="s">
        <v>18</v>
      </c>
      <c r="F2568" t="s">
        <v>19</v>
      </c>
      <c r="G2568" t="s">
        <v>51</v>
      </c>
      <c r="H2568" t="s">
        <v>52</v>
      </c>
      <c r="I2568" t="s">
        <v>53</v>
      </c>
      <c r="J2568">
        <v>2</v>
      </c>
      <c r="K2568">
        <v>2200</v>
      </c>
      <c r="L2568">
        <v>0.2</v>
      </c>
      <c r="M2568">
        <v>3520</v>
      </c>
      <c r="N2568">
        <v>2900</v>
      </c>
      <c r="O2568">
        <v>620</v>
      </c>
    </row>
    <row r="2569" spans="1:15" x14ac:dyDescent="0.25">
      <c r="A2569" t="s">
        <v>3634</v>
      </c>
      <c r="B2569" s="2">
        <v>48225</v>
      </c>
      <c r="C2569" t="s">
        <v>941</v>
      </c>
      <c r="D2569" t="s">
        <v>942</v>
      </c>
      <c r="E2569" t="s">
        <v>26</v>
      </c>
      <c r="F2569" t="s">
        <v>204</v>
      </c>
      <c r="G2569" t="s">
        <v>51</v>
      </c>
      <c r="H2569" t="s">
        <v>89</v>
      </c>
      <c r="I2569" t="s">
        <v>90</v>
      </c>
      <c r="J2569">
        <v>2</v>
      </c>
      <c r="K2569">
        <v>10500</v>
      </c>
      <c r="L2569">
        <v>0.05</v>
      </c>
      <c r="M2569">
        <v>19950</v>
      </c>
      <c r="N2569">
        <v>15200</v>
      </c>
      <c r="O2569">
        <v>4750</v>
      </c>
    </row>
    <row r="2570" spans="1:15" x14ac:dyDescent="0.25">
      <c r="A2570" t="s">
        <v>3635</v>
      </c>
      <c r="B2570" s="2">
        <v>48226</v>
      </c>
      <c r="C2570" t="s">
        <v>87</v>
      </c>
      <c r="D2570" t="s">
        <v>88</v>
      </c>
      <c r="E2570" t="s">
        <v>26</v>
      </c>
      <c r="F2570" t="s">
        <v>34</v>
      </c>
      <c r="G2570" t="s">
        <v>57</v>
      </c>
      <c r="H2570" t="s">
        <v>104</v>
      </c>
      <c r="I2570" t="s">
        <v>105</v>
      </c>
      <c r="J2570">
        <v>5</v>
      </c>
      <c r="K2570">
        <v>7500</v>
      </c>
      <c r="L2570">
        <v>0</v>
      </c>
      <c r="M2570">
        <v>37500</v>
      </c>
      <c r="N2570">
        <v>26000</v>
      </c>
      <c r="O2570">
        <v>11500</v>
      </c>
    </row>
    <row r="2571" spans="1:15" x14ac:dyDescent="0.25">
      <c r="A2571" t="s">
        <v>3636</v>
      </c>
      <c r="B2571" s="2">
        <v>48227</v>
      </c>
      <c r="C2571" t="s">
        <v>92</v>
      </c>
      <c r="D2571" t="s">
        <v>93</v>
      </c>
      <c r="E2571" t="s">
        <v>26</v>
      </c>
      <c r="F2571" t="s">
        <v>34</v>
      </c>
      <c r="G2571" t="s">
        <v>51</v>
      </c>
      <c r="H2571" t="s">
        <v>21</v>
      </c>
      <c r="I2571" t="s">
        <v>116</v>
      </c>
      <c r="J2571">
        <v>1</v>
      </c>
      <c r="K2571">
        <v>1400</v>
      </c>
      <c r="L2571">
        <v>0.1</v>
      </c>
      <c r="M2571">
        <v>1260</v>
      </c>
      <c r="N2571">
        <v>900</v>
      </c>
      <c r="O2571">
        <v>360</v>
      </c>
    </row>
    <row r="2572" spans="1:15" x14ac:dyDescent="0.25">
      <c r="A2572" t="s">
        <v>3637</v>
      </c>
      <c r="B2572" s="2">
        <v>48228</v>
      </c>
      <c r="C2572" t="s">
        <v>1354</v>
      </c>
      <c r="D2572" t="s">
        <v>1355</v>
      </c>
      <c r="E2572" t="s">
        <v>26</v>
      </c>
      <c r="F2572" t="s">
        <v>204</v>
      </c>
      <c r="G2572" t="s">
        <v>57</v>
      </c>
      <c r="H2572" t="s">
        <v>58</v>
      </c>
      <c r="I2572" t="s">
        <v>129</v>
      </c>
      <c r="J2572">
        <v>2</v>
      </c>
      <c r="K2572">
        <v>4800</v>
      </c>
      <c r="L2572">
        <v>0.15</v>
      </c>
      <c r="M2572">
        <v>8160</v>
      </c>
      <c r="N2572">
        <v>6600</v>
      </c>
      <c r="O2572">
        <v>1560</v>
      </c>
    </row>
    <row r="2573" spans="1:15" x14ac:dyDescent="0.25">
      <c r="A2573" t="s">
        <v>3638</v>
      </c>
      <c r="B2573" s="2">
        <v>48229</v>
      </c>
      <c r="C2573" t="s">
        <v>456</v>
      </c>
      <c r="D2573" t="s">
        <v>457</v>
      </c>
      <c r="E2573" t="s">
        <v>26</v>
      </c>
      <c r="F2573" t="s">
        <v>46</v>
      </c>
      <c r="G2573" t="s">
        <v>20</v>
      </c>
      <c r="H2573" t="s">
        <v>84</v>
      </c>
      <c r="I2573" t="s">
        <v>85</v>
      </c>
      <c r="J2573">
        <v>1</v>
      </c>
      <c r="K2573">
        <v>280</v>
      </c>
      <c r="L2573">
        <v>0.1</v>
      </c>
      <c r="M2573">
        <v>252</v>
      </c>
      <c r="N2573">
        <v>160</v>
      </c>
      <c r="O2573">
        <v>92</v>
      </c>
    </row>
    <row r="2574" spans="1:15" x14ac:dyDescent="0.25">
      <c r="A2574" t="s">
        <v>3639</v>
      </c>
      <c r="B2574" s="2">
        <v>48230</v>
      </c>
      <c r="C2574" t="s">
        <v>691</v>
      </c>
      <c r="D2574" t="s">
        <v>692</v>
      </c>
      <c r="E2574" t="s">
        <v>26</v>
      </c>
      <c r="F2574" t="s">
        <v>46</v>
      </c>
      <c r="G2574" t="s">
        <v>51</v>
      </c>
      <c r="H2574" t="s">
        <v>89</v>
      </c>
      <c r="I2574" t="s">
        <v>90</v>
      </c>
      <c r="J2574">
        <v>2</v>
      </c>
      <c r="K2574">
        <v>10500</v>
      </c>
      <c r="L2574">
        <v>0.1</v>
      </c>
      <c r="M2574">
        <v>18900</v>
      </c>
      <c r="N2574">
        <v>15200</v>
      </c>
      <c r="O2574">
        <v>3700</v>
      </c>
    </row>
    <row r="2575" spans="1:15" x14ac:dyDescent="0.25">
      <c r="A2575" t="s">
        <v>3640</v>
      </c>
      <c r="B2575" s="2">
        <v>48231</v>
      </c>
      <c r="C2575" t="s">
        <v>2833</v>
      </c>
      <c r="D2575" t="s">
        <v>2834</v>
      </c>
      <c r="E2575" t="s">
        <v>39</v>
      </c>
      <c r="F2575" t="s">
        <v>124</v>
      </c>
      <c r="G2575" t="s">
        <v>57</v>
      </c>
      <c r="H2575" t="s">
        <v>188</v>
      </c>
      <c r="I2575" t="s">
        <v>189</v>
      </c>
      <c r="J2575">
        <v>1</v>
      </c>
      <c r="K2575">
        <v>6200</v>
      </c>
      <c r="L2575">
        <v>0.1</v>
      </c>
      <c r="M2575">
        <v>5580</v>
      </c>
      <c r="N2575">
        <v>4300</v>
      </c>
      <c r="O2575">
        <v>1280</v>
      </c>
    </row>
    <row r="2576" spans="1:15" x14ac:dyDescent="0.25">
      <c r="A2576" t="s">
        <v>3641</v>
      </c>
      <c r="B2576" s="2">
        <v>48232</v>
      </c>
      <c r="C2576" t="s">
        <v>1349</v>
      </c>
      <c r="D2576" t="s">
        <v>1350</v>
      </c>
      <c r="E2576" t="s">
        <v>96</v>
      </c>
      <c r="F2576" t="s">
        <v>120</v>
      </c>
      <c r="G2576" t="s">
        <v>28</v>
      </c>
      <c r="H2576" t="s">
        <v>29</v>
      </c>
      <c r="I2576" t="s">
        <v>30</v>
      </c>
      <c r="J2576">
        <v>4</v>
      </c>
      <c r="K2576">
        <v>1900</v>
      </c>
      <c r="L2576">
        <v>0.1</v>
      </c>
      <c r="M2576">
        <v>6840</v>
      </c>
      <c r="N2576">
        <v>5000</v>
      </c>
      <c r="O2576">
        <v>1840</v>
      </c>
    </row>
    <row r="2577" spans="1:15" x14ac:dyDescent="0.25">
      <c r="A2577" t="s">
        <v>3642</v>
      </c>
      <c r="B2577" s="2">
        <v>48233</v>
      </c>
      <c r="C2577" t="s">
        <v>504</v>
      </c>
      <c r="D2577" t="s">
        <v>505</v>
      </c>
      <c r="E2577" t="s">
        <v>26</v>
      </c>
      <c r="F2577" t="s">
        <v>34</v>
      </c>
      <c r="G2577" t="s">
        <v>51</v>
      </c>
      <c r="H2577" t="s">
        <v>21</v>
      </c>
      <c r="I2577" t="s">
        <v>80</v>
      </c>
      <c r="J2577">
        <v>3</v>
      </c>
      <c r="K2577">
        <v>850</v>
      </c>
      <c r="L2577">
        <v>0.05</v>
      </c>
      <c r="M2577">
        <v>2422.5</v>
      </c>
      <c r="N2577">
        <v>1680</v>
      </c>
      <c r="O2577">
        <v>742.5</v>
      </c>
    </row>
    <row r="2578" spans="1:15" x14ac:dyDescent="0.25">
      <c r="A2578" t="s">
        <v>3643</v>
      </c>
      <c r="B2578" s="2">
        <v>48234</v>
      </c>
      <c r="C2578" t="s">
        <v>481</v>
      </c>
      <c r="D2578" t="s">
        <v>482</v>
      </c>
      <c r="E2578" t="s">
        <v>18</v>
      </c>
      <c r="F2578" t="s">
        <v>19</v>
      </c>
      <c r="G2578" t="s">
        <v>20</v>
      </c>
      <c r="H2578" t="s">
        <v>41</v>
      </c>
      <c r="I2578" t="s">
        <v>42</v>
      </c>
      <c r="J2578">
        <v>3</v>
      </c>
      <c r="K2578">
        <v>520</v>
      </c>
      <c r="L2578">
        <v>0.25</v>
      </c>
      <c r="M2578">
        <v>1170</v>
      </c>
      <c r="N2578">
        <v>990</v>
      </c>
      <c r="O2578">
        <v>180</v>
      </c>
    </row>
    <row r="2579" spans="1:15" x14ac:dyDescent="0.25">
      <c r="A2579" t="s">
        <v>3644</v>
      </c>
      <c r="B2579" s="2">
        <v>48235</v>
      </c>
      <c r="C2579" t="s">
        <v>357</v>
      </c>
      <c r="D2579" t="s">
        <v>358</v>
      </c>
      <c r="E2579" t="s">
        <v>96</v>
      </c>
      <c r="F2579" t="s">
        <v>120</v>
      </c>
      <c r="G2579" t="s">
        <v>28</v>
      </c>
      <c r="H2579" t="s">
        <v>29</v>
      </c>
      <c r="I2579" t="s">
        <v>35</v>
      </c>
      <c r="J2579">
        <v>4</v>
      </c>
      <c r="K2579">
        <v>4200</v>
      </c>
      <c r="L2579">
        <v>0.15</v>
      </c>
      <c r="M2579">
        <v>14280</v>
      </c>
      <c r="N2579">
        <v>11600</v>
      </c>
      <c r="O2579">
        <v>2680</v>
      </c>
    </row>
    <row r="2580" spans="1:15" x14ac:dyDescent="0.25">
      <c r="A2580" t="s">
        <v>3645</v>
      </c>
      <c r="B2580" s="2">
        <v>48236</v>
      </c>
      <c r="C2580" t="s">
        <v>191</v>
      </c>
      <c r="D2580" t="s">
        <v>192</v>
      </c>
      <c r="E2580" t="s">
        <v>39</v>
      </c>
      <c r="F2580" t="s">
        <v>124</v>
      </c>
      <c r="G2580" t="s">
        <v>57</v>
      </c>
      <c r="H2580" t="s">
        <v>104</v>
      </c>
      <c r="I2580" t="s">
        <v>105</v>
      </c>
      <c r="J2580">
        <v>1</v>
      </c>
      <c r="K2580">
        <v>7500</v>
      </c>
      <c r="L2580">
        <v>0.05</v>
      </c>
      <c r="M2580">
        <v>7125</v>
      </c>
      <c r="N2580">
        <v>5200</v>
      </c>
      <c r="O2580">
        <v>1925</v>
      </c>
    </row>
    <row r="2581" spans="1:15" x14ac:dyDescent="0.25">
      <c r="A2581" t="s">
        <v>3646</v>
      </c>
      <c r="B2581" s="2">
        <v>48237</v>
      </c>
      <c r="C2581" t="s">
        <v>2015</v>
      </c>
      <c r="D2581" t="s">
        <v>2016</v>
      </c>
      <c r="E2581" t="s">
        <v>18</v>
      </c>
      <c r="F2581" t="s">
        <v>115</v>
      </c>
      <c r="G2581" t="s">
        <v>57</v>
      </c>
      <c r="H2581" t="s">
        <v>58</v>
      </c>
      <c r="I2581" t="s">
        <v>129</v>
      </c>
      <c r="J2581">
        <v>1</v>
      </c>
      <c r="K2581">
        <v>4800</v>
      </c>
      <c r="L2581">
        <v>0.1</v>
      </c>
      <c r="M2581">
        <v>4320</v>
      </c>
      <c r="N2581">
        <v>3300</v>
      </c>
      <c r="O2581">
        <v>1020</v>
      </c>
    </row>
    <row r="2582" spans="1:15" x14ac:dyDescent="0.25">
      <c r="A2582" t="s">
        <v>3647</v>
      </c>
      <c r="B2582" s="2">
        <v>48238</v>
      </c>
      <c r="C2582" t="s">
        <v>763</v>
      </c>
      <c r="D2582" t="s">
        <v>764</v>
      </c>
      <c r="E2582" t="s">
        <v>26</v>
      </c>
      <c r="F2582" t="s">
        <v>128</v>
      </c>
      <c r="G2582" t="s">
        <v>20</v>
      </c>
      <c r="H2582" t="s">
        <v>41</v>
      </c>
      <c r="I2582" t="s">
        <v>42</v>
      </c>
      <c r="J2582">
        <v>5</v>
      </c>
      <c r="K2582">
        <v>520</v>
      </c>
      <c r="L2582">
        <v>0</v>
      </c>
      <c r="M2582">
        <v>2600</v>
      </c>
      <c r="N2582">
        <v>1650</v>
      </c>
      <c r="O2582">
        <v>950</v>
      </c>
    </row>
    <row r="2583" spans="1:15" x14ac:dyDescent="0.25">
      <c r="A2583" t="s">
        <v>3648</v>
      </c>
      <c r="B2583" s="2">
        <v>48239</v>
      </c>
      <c r="C2583" t="s">
        <v>450</v>
      </c>
      <c r="D2583" t="s">
        <v>451</v>
      </c>
      <c r="E2583" t="s">
        <v>26</v>
      </c>
      <c r="F2583" t="s">
        <v>34</v>
      </c>
      <c r="G2583" t="s">
        <v>51</v>
      </c>
      <c r="H2583" t="s">
        <v>89</v>
      </c>
      <c r="I2583" t="s">
        <v>90</v>
      </c>
      <c r="J2583">
        <v>5</v>
      </c>
      <c r="K2583">
        <v>10500</v>
      </c>
      <c r="L2583">
        <v>0.1</v>
      </c>
      <c r="M2583">
        <v>47250</v>
      </c>
      <c r="N2583">
        <v>38000</v>
      </c>
      <c r="O2583">
        <v>9250</v>
      </c>
    </row>
    <row r="2584" spans="1:15" x14ac:dyDescent="0.25">
      <c r="A2584" t="s">
        <v>3649</v>
      </c>
      <c r="B2584" s="2">
        <v>48240</v>
      </c>
      <c r="C2584" t="s">
        <v>2084</v>
      </c>
      <c r="D2584" t="s">
        <v>2085</v>
      </c>
      <c r="E2584" t="s">
        <v>96</v>
      </c>
      <c r="F2584" t="s">
        <v>97</v>
      </c>
      <c r="G2584" t="s">
        <v>28</v>
      </c>
      <c r="H2584" t="s">
        <v>29</v>
      </c>
      <c r="I2584" t="s">
        <v>47</v>
      </c>
      <c r="J2584">
        <v>5</v>
      </c>
      <c r="K2584">
        <v>6800</v>
      </c>
      <c r="L2584">
        <v>0.1</v>
      </c>
      <c r="M2584">
        <v>30600</v>
      </c>
      <c r="N2584">
        <v>23500</v>
      </c>
      <c r="O2584">
        <v>7100</v>
      </c>
    </row>
    <row r="2585" spans="1:15" x14ac:dyDescent="0.25">
      <c r="A2585" t="s">
        <v>3650</v>
      </c>
      <c r="B2585" s="2">
        <v>48241</v>
      </c>
      <c r="C2585" t="s">
        <v>532</v>
      </c>
      <c r="D2585" t="s">
        <v>533</v>
      </c>
      <c r="E2585" t="s">
        <v>96</v>
      </c>
      <c r="F2585" t="s">
        <v>196</v>
      </c>
      <c r="G2585" t="s">
        <v>28</v>
      </c>
      <c r="H2585" t="s">
        <v>29</v>
      </c>
      <c r="I2585" t="s">
        <v>30</v>
      </c>
      <c r="J2585">
        <v>1</v>
      </c>
      <c r="K2585">
        <v>1900</v>
      </c>
      <c r="L2585">
        <v>0.25</v>
      </c>
      <c r="M2585">
        <v>1425</v>
      </c>
      <c r="N2585">
        <v>1250</v>
      </c>
      <c r="O2585">
        <v>175</v>
      </c>
    </row>
    <row r="2586" spans="1:15" x14ac:dyDescent="0.25">
      <c r="A2586" t="s">
        <v>3651</v>
      </c>
      <c r="B2586" s="2">
        <v>48242</v>
      </c>
      <c r="C2586" t="s">
        <v>423</v>
      </c>
      <c r="D2586" t="s">
        <v>424</v>
      </c>
      <c r="E2586" t="s">
        <v>26</v>
      </c>
      <c r="F2586" t="s">
        <v>34</v>
      </c>
      <c r="G2586" t="s">
        <v>51</v>
      </c>
      <c r="H2586" t="s">
        <v>21</v>
      </c>
      <c r="I2586" t="s">
        <v>72</v>
      </c>
      <c r="J2586">
        <v>4</v>
      </c>
      <c r="K2586">
        <v>1800</v>
      </c>
      <c r="L2586">
        <v>0.2</v>
      </c>
      <c r="M2586">
        <v>5760</v>
      </c>
      <c r="N2586">
        <v>4400</v>
      </c>
      <c r="O2586">
        <v>1360</v>
      </c>
    </row>
    <row r="2587" spans="1:15" x14ac:dyDescent="0.25">
      <c r="A2587" t="s">
        <v>3652</v>
      </c>
      <c r="B2587" s="2">
        <v>48243</v>
      </c>
      <c r="C2587" t="s">
        <v>603</v>
      </c>
      <c r="D2587" t="s">
        <v>604</v>
      </c>
      <c r="E2587" t="s">
        <v>18</v>
      </c>
      <c r="F2587" t="s">
        <v>115</v>
      </c>
      <c r="G2587" t="s">
        <v>57</v>
      </c>
      <c r="H2587" t="s">
        <v>104</v>
      </c>
      <c r="I2587" t="s">
        <v>105</v>
      </c>
      <c r="J2587">
        <v>3</v>
      </c>
      <c r="K2587">
        <v>7500</v>
      </c>
      <c r="L2587">
        <v>0.25</v>
      </c>
      <c r="M2587">
        <v>16875</v>
      </c>
      <c r="N2587">
        <v>15600</v>
      </c>
      <c r="O2587">
        <v>1275</v>
      </c>
    </row>
    <row r="2588" spans="1:15" x14ac:dyDescent="0.25">
      <c r="A2588" t="s">
        <v>3653</v>
      </c>
      <c r="B2588" s="2">
        <v>48244</v>
      </c>
      <c r="C2588" t="s">
        <v>1287</v>
      </c>
      <c r="D2588" t="s">
        <v>1288</v>
      </c>
      <c r="E2588" t="s">
        <v>26</v>
      </c>
      <c r="F2588" t="s">
        <v>27</v>
      </c>
      <c r="G2588" t="s">
        <v>51</v>
      </c>
      <c r="H2588" t="s">
        <v>52</v>
      </c>
      <c r="I2588" t="s">
        <v>208</v>
      </c>
      <c r="J2588">
        <v>3</v>
      </c>
      <c r="K2588">
        <v>2800</v>
      </c>
      <c r="L2588">
        <v>0.1</v>
      </c>
      <c r="M2588">
        <v>7560</v>
      </c>
      <c r="N2588">
        <v>5400</v>
      </c>
      <c r="O2588">
        <v>2160</v>
      </c>
    </row>
    <row r="2589" spans="1:15" x14ac:dyDescent="0.25">
      <c r="A2589" t="s">
        <v>3654</v>
      </c>
      <c r="B2589" s="2">
        <v>48245</v>
      </c>
      <c r="C2589" t="s">
        <v>868</v>
      </c>
      <c r="D2589" t="s">
        <v>869</v>
      </c>
      <c r="E2589" t="s">
        <v>18</v>
      </c>
      <c r="F2589" t="s">
        <v>115</v>
      </c>
      <c r="G2589" t="s">
        <v>51</v>
      </c>
      <c r="H2589" t="s">
        <v>52</v>
      </c>
      <c r="I2589" t="s">
        <v>208</v>
      </c>
      <c r="J2589">
        <v>4</v>
      </c>
      <c r="K2589">
        <v>2800</v>
      </c>
      <c r="L2589">
        <v>0.1</v>
      </c>
      <c r="M2589">
        <v>10080</v>
      </c>
      <c r="N2589">
        <v>7200</v>
      </c>
      <c r="O2589">
        <v>2880</v>
      </c>
    </row>
    <row r="2590" spans="1:15" x14ac:dyDescent="0.25">
      <c r="A2590" t="s">
        <v>3655</v>
      </c>
      <c r="B2590" s="2">
        <v>48246</v>
      </c>
      <c r="C2590" t="s">
        <v>585</v>
      </c>
      <c r="D2590" t="s">
        <v>586</v>
      </c>
      <c r="E2590" t="s">
        <v>96</v>
      </c>
      <c r="F2590" t="s">
        <v>120</v>
      </c>
      <c r="G2590" t="s">
        <v>51</v>
      </c>
      <c r="H2590" t="s">
        <v>21</v>
      </c>
      <c r="I2590" t="s">
        <v>72</v>
      </c>
      <c r="J2590">
        <v>2</v>
      </c>
      <c r="K2590">
        <v>1800</v>
      </c>
      <c r="L2590">
        <v>0</v>
      </c>
      <c r="M2590">
        <v>3600</v>
      </c>
      <c r="N2590">
        <v>2200</v>
      </c>
      <c r="O2590">
        <v>1400</v>
      </c>
    </row>
    <row r="2591" spans="1:15" x14ac:dyDescent="0.25">
      <c r="A2591" t="s">
        <v>3656</v>
      </c>
      <c r="B2591" s="2">
        <v>48247</v>
      </c>
      <c r="C2591" t="s">
        <v>143</v>
      </c>
      <c r="D2591" t="s">
        <v>144</v>
      </c>
      <c r="E2591" t="s">
        <v>18</v>
      </c>
      <c r="F2591" t="s">
        <v>227</v>
      </c>
      <c r="G2591" t="s">
        <v>57</v>
      </c>
      <c r="H2591" t="s">
        <v>58</v>
      </c>
      <c r="I2591" t="s">
        <v>129</v>
      </c>
      <c r="J2591">
        <v>1</v>
      </c>
      <c r="K2591">
        <v>4800</v>
      </c>
      <c r="L2591">
        <v>0.15</v>
      </c>
      <c r="M2591">
        <v>4080</v>
      </c>
      <c r="N2591">
        <v>3300</v>
      </c>
      <c r="O2591">
        <v>780</v>
      </c>
    </row>
    <row r="2592" spans="1:15" x14ac:dyDescent="0.25">
      <c r="A2592" t="s">
        <v>3657</v>
      </c>
      <c r="B2592" s="2">
        <v>48248</v>
      </c>
      <c r="C2592" t="s">
        <v>1831</v>
      </c>
      <c r="D2592" t="s">
        <v>1832</v>
      </c>
      <c r="E2592" t="s">
        <v>26</v>
      </c>
      <c r="F2592" t="s">
        <v>34</v>
      </c>
      <c r="G2592" t="s">
        <v>51</v>
      </c>
      <c r="H2592" t="s">
        <v>89</v>
      </c>
      <c r="I2592" t="s">
        <v>90</v>
      </c>
      <c r="J2592">
        <v>1</v>
      </c>
      <c r="K2592">
        <v>10500</v>
      </c>
      <c r="L2592">
        <v>0.05</v>
      </c>
      <c r="M2592">
        <v>9975</v>
      </c>
      <c r="N2592">
        <v>7600</v>
      </c>
      <c r="O2592">
        <v>2375</v>
      </c>
    </row>
    <row r="2593" spans="1:15" x14ac:dyDescent="0.25">
      <c r="A2593" t="s">
        <v>3658</v>
      </c>
      <c r="B2593" s="2">
        <v>48249</v>
      </c>
      <c r="C2593" t="s">
        <v>2618</v>
      </c>
      <c r="D2593" t="s">
        <v>2619</v>
      </c>
      <c r="E2593" t="s">
        <v>26</v>
      </c>
      <c r="F2593" t="s">
        <v>128</v>
      </c>
      <c r="G2593" t="s">
        <v>20</v>
      </c>
      <c r="H2593" t="s">
        <v>84</v>
      </c>
      <c r="I2593" t="s">
        <v>85</v>
      </c>
      <c r="J2593">
        <v>5</v>
      </c>
      <c r="K2593">
        <v>280</v>
      </c>
      <c r="L2593">
        <v>0.1</v>
      </c>
      <c r="M2593">
        <v>1260</v>
      </c>
      <c r="N2593">
        <v>800</v>
      </c>
      <c r="O2593">
        <v>460</v>
      </c>
    </row>
    <row r="2594" spans="1:15" x14ac:dyDescent="0.25">
      <c r="A2594" t="s">
        <v>3659</v>
      </c>
      <c r="B2594" s="2">
        <v>48250</v>
      </c>
      <c r="C2594" t="s">
        <v>954</v>
      </c>
      <c r="D2594" t="s">
        <v>955</v>
      </c>
      <c r="E2594" t="s">
        <v>39</v>
      </c>
      <c r="F2594" t="s">
        <v>76</v>
      </c>
      <c r="G2594" t="s">
        <v>20</v>
      </c>
      <c r="H2594" t="s">
        <v>41</v>
      </c>
      <c r="I2594" t="s">
        <v>42</v>
      </c>
      <c r="J2594">
        <v>3</v>
      </c>
      <c r="K2594">
        <v>520</v>
      </c>
      <c r="L2594">
        <v>0</v>
      </c>
      <c r="M2594">
        <v>1560</v>
      </c>
      <c r="N2594">
        <v>990</v>
      </c>
      <c r="O2594">
        <v>570</v>
      </c>
    </row>
    <row r="2595" spans="1:15" x14ac:dyDescent="0.25">
      <c r="A2595" t="s">
        <v>3660</v>
      </c>
      <c r="B2595" s="2">
        <v>48251</v>
      </c>
      <c r="C2595" t="s">
        <v>393</v>
      </c>
      <c r="D2595" t="s">
        <v>394</v>
      </c>
      <c r="E2595" t="s">
        <v>39</v>
      </c>
      <c r="F2595" t="s">
        <v>124</v>
      </c>
      <c r="G2595" t="s">
        <v>28</v>
      </c>
      <c r="H2595" t="s">
        <v>63</v>
      </c>
      <c r="I2595" t="s">
        <v>64</v>
      </c>
      <c r="J2595">
        <v>2</v>
      </c>
      <c r="K2595">
        <v>2400</v>
      </c>
      <c r="L2595">
        <v>0.05</v>
      </c>
      <c r="M2595">
        <v>4560</v>
      </c>
      <c r="N2595">
        <v>3300</v>
      </c>
      <c r="O2595">
        <v>1260</v>
      </c>
    </row>
    <row r="2596" spans="1:15" x14ac:dyDescent="0.25">
      <c r="A2596" t="s">
        <v>3661</v>
      </c>
      <c r="B2596" s="2">
        <v>48252</v>
      </c>
      <c r="C2596" t="s">
        <v>1541</v>
      </c>
      <c r="D2596" t="s">
        <v>1542</v>
      </c>
      <c r="E2596" t="s">
        <v>18</v>
      </c>
      <c r="F2596" t="s">
        <v>115</v>
      </c>
      <c r="G2596" t="s">
        <v>20</v>
      </c>
      <c r="H2596" t="s">
        <v>41</v>
      </c>
      <c r="I2596" t="s">
        <v>42</v>
      </c>
      <c r="J2596">
        <v>3</v>
      </c>
      <c r="K2596">
        <v>520</v>
      </c>
      <c r="L2596">
        <v>0.15</v>
      </c>
      <c r="M2596">
        <v>1326</v>
      </c>
      <c r="N2596">
        <v>990</v>
      </c>
      <c r="O2596">
        <v>336</v>
      </c>
    </row>
    <row r="2597" spans="1:15" x14ac:dyDescent="0.25">
      <c r="A2597" t="s">
        <v>3662</v>
      </c>
      <c r="B2597" s="2">
        <v>48253</v>
      </c>
      <c r="C2597" t="s">
        <v>708</v>
      </c>
      <c r="D2597" t="s">
        <v>709</v>
      </c>
      <c r="E2597" t="s">
        <v>39</v>
      </c>
      <c r="F2597" t="s">
        <v>76</v>
      </c>
      <c r="G2597" t="s">
        <v>57</v>
      </c>
      <c r="H2597" t="s">
        <v>58</v>
      </c>
      <c r="I2597" t="s">
        <v>59</v>
      </c>
      <c r="J2597">
        <v>5</v>
      </c>
      <c r="K2597">
        <v>5600</v>
      </c>
      <c r="L2597">
        <v>0.05</v>
      </c>
      <c r="M2597">
        <v>26600</v>
      </c>
      <c r="N2597">
        <v>19500</v>
      </c>
      <c r="O2597">
        <v>7100</v>
      </c>
    </row>
    <row r="2598" spans="1:15" x14ac:dyDescent="0.25">
      <c r="A2598" t="s">
        <v>3663</v>
      </c>
      <c r="B2598" s="2">
        <v>48254</v>
      </c>
      <c r="C2598" t="s">
        <v>2687</v>
      </c>
      <c r="D2598" t="s">
        <v>2688</v>
      </c>
      <c r="E2598" t="s">
        <v>18</v>
      </c>
      <c r="F2598" t="s">
        <v>115</v>
      </c>
      <c r="G2598" t="s">
        <v>51</v>
      </c>
      <c r="H2598" t="s">
        <v>52</v>
      </c>
      <c r="I2598" t="s">
        <v>53</v>
      </c>
      <c r="J2598">
        <v>2</v>
      </c>
      <c r="K2598">
        <v>2200</v>
      </c>
      <c r="L2598">
        <v>0.05</v>
      </c>
      <c r="M2598">
        <v>4180</v>
      </c>
      <c r="N2598">
        <v>2900</v>
      </c>
      <c r="O2598">
        <v>1280</v>
      </c>
    </row>
    <row r="2599" spans="1:15" x14ac:dyDescent="0.25">
      <c r="A2599" t="s">
        <v>3664</v>
      </c>
      <c r="B2599" s="2">
        <v>48255</v>
      </c>
      <c r="C2599" t="s">
        <v>796</v>
      </c>
      <c r="D2599" t="s">
        <v>797</v>
      </c>
      <c r="E2599" t="s">
        <v>96</v>
      </c>
      <c r="F2599" t="s">
        <v>200</v>
      </c>
      <c r="G2599" t="s">
        <v>20</v>
      </c>
      <c r="H2599" t="s">
        <v>41</v>
      </c>
      <c r="I2599" t="s">
        <v>42</v>
      </c>
      <c r="J2599">
        <v>5</v>
      </c>
      <c r="K2599">
        <v>520</v>
      </c>
      <c r="L2599">
        <v>0</v>
      </c>
      <c r="M2599">
        <v>2600</v>
      </c>
      <c r="N2599">
        <v>1650</v>
      </c>
      <c r="O2599">
        <v>950</v>
      </c>
    </row>
    <row r="2600" spans="1:15" x14ac:dyDescent="0.25">
      <c r="A2600" t="s">
        <v>3665</v>
      </c>
      <c r="B2600" s="2">
        <v>48256</v>
      </c>
      <c r="C2600" t="s">
        <v>1012</v>
      </c>
      <c r="D2600" t="s">
        <v>1013</v>
      </c>
      <c r="E2600" t="s">
        <v>39</v>
      </c>
      <c r="F2600" t="s">
        <v>71</v>
      </c>
      <c r="G2600" t="s">
        <v>51</v>
      </c>
      <c r="H2600" t="s">
        <v>89</v>
      </c>
      <c r="I2600" t="s">
        <v>90</v>
      </c>
      <c r="J2600">
        <v>5</v>
      </c>
      <c r="K2600">
        <v>10500</v>
      </c>
      <c r="L2600">
        <v>0.2</v>
      </c>
      <c r="M2600">
        <v>42000</v>
      </c>
      <c r="N2600">
        <v>38000</v>
      </c>
      <c r="O2600">
        <v>4000</v>
      </c>
    </row>
    <row r="2601" spans="1:15" x14ac:dyDescent="0.25">
      <c r="A2601" t="s">
        <v>3666</v>
      </c>
      <c r="B2601" s="2">
        <v>48257</v>
      </c>
      <c r="C2601" t="s">
        <v>1581</v>
      </c>
      <c r="D2601" t="s">
        <v>1582</v>
      </c>
      <c r="E2601" t="s">
        <v>18</v>
      </c>
      <c r="F2601" t="s">
        <v>115</v>
      </c>
      <c r="G2601" t="s">
        <v>20</v>
      </c>
      <c r="H2601" t="s">
        <v>21</v>
      </c>
      <c r="I2601" t="s">
        <v>22</v>
      </c>
      <c r="J2601">
        <v>3</v>
      </c>
      <c r="K2601">
        <v>650</v>
      </c>
      <c r="L2601">
        <v>0.1</v>
      </c>
      <c r="M2601">
        <v>1755</v>
      </c>
      <c r="N2601">
        <v>1170</v>
      </c>
      <c r="O2601">
        <v>585</v>
      </c>
    </row>
    <row r="2602" spans="1:15" x14ac:dyDescent="0.25">
      <c r="A2602" t="s">
        <v>3667</v>
      </c>
      <c r="B2602" s="2">
        <v>48258</v>
      </c>
      <c r="C2602" t="s">
        <v>881</v>
      </c>
      <c r="D2602" t="s">
        <v>882</v>
      </c>
      <c r="E2602" t="s">
        <v>26</v>
      </c>
      <c r="F2602" t="s">
        <v>34</v>
      </c>
      <c r="G2602" t="s">
        <v>51</v>
      </c>
      <c r="H2602" t="s">
        <v>52</v>
      </c>
      <c r="I2602" t="s">
        <v>208</v>
      </c>
      <c r="J2602">
        <v>3</v>
      </c>
      <c r="K2602">
        <v>2800</v>
      </c>
      <c r="L2602">
        <v>0.1</v>
      </c>
      <c r="M2602">
        <v>7560</v>
      </c>
      <c r="N2602">
        <v>5400</v>
      </c>
      <c r="O2602">
        <v>2160</v>
      </c>
    </row>
    <row r="2603" spans="1:15" x14ac:dyDescent="0.25">
      <c r="A2603" t="s">
        <v>3668</v>
      </c>
      <c r="B2603" s="2">
        <v>48259</v>
      </c>
      <c r="C2603" t="s">
        <v>994</v>
      </c>
      <c r="D2603" t="s">
        <v>995</v>
      </c>
      <c r="E2603" t="s">
        <v>18</v>
      </c>
      <c r="F2603" t="s">
        <v>94</v>
      </c>
      <c r="G2603" t="s">
        <v>51</v>
      </c>
      <c r="H2603" t="s">
        <v>21</v>
      </c>
      <c r="I2603" t="s">
        <v>72</v>
      </c>
      <c r="J2603">
        <v>4</v>
      </c>
      <c r="K2603">
        <v>1800</v>
      </c>
      <c r="L2603">
        <v>0.15</v>
      </c>
      <c r="M2603">
        <v>6120</v>
      </c>
      <c r="N2603">
        <v>4400</v>
      </c>
      <c r="O2603">
        <v>1720</v>
      </c>
    </row>
    <row r="2604" spans="1:15" x14ac:dyDescent="0.25">
      <c r="A2604" t="s">
        <v>3669</v>
      </c>
      <c r="B2604" s="2">
        <v>48260</v>
      </c>
      <c r="C2604" t="s">
        <v>1111</v>
      </c>
      <c r="D2604" t="s">
        <v>1112</v>
      </c>
      <c r="E2604" t="s">
        <v>26</v>
      </c>
      <c r="F2604" t="s">
        <v>204</v>
      </c>
      <c r="G2604" t="s">
        <v>51</v>
      </c>
      <c r="H2604" t="s">
        <v>89</v>
      </c>
      <c r="I2604" t="s">
        <v>90</v>
      </c>
      <c r="J2604">
        <v>4</v>
      </c>
      <c r="K2604">
        <v>10500</v>
      </c>
      <c r="L2604">
        <v>0.1</v>
      </c>
      <c r="M2604">
        <v>37800</v>
      </c>
      <c r="N2604">
        <v>30400</v>
      </c>
      <c r="O2604">
        <v>7400</v>
      </c>
    </row>
    <row r="2605" spans="1:15" x14ac:dyDescent="0.25">
      <c r="A2605" t="s">
        <v>3670</v>
      </c>
      <c r="B2605" s="2">
        <v>48261</v>
      </c>
      <c r="C2605" t="s">
        <v>268</v>
      </c>
      <c r="D2605" t="s">
        <v>269</v>
      </c>
      <c r="E2605" t="s">
        <v>39</v>
      </c>
      <c r="F2605" t="s">
        <v>71</v>
      </c>
      <c r="G2605" t="s">
        <v>28</v>
      </c>
      <c r="H2605" t="s">
        <v>29</v>
      </c>
      <c r="I2605" t="s">
        <v>35</v>
      </c>
      <c r="J2605">
        <v>5</v>
      </c>
      <c r="K2605">
        <v>4200</v>
      </c>
      <c r="L2605">
        <v>0</v>
      </c>
      <c r="M2605">
        <v>21000</v>
      </c>
      <c r="N2605">
        <v>14500</v>
      </c>
      <c r="O2605">
        <v>6500</v>
      </c>
    </row>
    <row r="2606" spans="1:15" x14ac:dyDescent="0.25">
      <c r="A2606" t="s">
        <v>3671</v>
      </c>
      <c r="B2606" s="2">
        <v>48262</v>
      </c>
      <c r="C2606" t="s">
        <v>456</v>
      </c>
      <c r="D2606" t="s">
        <v>457</v>
      </c>
      <c r="E2606" t="s">
        <v>96</v>
      </c>
      <c r="F2606" t="s">
        <v>120</v>
      </c>
      <c r="G2606" t="s">
        <v>20</v>
      </c>
      <c r="H2606" t="s">
        <v>41</v>
      </c>
      <c r="I2606" t="s">
        <v>42</v>
      </c>
      <c r="J2606">
        <v>3</v>
      </c>
      <c r="K2606">
        <v>520</v>
      </c>
      <c r="L2606">
        <v>0.1</v>
      </c>
      <c r="M2606">
        <v>1404</v>
      </c>
      <c r="N2606">
        <v>990</v>
      </c>
      <c r="O2606">
        <v>414</v>
      </c>
    </row>
    <row r="2607" spans="1:15" x14ac:dyDescent="0.25">
      <c r="A2607" t="s">
        <v>3672</v>
      </c>
      <c r="B2607" s="2">
        <v>48263</v>
      </c>
      <c r="C2607" t="s">
        <v>1201</v>
      </c>
      <c r="D2607" t="s">
        <v>1202</v>
      </c>
      <c r="E2607" t="s">
        <v>96</v>
      </c>
      <c r="F2607" t="s">
        <v>196</v>
      </c>
      <c r="G2607" t="s">
        <v>51</v>
      </c>
      <c r="H2607" t="s">
        <v>52</v>
      </c>
      <c r="I2607" t="s">
        <v>53</v>
      </c>
      <c r="J2607">
        <v>1</v>
      </c>
      <c r="K2607">
        <v>2200</v>
      </c>
      <c r="L2607">
        <v>0</v>
      </c>
      <c r="M2607">
        <v>2200</v>
      </c>
      <c r="N2607">
        <v>1450</v>
      </c>
      <c r="O2607">
        <v>750</v>
      </c>
    </row>
    <row r="2608" spans="1:15" x14ac:dyDescent="0.25">
      <c r="A2608" t="s">
        <v>3673</v>
      </c>
      <c r="B2608" s="2">
        <v>48264</v>
      </c>
      <c r="C2608" t="s">
        <v>938</v>
      </c>
      <c r="D2608" t="s">
        <v>939</v>
      </c>
      <c r="E2608" t="s">
        <v>26</v>
      </c>
      <c r="F2608" t="s">
        <v>46</v>
      </c>
      <c r="G2608" t="s">
        <v>20</v>
      </c>
      <c r="H2608" t="s">
        <v>84</v>
      </c>
      <c r="I2608" t="s">
        <v>210</v>
      </c>
      <c r="J2608">
        <v>2</v>
      </c>
      <c r="K2608">
        <v>300</v>
      </c>
      <c r="L2608">
        <v>0</v>
      </c>
      <c r="M2608">
        <v>600</v>
      </c>
      <c r="N2608">
        <v>340</v>
      </c>
      <c r="O2608">
        <v>260</v>
      </c>
    </row>
    <row r="2609" spans="1:15" x14ac:dyDescent="0.25">
      <c r="A2609" t="s">
        <v>3674</v>
      </c>
      <c r="B2609" s="2">
        <v>48265</v>
      </c>
      <c r="C2609" t="s">
        <v>1486</v>
      </c>
      <c r="D2609" t="s">
        <v>1487</v>
      </c>
      <c r="E2609" t="s">
        <v>18</v>
      </c>
      <c r="F2609" t="s">
        <v>94</v>
      </c>
      <c r="G2609" t="s">
        <v>28</v>
      </c>
      <c r="H2609" t="s">
        <v>29</v>
      </c>
      <c r="I2609" t="s">
        <v>30</v>
      </c>
      <c r="J2609">
        <v>4</v>
      </c>
      <c r="K2609">
        <v>1900</v>
      </c>
      <c r="L2609">
        <v>0.25</v>
      </c>
      <c r="M2609">
        <v>5700</v>
      </c>
      <c r="N2609">
        <v>5000</v>
      </c>
      <c r="O2609">
        <v>700</v>
      </c>
    </row>
    <row r="2610" spans="1:15" x14ac:dyDescent="0.25">
      <c r="A2610" t="s">
        <v>3675</v>
      </c>
      <c r="B2610" s="2">
        <v>48266</v>
      </c>
      <c r="C2610" t="s">
        <v>3080</v>
      </c>
      <c r="D2610" t="s">
        <v>3081</v>
      </c>
      <c r="E2610" t="s">
        <v>39</v>
      </c>
      <c r="F2610" t="s">
        <v>124</v>
      </c>
      <c r="G2610" t="s">
        <v>51</v>
      </c>
      <c r="H2610" t="s">
        <v>52</v>
      </c>
      <c r="I2610" t="s">
        <v>208</v>
      </c>
      <c r="J2610">
        <v>3</v>
      </c>
      <c r="K2610">
        <v>2800</v>
      </c>
      <c r="L2610">
        <v>0.15</v>
      </c>
      <c r="M2610">
        <v>7140</v>
      </c>
      <c r="N2610">
        <v>5400</v>
      </c>
      <c r="O2610">
        <v>1740</v>
      </c>
    </row>
    <row r="2611" spans="1:15" x14ac:dyDescent="0.25">
      <c r="A2611" t="s">
        <v>3676</v>
      </c>
      <c r="B2611" s="2">
        <v>48267</v>
      </c>
      <c r="C2611" t="s">
        <v>1750</v>
      </c>
      <c r="D2611" t="s">
        <v>1751</v>
      </c>
      <c r="E2611" t="s">
        <v>39</v>
      </c>
      <c r="F2611" t="s">
        <v>76</v>
      </c>
      <c r="G2611" t="s">
        <v>20</v>
      </c>
      <c r="H2611" t="s">
        <v>41</v>
      </c>
      <c r="I2611" t="s">
        <v>42</v>
      </c>
      <c r="J2611">
        <v>5</v>
      </c>
      <c r="K2611">
        <v>520</v>
      </c>
      <c r="L2611">
        <v>0.15</v>
      </c>
      <c r="M2611">
        <v>2210</v>
      </c>
      <c r="N2611">
        <v>1650</v>
      </c>
      <c r="O2611">
        <v>560</v>
      </c>
    </row>
    <row r="2612" spans="1:15" x14ac:dyDescent="0.25">
      <c r="A2612" t="s">
        <v>3677</v>
      </c>
      <c r="B2612" s="2">
        <v>48268</v>
      </c>
      <c r="C2612" t="s">
        <v>1786</v>
      </c>
      <c r="D2612" t="s">
        <v>1787</v>
      </c>
      <c r="E2612" t="s">
        <v>39</v>
      </c>
      <c r="F2612" t="s">
        <v>71</v>
      </c>
      <c r="G2612" t="s">
        <v>57</v>
      </c>
      <c r="H2612" t="s">
        <v>58</v>
      </c>
      <c r="I2612" t="s">
        <v>129</v>
      </c>
      <c r="J2612">
        <v>2</v>
      </c>
      <c r="K2612">
        <v>4800</v>
      </c>
      <c r="L2612">
        <v>0.25</v>
      </c>
      <c r="M2612">
        <v>7200</v>
      </c>
      <c r="N2612">
        <v>6600</v>
      </c>
      <c r="O2612">
        <v>600</v>
      </c>
    </row>
    <row r="2613" spans="1:15" x14ac:dyDescent="0.25">
      <c r="A2613" t="s">
        <v>3678</v>
      </c>
      <c r="B2613" s="2">
        <v>48269</v>
      </c>
      <c r="C2613" t="s">
        <v>784</v>
      </c>
      <c r="D2613" t="s">
        <v>785</v>
      </c>
      <c r="E2613" t="s">
        <v>26</v>
      </c>
      <c r="F2613" t="s">
        <v>128</v>
      </c>
      <c r="G2613" t="s">
        <v>20</v>
      </c>
      <c r="H2613" t="s">
        <v>41</v>
      </c>
      <c r="I2613" t="s">
        <v>42</v>
      </c>
      <c r="J2613">
        <v>5</v>
      </c>
      <c r="K2613">
        <v>520</v>
      </c>
      <c r="L2613">
        <v>0</v>
      </c>
      <c r="M2613">
        <v>2600</v>
      </c>
      <c r="N2613">
        <v>1650</v>
      </c>
      <c r="O2613">
        <v>950</v>
      </c>
    </row>
    <row r="2614" spans="1:15" x14ac:dyDescent="0.25">
      <c r="A2614" t="s">
        <v>3679</v>
      </c>
      <c r="B2614" s="2">
        <v>48270</v>
      </c>
      <c r="C2614" t="s">
        <v>1308</v>
      </c>
      <c r="D2614" t="s">
        <v>1309</v>
      </c>
      <c r="E2614" t="s">
        <v>26</v>
      </c>
      <c r="F2614" t="s">
        <v>128</v>
      </c>
      <c r="G2614" t="s">
        <v>20</v>
      </c>
      <c r="H2614" t="s">
        <v>84</v>
      </c>
      <c r="I2614" t="s">
        <v>85</v>
      </c>
      <c r="J2614">
        <v>1</v>
      </c>
      <c r="K2614">
        <v>280</v>
      </c>
      <c r="L2614">
        <v>0.1</v>
      </c>
      <c r="M2614">
        <v>252</v>
      </c>
      <c r="N2614">
        <v>160</v>
      </c>
      <c r="O2614">
        <v>92</v>
      </c>
    </row>
    <row r="2615" spans="1:15" x14ac:dyDescent="0.25">
      <c r="A2615" t="s">
        <v>3680</v>
      </c>
      <c r="B2615" s="2">
        <v>48271</v>
      </c>
      <c r="C2615" t="s">
        <v>164</v>
      </c>
      <c r="D2615" t="s">
        <v>165</v>
      </c>
      <c r="E2615" t="s">
        <v>26</v>
      </c>
      <c r="F2615" t="s">
        <v>27</v>
      </c>
      <c r="G2615" t="s">
        <v>20</v>
      </c>
      <c r="H2615" t="s">
        <v>84</v>
      </c>
      <c r="I2615" t="s">
        <v>85</v>
      </c>
      <c r="J2615">
        <v>4</v>
      </c>
      <c r="K2615">
        <v>280</v>
      </c>
      <c r="L2615">
        <v>0.15</v>
      </c>
      <c r="M2615">
        <v>952</v>
      </c>
      <c r="N2615">
        <v>640</v>
      </c>
      <c r="O2615">
        <v>312</v>
      </c>
    </row>
    <row r="2616" spans="1:15" x14ac:dyDescent="0.25">
      <c r="A2616" t="s">
        <v>3681</v>
      </c>
      <c r="B2616" s="2">
        <v>48272</v>
      </c>
      <c r="C2616" t="s">
        <v>2374</v>
      </c>
      <c r="D2616" t="s">
        <v>2375</v>
      </c>
      <c r="E2616" t="s">
        <v>96</v>
      </c>
      <c r="F2616" t="s">
        <v>120</v>
      </c>
      <c r="G2616" t="s">
        <v>51</v>
      </c>
      <c r="H2616" t="s">
        <v>21</v>
      </c>
      <c r="I2616" t="s">
        <v>80</v>
      </c>
      <c r="J2616">
        <v>1</v>
      </c>
      <c r="K2616">
        <v>850</v>
      </c>
      <c r="L2616">
        <v>0.05</v>
      </c>
      <c r="M2616">
        <v>807.5</v>
      </c>
      <c r="N2616">
        <v>560</v>
      </c>
      <c r="O2616">
        <v>247.5</v>
      </c>
    </row>
    <row r="2617" spans="1:15" x14ac:dyDescent="0.25">
      <c r="A2617" t="s">
        <v>3682</v>
      </c>
      <c r="B2617" s="2">
        <v>48273</v>
      </c>
      <c r="C2617" t="s">
        <v>929</v>
      </c>
      <c r="D2617" t="s">
        <v>930</v>
      </c>
      <c r="E2617" t="s">
        <v>26</v>
      </c>
      <c r="F2617" t="s">
        <v>128</v>
      </c>
      <c r="G2617" t="s">
        <v>51</v>
      </c>
      <c r="H2617" t="s">
        <v>52</v>
      </c>
      <c r="I2617" t="s">
        <v>53</v>
      </c>
      <c r="J2617">
        <v>4</v>
      </c>
      <c r="K2617">
        <v>2200</v>
      </c>
      <c r="L2617">
        <v>0.1</v>
      </c>
      <c r="M2617">
        <v>7920</v>
      </c>
      <c r="N2617">
        <v>5800</v>
      </c>
      <c r="O2617">
        <v>2120</v>
      </c>
    </row>
    <row r="2618" spans="1:15" x14ac:dyDescent="0.25">
      <c r="A2618" t="s">
        <v>3683</v>
      </c>
      <c r="B2618" s="2">
        <v>48274</v>
      </c>
      <c r="C2618" t="s">
        <v>456</v>
      </c>
      <c r="D2618" t="s">
        <v>457</v>
      </c>
      <c r="E2618" t="s">
        <v>39</v>
      </c>
      <c r="F2618" t="s">
        <v>71</v>
      </c>
      <c r="G2618" t="s">
        <v>28</v>
      </c>
      <c r="H2618" t="s">
        <v>29</v>
      </c>
      <c r="I2618" t="s">
        <v>30</v>
      </c>
      <c r="J2618">
        <v>1</v>
      </c>
      <c r="K2618">
        <v>1900</v>
      </c>
      <c r="L2618">
        <v>0</v>
      </c>
      <c r="M2618">
        <v>1900</v>
      </c>
      <c r="N2618">
        <v>1250</v>
      </c>
      <c r="O2618">
        <v>650</v>
      </c>
    </row>
    <row r="2619" spans="1:15" x14ac:dyDescent="0.25">
      <c r="A2619" t="s">
        <v>3684</v>
      </c>
      <c r="B2619" s="2">
        <v>48275</v>
      </c>
      <c r="C2619" t="s">
        <v>669</v>
      </c>
      <c r="D2619" t="s">
        <v>670</v>
      </c>
      <c r="E2619" t="s">
        <v>96</v>
      </c>
      <c r="F2619" t="s">
        <v>200</v>
      </c>
      <c r="G2619" t="s">
        <v>20</v>
      </c>
      <c r="H2619" t="s">
        <v>41</v>
      </c>
      <c r="I2619" t="s">
        <v>42</v>
      </c>
      <c r="J2619">
        <v>1</v>
      </c>
      <c r="K2619">
        <v>520</v>
      </c>
      <c r="L2619">
        <v>0</v>
      </c>
      <c r="M2619">
        <v>520</v>
      </c>
      <c r="N2619">
        <v>330</v>
      </c>
      <c r="O2619">
        <v>190</v>
      </c>
    </row>
    <row r="2620" spans="1:15" x14ac:dyDescent="0.25">
      <c r="A2620" t="s">
        <v>3685</v>
      </c>
      <c r="B2620" s="2">
        <v>48276</v>
      </c>
      <c r="C2620" t="s">
        <v>1006</v>
      </c>
      <c r="D2620" t="s">
        <v>1007</v>
      </c>
      <c r="E2620" t="s">
        <v>26</v>
      </c>
      <c r="F2620" t="s">
        <v>128</v>
      </c>
      <c r="G2620" t="s">
        <v>51</v>
      </c>
      <c r="H2620" t="s">
        <v>21</v>
      </c>
      <c r="I2620" t="s">
        <v>116</v>
      </c>
      <c r="J2620">
        <v>1</v>
      </c>
      <c r="K2620">
        <v>1400</v>
      </c>
      <c r="L2620">
        <v>0.1</v>
      </c>
      <c r="M2620">
        <v>1260</v>
      </c>
      <c r="N2620">
        <v>900</v>
      </c>
      <c r="O2620">
        <v>360</v>
      </c>
    </row>
    <row r="2621" spans="1:15" x14ac:dyDescent="0.25">
      <c r="A2621" t="s">
        <v>3686</v>
      </c>
      <c r="B2621" s="2">
        <v>48277</v>
      </c>
      <c r="C2621" t="s">
        <v>593</v>
      </c>
      <c r="D2621" t="s">
        <v>594</v>
      </c>
      <c r="E2621" t="s">
        <v>39</v>
      </c>
      <c r="F2621" t="s">
        <v>71</v>
      </c>
      <c r="G2621" t="s">
        <v>57</v>
      </c>
      <c r="H2621" t="s">
        <v>104</v>
      </c>
      <c r="I2621" t="s">
        <v>105</v>
      </c>
      <c r="J2621">
        <v>2</v>
      </c>
      <c r="K2621">
        <v>7500</v>
      </c>
      <c r="L2621">
        <v>0.2</v>
      </c>
      <c r="M2621">
        <v>12000</v>
      </c>
      <c r="N2621">
        <v>10400</v>
      </c>
      <c r="O2621">
        <v>1600</v>
      </c>
    </row>
    <row r="2622" spans="1:15" x14ac:dyDescent="0.25">
      <c r="A2622" t="s">
        <v>3687</v>
      </c>
      <c r="B2622" s="2">
        <v>48278</v>
      </c>
      <c r="C2622" t="s">
        <v>1510</v>
      </c>
      <c r="D2622" t="s">
        <v>1511</v>
      </c>
      <c r="E2622" t="s">
        <v>39</v>
      </c>
      <c r="F2622" t="s">
        <v>71</v>
      </c>
      <c r="G2622" t="s">
        <v>51</v>
      </c>
      <c r="H2622" t="s">
        <v>21</v>
      </c>
      <c r="I2622" t="s">
        <v>72</v>
      </c>
      <c r="J2622">
        <v>1</v>
      </c>
      <c r="K2622">
        <v>1800</v>
      </c>
      <c r="L2622">
        <v>0.05</v>
      </c>
      <c r="M2622">
        <v>1710</v>
      </c>
      <c r="N2622">
        <v>1100</v>
      </c>
      <c r="O2622">
        <v>610</v>
      </c>
    </row>
    <row r="2623" spans="1:15" x14ac:dyDescent="0.25">
      <c r="A2623" t="s">
        <v>3688</v>
      </c>
      <c r="B2623" s="2">
        <v>48279</v>
      </c>
      <c r="C2623" t="s">
        <v>366</v>
      </c>
      <c r="D2623" t="s">
        <v>367</v>
      </c>
      <c r="E2623" t="s">
        <v>26</v>
      </c>
      <c r="F2623" t="s">
        <v>128</v>
      </c>
      <c r="G2623" t="s">
        <v>51</v>
      </c>
      <c r="H2623" t="s">
        <v>52</v>
      </c>
      <c r="I2623" t="s">
        <v>53</v>
      </c>
      <c r="J2623">
        <v>5</v>
      </c>
      <c r="K2623">
        <v>2200</v>
      </c>
      <c r="L2623">
        <v>0</v>
      </c>
      <c r="M2623">
        <v>11000</v>
      </c>
      <c r="N2623">
        <v>7250</v>
      </c>
      <c r="O2623">
        <v>3750</v>
      </c>
    </row>
    <row r="2624" spans="1:15" x14ac:dyDescent="0.25">
      <c r="A2624" t="s">
        <v>3689</v>
      </c>
      <c r="B2624" s="2">
        <v>48280</v>
      </c>
      <c r="C2624" t="s">
        <v>834</v>
      </c>
      <c r="D2624" t="s">
        <v>835</v>
      </c>
      <c r="E2624" t="s">
        <v>96</v>
      </c>
      <c r="F2624" t="s">
        <v>196</v>
      </c>
      <c r="G2624" t="s">
        <v>20</v>
      </c>
      <c r="H2624" t="s">
        <v>41</v>
      </c>
      <c r="I2624" t="s">
        <v>42</v>
      </c>
      <c r="J2624">
        <v>3</v>
      </c>
      <c r="K2624">
        <v>520</v>
      </c>
      <c r="L2624">
        <v>0.05</v>
      </c>
      <c r="M2624">
        <v>1482</v>
      </c>
      <c r="N2624">
        <v>990</v>
      </c>
      <c r="O2624">
        <v>492</v>
      </c>
    </row>
    <row r="2625" spans="1:15" x14ac:dyDescent="0.25">
      <c r="A2625" t="s">
        <v>3690</v>
      </c>
      <c r="B2625" s="2">
        <v>48281</v>
      </c>
      <c r="C2625" t="s">
        <v>700</v>
      </c>
      <c r="D2625" t="s">
        <v>701</v>
      </c>
      <c r="E2625" t="s">
        <v>26</v>
      </c>
      <c r="F2625" t="s">
        <v>204</v>
      </c>
      <c r="G2625" t="s">
        <v>28</v>
      </c>
      <c r="H2625" t="s">
        <v>29</v>
      </c>
      <c r="I2625" t="s">
        <v>35</v>
      </c>
      <c r="J2625">
        <v>2</v>
      </c>
      <c r="K2625">
        <v>4200</v>
      </c>
      <c r="L2625">
        <v>0.15</v>
      </c>
      <c r="M2625">
        <v>7140</v>
      </c>
      <c r="N2625">
        <v>5800</v>
      </c>
      <c r="O2625">
        <v>1340</v>
      </c>
    </row>
    <row r="2626" spans="1:15" x14ac:dyDescent="0.25">
      <c r="A2626" t="s">
        <v>3691</v>
      </c>
      <c r="B2626" s="2">
        <v>48282</v>
      </c>
      <c r="C2626" t="s">
        <v>1111</v>
      </c>
      <c r="D2626" t="s">
        <v>1112</v>
      </c>
      <c r="E2626" t="s">
        <v>26</v>
      </c>
      <c r="F2626" t="s">
        <v>128</v>
      </c>
      <c r="G2626" t="s">
        <v>51</v>
      </c>
      <c r="H2626" t="s">
        <v>52</v>
      </c>
      <c r="I2626" t="s">
        <v>208</v>
      </c>
      <c r="J2626">
        <v>4</v>
      </c>
      <c r="K2626">
        <v>2800</v>
      </c>
      <c r="L2626">
        <v>0.2</v>
      </c>
      <c r="M2626">
        <v>8960</v>
      </c>
      <c r="N2626">
        <v>7200</v>
      </c>
      <c r="O2626">
        <v>1760</v>
      </c>
    </row>
    <row r="2627" spans="1:15" x14ac:dyDescent="0.25">
      <c r="A2627" t="s">
        <v>3692</v>
      </c>
      <c r="B2627" s="2">
        <v>48283</v>
      </c>
      <c r="C2627" t="s">
        <v>1803</v>
      </c>
      <c r="D2627" t="s">
        <v>1804</v>
      </c>
      <c r="E2627" t="s">
        <v>39</v>
      </c>
      <c r="F2627" t="s">
        <v>71</v>
      </c>
      <c r="G2627" t="s">
        <v>20</v>
      </c>
      <c r="H2627" t="s">
        <v>84</v>
      </c>
      <c r="I2627" t="s">
        <v>85</v>
      </c>
      <c r="J2627">
        <v>4</v>
      </c>
      <c r="K2627">
        <v>280</v>
      </c>
      <c r="L2627">
        <v>0.15</v>
      </c>
      <c r="M2627">
        <v>952</v>
      </c>
      <c r="N2627">
        <v>640</v>
      </c>
      <c r="O2627">
        <v>312</v>
      </c>
    </row>
    <row r="2628" spans="1:15" x14ac:dyDescent="0.25">
      <c r="A2628" t="s">
        <v>3693</v>
      </c>
      <c r="B2628" s="2">
        <v>48284</v>
      </c>
      <c r="C2628" t="s">
        <v>868</v>
      </c>
      <c r="D2628" t="s">
        <v>869</v>
      </c>
      <c r="E2628" t="s">
        <v>96</v>
      </c>
      <c r="F2628" t="s">
        <v>196</v>
      </c>
      <c r="G2628" t="s">
        <v>51</v>
      </c>
      <c r="H2628" t="s">
        <v>21</v>
      </c>
      <c r="I2628" t="s">
        <v>72</v>
      </c>
      <c r="J2628">
        <v>1</v>
      </c>
      <c r="K2628">
        <v>1800</v>
      </c>
      <c r="L2628">
        <v>0.2</v>
      </c>
      <c r="M2628">
        <v>1440</v>
      </c>
      <c r="N2628">
        <v>1100</v>
      </c>
      <c r="O2628">
        <v>340</v>
      </c>
    </row>
    <row r="2629" spans="1:15" x14ac:dyDescent="0.25">
      <c r="A2629" t="s">
        <v>3694</v>
      </c>
      <c r="B2629" s="2">
        <v>48285</v>
      </c>
      <c r="C2629" t="s">
        <v>92</v>
      </c>
      <c r="D2629" t="s">
        <v>93</v>
      </c>
      <c r="E2629" t="s">
        <v>96</v>
      </c>
      <c r="F2629" t="s">
        <v>196</v>
      </c>
      <c r="G2629" t="s">
        <v>57</v>
      </c>
      <c r="H2629" t="s">
        <v>104</v>
      </c>
      <c r="I2629" t="s">
        <v>105</v>
      </c>
      <c r="J2629">
        <v>5</v>
      </c>
      <c r="K2629">
        <v>7500</v>
      </c>
      <c r="L2629">
        <v>0</v>
      </c>
      <c r="M2629">
        <v>37500</v>
      </c>
      <c r="N2629">
        <v>26000</v>
      </c>
      <c r="O2629">
        <v>11500</v>
      </c>
    </row>
    <row r="2630" spans="1:15" x14ac:dyDescent="0.25">
      <c r="A2630" t="s">
        <v>3695</v>
      </c>
      <c r="B2630" s="2">
        <v>48286</v>
      </c>
      <c r="C2630" t="s">
        <v>459</v>
      </c>
      <c r="D2630" t="s">
        <v>460</v>
      </c>
      <c r="E2630" t="s">
        <v>26</v>
      </c>
      <c r="F2630" t="s">
        <v>128</v>
      </c>
      <c r="G2630" t="s">
        <v>57</v>
      </c>
      <c r="H2630" t="s">
        <v>104</v>
      </c>
      <c r="I2630" t="s">
        <v>105</v>
      </c>
      <c r="J2630">
        <v>4</v>
      </c>
      <c r="K2630">
        <v>7500</v>
      </c>
      <c r="L2630">
        <v>0</v>
      </c>
      <c r="M2630">
        <v>30000</v>
      </c>
      <c r="N2630">
        <v>20800</v>
      </c>
      <c r="O2630">
        <v>9200</v>
      </c>
    </row>
    <row r="2631" spans="1:15" x14ac:dyDescent="0.25">
      <c r="A2631" t="s">
        <v>3696</v>
      </c>
      <c r="B2631" s="2">
        <v>48287</v>
      </c>
      <c r="C2631" t="s">
        <v>1480</v>
      </c>
      <c r="D2631" t="s">
        <v>1481</v>
      </c>
      <c r="E2631" t="s">
        <v>39</v>
      </c>
      <c r="F2631" t="s">
        <v>76</v>
      </c>
      <c r="G2631" t="s">
        <v>51</v>
      </c>
      <c r="H2631" t="s">
        <v>21</v>
      </c>
      <c r="I2631" t="s">
        <v>80</v>
      </c>
      <c r="J2631">
        <v>5</v>
      </c>
      <c r="K2631">
        <v>850</v>
      </c>
      <c r="L2631">
        <v>0.1</v>
      </c>
      <c r="M2631">
        <v>3825</v>
      </c>
      <c r="N2631">
        <v>2800</v>
      </c>
      <c r="O2631">
        <v>1025</v>
      </c>
    </row>
    <row r="2632" spans="1:15" x14ac:dyDescent="0.25">
      <c r="A2632" t="s">
        <v>3697</v>
      </c>
      <c r="B2632" s="2">
        <v>48288</v>
      </c>
      <c r="C2632" t="s">
        <v>1948</v>
      </c>
      <c r="D2632" t="s">
        <v>1949</v>
      </c>
      <c r="E2632" t="s">
        <v>39</v>
      </c>
      <c r="F2632" t="s">
        <v>76</v>
      </c>
      <c r="G2632" t="s">
        <v>51</v>
      </c>
      <c r="H2632" t="s">
        <v>52</v>
      </c>
      <c r="I2632" t="s">
        <v>53</v>
      </c>
      <c r="J2632">
        <v>1</v>
      </c>
      <c r="K2632">
        <v>2200</v>
      </c>
      <c r="L2632">
        <v>0.15</v>
      </c>
      <c r="M2632">
        <v>1870</v>
      </c>
      <c r="N2632">
        <v>1450</v>
      </c>
      <c r="O2632">
        <v>420</v>
      </c>
    </row>
    <row r="2633" spans="1:15" x14ac:dyDescent="0.25">
      <c r="A2633" t="s">
        <v>3698</v>
      </c>
      <c r="B2633" s="2">
        <v>48289</v>
      </c>
      <c r="C2633" t="s">
        <v>1358</v>
      </c>
      <c r="D2633" t="s">
        <v>1359</v>
      </c>
      <c r="E2633" t="s">
        <v>26</v>
      </c>
      <c r="F2633" t="s">
        <v>128</v>
      </c>
      <c r="G2633" t="s">
        <v>28</v>
      </c>
      <c r="H2633" t="s">
        <v>63</v>
      </c>
      <c r="I2633" t="s">
        <v>64</v>
      </c>
      <c r="J2633">
        <v>3</v>
      </c>
      <c r="K2633">
        <v>2400</v>
      </c>
      <c r="L2633">
        <v>0.15</v>
      </c>
      <c r="M2633">
        <v>6120</v>
      </c>
      <c r="N2633">
        <v>4950</v>
      </c>
      <c r="O2633">
        <v>1170</v>
      </c>
    </row>
    <row r="2634" spans="1:15" x14ac:dyDescent="0.25">
      <c r="A2634" t="s">
        <v>3699</v>
      </c>
      <c r="B2634" s="2">
        <v>48290</v>
      </c>
      <c r="C2634" t="s">
        <v>92</v>
      </c>
      <c r="D2634" t="s">
        <v>93</v>
      </c>
      <c r="E2634" t="s">
        <v>18</v>
      </c>
      <c r="F2634" t="s">
        <v>94</v>
      </c>
      <c r="G2634" t="s">
        <v>20</v>
      </c>
      <c r="H2634" t="s">
        <v>84</v>
      </c>
      <c r="I2634" t="s">
        <v>169</v>
      </c>
      <c r="J2634">
        <v>4</v>
      </c>
      <c r="K2634">
        <v>450</v>
      </c>
      <c r="L2634">
        <v>0.15</v>
      </c>
      <c r="M2634">
        <v>1530</v>
      </c>
      <c r="N2634">
        <v>1040</v>
      </c>
      <c r="O2634">
        <v>490</v>
      </c>
    </row>
    <row r="2635" spans="1:15" x14ac:dyDescent="0.25">
      <c r="A2635" t="s">
        <v>3700</v>
      </c>
      <c r="B2635" s="2">
        <v>48291</v>
      </c>
      <c r="C2635" t="s">
        <v>1034</v>
      </c>
      <c r="D2635" t="s">
        <v>1035</v>
      </c>
      <c r="E2635" t="s">
        <v>26</v>
      </c>
      <c r="F2635" t="s">
        <v>128</v>
      </c>
      <c r="G2635" t="s">
        <v>28</v>
      </c>
      <c r="H2635" t="s">
        <v>29</v>
      </c>
      <c r="I2635" t="s">
        <v>30</v>
      </c>
      <c r="J2635">
        <v>4</v>
      </c>
      <c r="K2635">
        <v>1900</v>
      </c>
      <c r="L2635">
        <v>0.05</v>
      </c>
      <c r="M2635">
        <v>7220</v>
      </c>
      <c r="N2635">
        <v>5000</v>
      </c>
      <c r="O2635">
        <v>2220</v>
      </c>
    </row>
    <row r="2636" spans="1:15" x14ac:dyDescent="0.25">
      <c r="A2636" t="s">
        <v>3701</v>
      </c>
      <c r="B2636" s="2">
        <v>48292</v>
      </c>
      <c r="C2636" t="s">
        <v>1336</v>
      </c>
      <c r="D2636" t="s">
        <v>1337</v>
      </c>
      <c r="E2636" t="s">
        <v>26</v>
      </c>
      <c r="F2636" t="s">
        <v>34</v>
      </c>
      <c r="G2636" t="s">
        <v>20</v>
      </c>
      <c r="H2636" t="s">
        <v>84</v>
      </c>
      <c r="I2636" t="s">
        <v>169</v>
      </c>
      <c r="J2636">
        <v>5</v>
      </c>
      <c r="K2636">
        <v>450</v>
      </c>
      <c r="L2636">
        <v>0.2</v>
      </c>
      <c r="M2636">
        <v>1800</v>
      </c>
      <c r="N2636">
        <v>1300</v>
      </c>
      <c r="O2636">
        <v>500</v>
      </c>
    </row>
    <row r="2637" spans="1:15" x14ac:dyDescent="0.25">
      <c r="A2637" t="s">
        <v>3702</v>
      </c>
      <c r="B2637" s="2">
        <v>48293</v>
      </c>
      <c r="C2637" t="s">
        <v>1915</v>
      </c>
      <c r="D2637" t="s">
        <v>1916</v>
      </c>
      <c r="E2637" t="s">
        <v>18</v>
      </c>
      <c r="F2637" t="s">
        <v>94</v>
      </c>
      <c r="G2637" t="s">
        <v>51</v>
      </c>
      <c r="H2637" t="s">
        <v>89</v>
      </c>
      <c r="I2637" t="s">
        <v>90</v>
      </c>
      <c r="J2637">
        <v>2</v>
      </c>
      <c r="K2637">
        <v>10500</v>
      </c>
      <c r="L2637">
        <v>0.05</v>
      </c>
      <c r="M2637">
        <v>19950</v>
      </c>
      <c r="N2637">
        <v>15200</v>
      </c>
      <c r="O2637">
        <v>4750</v>
      </c>
    </row>
    <row r="2638" spans="1:15" x14ac:dyDescent="0.25">
      <c r="A2638" t="s">
        <v>3703</v>
      </c>
      <c r="B2638" s="2">
        <v>48294</v>
      </c>
      <c r="C2638" t="s">
        <v>2008</v>
      </c>
      <c r="D2638" t="s">
        <v>2009</v>
      </c>
      <c r="E2638" t="s">
        <v>18</v>
      </c>
      <c r="F2638" t="s">
        <v>227</v>
      </c>
      <c r="G2638" t="s">
        <v>51</v>
      </c>
      <c r="H2638" t="s">
        <v>52</v>
      </c>
      <c r="I2638" t="s">
        <v>53</v>
      </c>
      <c r="J2638">
        <v>1</v>
      </c>
      <c r="K2638">
        <v>2200</v>
      </c>
      <c r="L2638">
        <v>0.25</v>
      </c>
      <c r="M2638">
        <v>1650</v>
      </c>
      <c r="N2638">
        <v>1450</v>
      </c>
      <c r="O2638">
        <v>200</v>
      </c>
    </row>
    <row r="2639" spans="1:15" x14ac:dyDescent="0.25">
      <c r="A2639" t="s">
        <v>3704</v>
      </c>
      <c r="B2639" s="2">
        <v>48295</v>
      </c>
      <c r="C2639" t="s">
        <v>436</v>
      </c>
      <c r="D2639" t="s">
        <v>437</v>
      </c>
      <c r="E2639" t="s">
        <v>18</v>
      </c>
      <c r="F2639" t="s">
        <v>19</v>
      </c>
      <c r="G2639" t="s">
        <v>51</v>
      </c>
      <c r="H2639" t="s">
        <v>89</v>
      </c>
      <c r="I2639" t="s">
        <v>90</v>
      </c>
      <c r="J2639">
        <v>1</v>
      </c>
      <c r="K2639">
        <v>10500</v>
      </c>
      <c r="L2639">
        <v>0.15</v>
      </c>
      <c r="M2639">
        <v>8925</v>
      </c>
      <c r="N2639">
        <v>7600</v>
      </c>
      <c r="O2639">
        <v>1325</v>
      </c>
    </row>
    <row r="2640" spans="1:15" x14ac:dyDescent="0.25">
      <c r="A2640" t="s">
        <v>3705</v>
      </c>
      <c r="B2640" s="2">
        <v>48296</v>
      </c>
      <c r="C2640" t="s">
        <v>623</v>
      </c>
      <c r="D2640" t="s">
        <v>624</v>
      </c>
      <c r="E2640" t="s">
        <v>26</v>
      </c>
      <c r="F2640" t="s">
        <v>128</v>
      </c>
      <c r="G2640" t="s">
        <v>28</v>
      </c>
      <c r="H2640" t="s">
        <v>29</v>
      </c>
      <c r="I2640" t="s">
        <v>30</v>
      </c>
      <c r="J2640">
        <v>2</v>
      </c>
      <c r="K2640">
        <v>1900</v>
      </c>
      <c r="L2640">
        <v>0.1</v>
      </c>
      <c r="M2640">
        <v>3420</v>
      </c>
      <c r="N2640">
        <v>2500</v>
      </c>
      <c r="O2640">
        <v>920</v>
      </c>
    </row>
    <row r="2641" spans="1:15" x14ac:dyDescent="0.25">
      <c r="A2641" t="s">
        <v>3706</v>
      </c>
      <c r="B2641" s="2">
        <v>48297</v>
      </c>
      <c r="C2641" t="s">
        <v>990</v>
      </c>
      <c r="D2641" t="s">
        <v>991</v>
      </c>
      <c r="E2641" t="s">
        <v>96</v>
      </c>
      <c r="F2641" t="s">
        <v>196</v>
      </c>
      <c r="G2641" t="s">
        <v>20</v>
      </c>
      <c r="H2641" t="s">
        <v>84</v>
      </c>
      <c r="I2641" t="s">
        <v>85</v>
      </c>
      <c r="J2641">
        <v>2</v>
      </c>
      <c r="K2641">
        <v>280</v>
      </c>
      <c r="L2641">
        <v>0.2</v>
      </c>
      <c r="M2641">
        <v>448</v>
      </c>
      <c r="N2641">
        <v>320</v>
      </c>
      <c r="O2641">
        <v>128</v>
      </c>
    </row>
    <row r="2642" spans="1:15" x14ac:dyDescent="0.25">
      <c r="A2642" t="s">
        <v>3707</v>
      </c>
      <c r="B2642" s="2">
        <v>48298</v>
      </c>
      <c r="C2642" t="s">
        <v>472</v>
      </c>
      <c r="D2642" t="s">
        <v>473</v>
      </c>
      <c r="E2642" t="s">
        <v>26</v>
      </c>
      <c r="F2642" t="s">
        <v>128</v>
      </c>
      <c r="G2642" t="s">
        <v>51</v>
      </c>
      <c r="H2642" t="s">
        <v>21</v>
      </c>
      <c r="I2642" t="s">
        <v>116</v>
      </c>
      <c r="J2642">
        <v>5</v>
      </c>
      <c r="K2642">
        <v>1400</v>
      </c>
      <c r="L2642">
        <v>0.2</v>
      </c>
      <c r="M2642">
        <v>5600</v>
      </c>
      <c r="N2642">
        <v>4500</v>
      </c>
      <c r="O2642">
        <v>1100</v>
      </c>
    </row>
    <row r="2643" spans="1:15" x14ac:dyDescent="0.25">
      <c r="A2643" t="s">
        <v>3708</v>
      </c>
      <c r="B2643" s="2">
        <v>48299</v>
      </c>
      <c r="C2643" t="s">
        <v>1227</v>
      </c>
      <c r="D2643" t="s">
        <v>1228</v>
      </c>
      <c r="E2643" t="s">
        <v>26</v>
      </c>
      <c r="F2643" t="s">
        <v>46</v>
      </c>
      <c r="G2643" t="s">
        <v>57</v>
      </c>
      <c r="H2643" t="s">
        <v>188</v>
      </c>
      <c r="I2643" t="s">
        <v>189</v>
      </c>
      <c r="J2643">
        <v>1</v>
      </c>
      <c r="K2643">
        <v>6200</v>
      </c>
      <c r="L2643">
        <v>0.1</v>
      </c>
      <c r="M2643">
        <v>5580</v>
      </c>
      <c r="N2643">
        <v>4300</v>
      </c>
      <c r="O2643">
        <v>1280</v>
      </c>
    </row>
    <row r="2644" spans="1:15" x14ac:dyDescent="0.25">
      <c r="A2644" t="s">
        <v>3709</v>
      </c>
      <c r="B2644" s="2">
        <v>48300</v>
      </c>
      <c r="C2644" t="s">
        <v>2263</v>
      </c>
      <c r="D2644" t="s">
        <v>2264</v>
      </c>
      <c r="E2644" t="s">
        <v>96</v>
      </c>
      <c r="F2644" t="s">
        <v>200</v>
      </c>
      <c r="G2644" t="s">
        <v>28</v>
      </c>
      <c r="H2644" t="s">
        <v>29</v>
      </c>
      <c r="I2644" t="s">
        <v>30</v>
      </c>
      <c r="J2644">
        <v>1</v>
      </c>
      <c r="K2644">
        <v>1900</v>
      </c>
      <c r="L2644">
        <v>0.2</v>
      </c>
      <c r="M2644">
        <v>1520</v>
      </c>
      <c r="N2644">
        <v>1250</v>
      </c>
      <c r="O2644">
        <v>270</v>
      </c>
    </row>
    <row r="2645" spans="1:15" x14ac:dyDescent="0.25">
      <c r="A2645" t="s">
        <v>3710</v>
      </c>
      <c r="B2645" s="2">
        <v>48301</v>
      </c>
      <c r="C2645" t="s">
        <v>887</v>
      </c>
      <c r="D2645" t="s">
        <v>888</v>
      </c>
      <c r="E2645" t="s">
        <v>26</v>
      </c>
      <c r="F2645" t="s">
        <v>128</v>
      </c>
      <c r="G2645" t="s">
        <v>20</v>
      </c>
      <c r="H2645" t="s">
        <v>41</v>
      </c>
      <c r="I2645" t="s">
        <v>42</v>
      </c>
      <c r="J2645">
        <v>3</v>
      </c>
      <c r="K2645">
        <v>520</v>
      </c>
      <c r="L2645">
        <v>0.05</v>
      </c>
      <c r="M2645">
        <v>1482</v>
      </c>
      <c r="N2645">
        <v>990</v>
      </c>
      <c r="O2645">
        <v>492</v>
      </c>
    </row>
    <row r="2646" spans="1:15" x14ac:dyDescent="0.25">
      <c r="A2646" t="s">
        <v>3711</v>
      </c>
      <c r="B2646" s="2">
        <v>48302</v>
      </c>
      <c r="C2646" t="s">
        <v>1567</v>
      </c>
      <c r="D2646" t="s">
        <v>1568</v>
      </c>
      <c r="E2646" t="s">
        <v>39</v>
      </c>
      <c r="F2646" t="s">
        <v>76</v>
      </c>
      <c r="G2646" t="s">
        <v>57</v>
      </c>
      <c r="H2646" t="s">
        <v>104</v>
      </c>
      <c r="I2646" t="s">
        <v>105</v>
      </c>
      <c r="J2646">
        <v>3</v>
      </c>
      <c r="K2646">
        <v>7500</v>
      </c>
      <c r="L2646">
        <v>0.05</v>
      </c>
      <c r="M2646">
        <v>21375</v>
      </c>
      <c r="N2646">
        <v>15600</v>
      </c>
      <c r="O2646">
        <v>5775</v>
      </c>
    </row>
    <row r="2647" spans="1:15" x14ac:dyDescent="0.25">
      <c r="A2647" t="s">
        <v>3712</v>
      </c>
      <c r="B2647" s="2">
        <v>48303</v>
      </c>
      <c r="C2647" t="s">
        <v>630</v>
      </c>
      <c r="D2647" t="s">
        <v>631</v>
      </c>
      <c r="E2647" t="s">
        <v>26</v>
      </c>
      <c r="F2647" t="s">
        <v>128</v>
      </c>
      <c r="G2647" t="s">
        <v>20</v>
      </c>
      <c r="H2647" t="s">
        <v>84</v>
      </c>
      <c r="I2647" t="s">
        <v>169</v>
      </c>
      <c r="J2647">
        <v>5</v>
      </c>
      <c r="K2647">
        <v>450</v>
      </c>
      <c r="L2647">
        <v>0</v>
      </c>
      <c r="M2647">
        <v>2250</v>
      </c>
      <c r="N2647">
        <v>1300</v>
      </c>
      <c r="O2647">
        <v>950</v>
      </c>
    </row>
    <row r="2648" spans="1:15" x14ac:dyDescent="0.25">
      <c r="A2648" t="s">
        <v>3713</v>
      </c>
      <c r="B2648" s="2">
        <v>48304</v>
      </c>
      <c r="C2648" t="s">
        <v>1641</v>
      </c>
      <c r="D2648" t="s">
        <v>1642</v>
      </c>
      <c r="E2648" t="s">
        <v>39</v>
      </c>
      <c r="F2648" t="s">
        <v>76</v>
      </c>
      <c r="G2648" t="s">
        <v>51</v>
      </c>
      <c r="H2648" t="s">
        <v>89</v>
      </c>
      <c r="I2648" t="s">
        <v>90</v>
      </c>
      <c r="J2648">
        <v>1</v>
      </c>
      <c r="K2648">
        <v>10500</v>
      </c>
      <c r="L2648">
        <v>0</v>
      </c>
      <c r="M2648">
        <v>10500</v>
      </c>
      <c r="N2648">
        <v>7600</v>
      </c>
      <c r="O2648">
        <v>2900</v>
      </c>
    </row>
    <row r="2649" spans="1:15" x14ac:dyDescent="0.25">
      <c r="A2649" t="s">
        <v>3714</v>
      </c>
      <c r="B2649" s="2">
        <v>48305</v>
      </c>
      <c r="C2649" t="s">
        <v>330</v>
      </c>
      <c r="D2649" t="s">
        <v>331</v>
      </c>
      <c r="E2649" t="s">
        <v>39</v>
      </c>
      <c r="F2649" t="s">
        <v>71</v>
      </c>
      <c r="G2649" t="s">
        <v>57</v>
      </c>
      <c r="H2649" t="s">
        <v>58</v>
      </c>
      <c r="I2649" t="s">
        <v>129</v>
      </c>
      <c r="J2649">
        <v>5</v>
      </c>
      <c r="K2649">
        <v>4800</v>
      </c>
      <c r="L2649">
        <v>0.05</v>
      </c>
      <c r="M2649">
        <v>22800</v>
      </c>
      <c r="N2649">
        <v>16500</v>
      </c>
      <c r="O2649">
        <v>6300</v>
      </c>
    </row>
    <row r="2650" spans="1:15" x14ac:dyDescent="0.25">
      <c r="A2650" t="s">
        <v>3715</v>
      </c>
      <c r="B2650" s="2">
        <v>48306</v>
      </c>
      <c r="C2650" t="s">
        <v>1541</v>
      </c>
      <c r="D2650" t="s">
        <v>1542</v>
      </c>
      <c r="E2650" t="s">
        <v>39</v>
      </c>
      <c r="F2650" t="s">
        <v>124</v>
      </c>
      <c r="G2650" t="s">
        <v>28</v>
      </c>
      <c r="H2650" t="s">
        <v>29</v>
      </c>
      <c r="I2650" t="s">
        <v>35</v>
      </c>
      <c r="J2650">
        <v>1</v>
      </c>
      <c r="K2650">
        <v>4200</v>
      </c>
      <c r="L2650">
        <v>0.05</v>
      </c>
      <c r="M2650">
        <v>3990</v>
      </c>
      <c r="N2650">
        <v>2900</v>
      </c>
      <c r="O2650">
        <v>1090</v>
      </c>
    </row>
    <row r="2651" spans="1:15" x14ac:dyDescent="0.25">
      <c r="A2651" t="s">
        <v>3716</v>
      </c>
      <c r="B2651" s="2">
        <v>48307</v>
      </c>
      <c r="C2651" t="s">
        <v>491</v>
      </c>
      <c r="D2651" t="s">
        <v>492</v>
      </c>
      <c r="E2651" t="s">
        <v>96</v>
      </c>
      <c r="F2651" t="s">
        <v>196</v>
      </c>
      <c r="G2651" t="s">
        <v>20</v>
      </c>
      <c r="H2651" t="s">
        <v>84</v>
      </c>
      <c r="I2651" t="s">
        <v>169</v>
      </c>
      <c r="J2651">
        <v>2</v>
      </c>
      <c r="K2651">
        <v>450</v>
      </c>
      <c r="L2651">
        <v>0</v>
      </c>
      <c r="M2651">
        <v>900</v>
      </c>
      <c r="N2651">
        <v>520</v>
      </c>
      <c r="O2651">
        <v>380</v>
      </c>
    </row>
    <row r="2652" spans="1:15" x14ac:dyDescent="0.25">
      <c r="A2652" t="s">
        <v>3717</v>
      </c>
      <c r="B2652" s="2">
        <v>48308</v>
      </c>
      <c r="C2652" t="s">
        <v>541</v>
      </c>
      <c r="D2652" t="s">
        <v>542</v>
      </c>
      <c r="E2652" t="s">
        <v>26</v>
      </c>
      <c r="F2652" t="s">
        <v>34</v>
      </c>
      <c r="G2652" t="s">
        <v>20</v>
      </c>
      <c r="H2652" t="s">
        <v>84</v>
      </c>
      <c r="I2652" t="s">
        <v>210</v>
      </c>
      <c r="J2652">
        <v>2</v>
      </c>
      <c r="K2652">
        <v>300</v>
      </c>
      <c r="L2652">
        <v>0.15</v>
      </c>
      <c r="M2652">
        <v>510</v>
      </c>
      <c r="N2652">
        <v>340</v>
      </c>
      <c r="O2652">
        <v>170</v>
      </c>
    </row>
    <row r="2653" spans="1:15" x14ac:dyDescent="0.25">
      <c r="A2653" t="s">
        <v>3718</v>
      </c>
      <c r="B2653" s="2">
        <v>48309</v>
      </c>
      <c r="C2653" t="s">
        <v>1253</v>
      </c>
      <c r="D2653" t="s">
        <v>1254</v>
      </c>
      <c r="E2653" t="s">
        <v>18</v>
      </c>
      <c r="F2653" t="s">
        <v>115</v>
      </c>
      <c r="G2653" t="s">
        <v>57</v>
      </c>
      <c r="H2653" t="s">
        <v>104</v>
      </c>
      <c r="I2653" t="s">
        <v>105</v>
      </c>
      <c r="J2653">
        <v>5</v>
      </c>
      <c r="K2653">
        <v>7500</v>
      </c>
      <c r="L2653">
        <v>0.1</v>
      </c>
      <c r="M2653">
        <v>33750</v>
      </c>
      <c r="N2653">
        <v>26000</v>
      </c>
      <c r="O2653">
        <v>7750</v>
      </c>
    </row>
    <row r="2654" spans="1:15" x14ac:dyDescent="0.25">
      <c r="A2654" t="s">
        <v>3719</v>
      </c>
      <c r="B2654" s="2">
        <v>48310</v>
      </c>
      <c r="C2654" t="s">
        <v>562</v>
      </c>
      <c r="D2654" t="s">
        <v>563</v>
      </c>
      <c r="E2654" t="s">
        <v>26</v>
      </c>
      <c r="F2654" t="s">
        <v>46</v>
      </c>
      <c r="G2654" t="s">
        <v>51</v>
      </c>
      <c r="H2654" t="s">
        <v>21</v>
      </c>
      <c r="I2654" t="s">
        <v>80</v>
      </c>
      <c r="J2654">
        <v>5</v>
      </c>
      <c r="K2654">
        <v>850</v>
      </c>
      <c r="L2654">
        <v>0</v>
      </c>
      <c r="M2654">
        <v>4250</v>
      </c>
      <c r="N2654">
        <v>2800</v>
      </c>
      <c r="O2654">
        <v>1450</v>
      </c>
    </row>
    <row r="2655" spans="1:15" x14ac:dyDescent="0.25">
      <c r="A2655" t="s">
        <v>3720</v>
      </c>
      <c r="B2655" s="2">
        <v>48311</v>
      </c>
      <c r="C2655" t="s">
        <v>327</v>
      </c>
      <c r="D2655" t="s">
        <v>328</v>
      </c>
      <c r="E2655" t="s">
        <v>26</v>
      </c>
      <c r="F2655" t="s">
        <v>46</v>
      </c>
      <c r="G2655" t="s">
        <v>28</v>
      </c>
      <c r="H2655" t="s">
        <v>29</v>
      </c>
      <c r="I2655" t="s">
        <v>30</v>
      </c>
      <c r="J2655">
        <v>4</v>
      </c>
      <c r="K2655">
        <v>1900</v>
      </c>
      <c r="L2655">
        <v>0.2</v>
      </c>
      <c r="M2655">
        <v>6080</v>
      </c>
      <c r="N2655">
        <v>5000</v>
      </c>
      <c r="O2655">
        <v>1080</v>
      </c>
    </row>
    <row r="2656" spans="1:15" x14ac:dyDescent="0.25">
      <c r="A2656" t="s">
        <v>3721</v>
      </c>
      <c r="B2656" s="2">
        <v>48312</v>
      </c>
      <c r="C2656" t="s">
        <v>2233</v>
      </c>
      <c r="D2656" t="s">
        <v>2234</v>
      </c>
      <c r="E2656" t="s">
        <v>96</v>
      </c>
      <c r="F2656" t="s">
        <v>196</v>
      </c>
      <c r="G2656" t="s">
        <v>20</v>
      </c>
      <c r="H2656" t="s">
        <v>84</v>
      </c>
      <c r="I2656" t="s">
        <v>210</v>
      </c>
      <c r="J2656">
        <v>4</v>
      </c>
      <c r="K2656">
        <v>300</v>
      </c>
      <c r="L2656">
        <v>0.15</v>
      </c>
      <c r="M2656">
        <v>1020</v>
      </c>
      <c r="N2656">
        <v>680</v>
      </c>
      <c r="O2656">
        <v>340</v>
      </c>
    </row>
    <row r="2657" spans="1:15" x14ac:dyDescent="0.25">
      <c r="A2657" t="s">
        <v>3722</v>
      </c>
      <c r="B2657" s="2">
        <v>48313</v>
      </c>
      <c r="C2657" t="s">
        <v>2167</v>
      </c>
      <c r="D2657" t="s">
        <v>2168</v>
      </c>
      <c r="E2657" t="s">
        <v>26</v>
      </c>
      <c r="F2657" t="s">
        <v>34</v>
      </c>
      <c r="G2657" t="s">
        <v>20</v>
      </c>
      <c r="H2657" t="s">
        <v>21</v>
      </c>
      <c r="I2657" t="s">
        <v>22</v>
      </c>
      <c r="J2657">
        <v>4</v>
      </c>
      <c r="K2657">
        <v>650</v>
      </c>
      <c r="L2657">
        <v>0</v>
      </c>
      <c r="M2657">
        <v>2600</v>
      </c>
      <c r="N2657">
        <v>1560</v>
      </c>
      <c r="O2657">
        <v>1040</v>
      </c>
    </row>
    <row r="2658" spans="1:15" x14ac:dyDescent="0.25">
      <c r="A2658" t="s">
        <v>3723</v>
      </c>
      <c r="B2658" s="2">
        <v>48314</v>
      </c>
      <c r="C2658" t="s">
        <v>556</v>
      </c>
      <c r="D2658" t="s">
        <v>557</v>
      </c>
      <c r="E2658" t="s">
        <v>26</v>
      </c>
      <c r="F2658" t="s">
        <v>46</v>
      </c>
      <c r="G2658" t="s">
        <v>57</v>
      </c>
      <c r="H2658" t="s">
        <v>188</v>
      </c>
      <c r="I2658" t="s">
        <v>189</v>
      </c>
      <c r="J2658">
        <v>2</v>
      </c>
      <c r="K2658">
        <v>6200</v>
      </c>
      <c r="L2658">
        <v>0.05</v>
      </c>
      <c r="M2658">
        <v>11780</v>
      </c>
      <c r="N2658">
        <v>8600</v>
      </c>
      <c r="O2658">
        <v>3180</v>
      </c>
    </row>
    <row r="2659" spans="1:15" x14ac:dyDescent="0.25">
      <c r="A2659" t="s">
        <v>3724</v>
      </c>
      <c r="B2659" s="2">
        <v>48315</v>
      </c>
      <c r="C2659" t="s">
        <v>372</v>
      </c>
      <c r="D2659" t="s">
        <v>373</v>
      </c>
      <c r="E2659" t="s">
        <v>39</v>
      </c>
      <c r="F2659" t="s">
        <v>40</v>
      </c>
      <c r="G2659" t="s">
        <v>28</v>
      </c>
      <c r="H2659" t="s">
        <v>29</v>
      </c>
      <c r="I2659" t="s">
        <v>47</v>
      </c>
      <c r="J2659">
        <v>1</v>
      </c>
      <c r="K2659">
        <v>6800</v>
      </c>
      <c r="L2659">
        <v>0</v>
      </c>
      <c r="M2659">
        <v>6800</v>
      </c>
      <c r="N2659">
        <v>4700</v>
      </c>
      <c r="O2659">
        <v>2100</v>
      </c>
    </row>
    <row r="2660" spans="1:15" x14ac:dyDescent="0.25">
      <c r="A2660" t="s">
        <v>3725</v>
      </c>
      <c r="B2660" s="2">
        <v>48316</v>
      </c>
      <c r="C2660" t="s">
        <v>1679</v>
      </c>
      <c r="D2660" t="s">
        <v>1680</v>
      </c>
      <c r="E2660" t="s">
        <v>96</v>
      </c>
      <c r="F2660" t="s">
        <v>120</v>
      </c>
      <c r="G2660" t="s">
        <v>20</v>
      </c>
      <c r="H2660" t="s">
        <v>41</v>
      </c>
      <c r="I2660" t="s">
        <v>42</v>
      </c>
      <c r="J2660">
        <v>2</v>
      </c>
      <c r="K2660">
        <v>520</v>
      </c>
      <c r="L2660">
        <v>0.2</v>
      </c>
      <c r="M2660">
        <v>832</v>
      </c>
      <c r="N2660">
        <v>660</v>
      </c>
      <c r="O2660">
        <v>172</v>
      </c>
    </row>
    <row r="2661" spans="1:15" x14ac:dyDescent="0.25">
      <c r="A2661" t="s">
        <v>3726</v>
      </c>
      <c r="B2661" s="2">
        <v>48317</v>
      </c>
      <c r="C2661" t="s">
        <v>118</v>
      </c>
      <c r="D2661" t="s">
        <v>119</v>
      </c>
      <c r="E2661" t="s">
        <v>26</v>
      </c>
      <c r="F2661" t="s">
        <v>27</v>
      </c>
      <c r="G2661" t="s">
        <v>20</v>
      </c>
      <c r="H2661" t="s">
        <v>41</v>
      </c>
      <c r="I2661" t="s">
        <v>42</v>
      </c>
      <c r="J2661">
        <v>5</v>
      </c>
      <c r="K2661">
        <v>520</v>
      </c>
      <c r="L2661">
        <v>0.2</v>
      </c>
      <c r="M2661">
        <v>2080</v>
      </c>
      <c r="N2661">
        <v>1650</v>
      </c>
      <c r="O2661">
        <v>430</v>
      </c>
    </row>
    <row r="2662" spans="1:15" x14ac:dyDescent="0.25">
      <c r="A2662" t="s">
        <v>3727</v>
      </c>
      <c r="B2662" s="2">
        <v>48318</v>
      </c>
      <c r="C2662" t="s">
        <v>284</v>
      </c>
      <c r="D2662" t="s">
        <v>285</v>
      </c>
      <c r="E2662" t="s">
        <v>18</v>
      </c>
      <c r="F2662" t="s">
        <v>19</v>
      </c>
      <c r="G2662" t="s">
        <v>28</v>
      </c>
      <c r="H2662" t="s">
        <v>29</v>
      </c>
      <c r="I2662" t="s">
        <v>35</v>
      </c>
      <c r="J2662">
        <v>5</v>
      </c>
      <c r="K2662">
        <v>4200</v>
      </c>
      <c r="L2662">
        <v>0.05</v>
      </c>
      <c r="M2662">
        <v>19950</v>
      </c>
      <c r="N2662">
        <v>14500</v>
      </c>
      <c r="O2662">
        <v>5450</v>
      </c>
    </row>
    <row r="2663" spans="1:15" x14ac:dyDescent="0.25">
      <c r="A2663" t="s">
        <v>3728</v>
      </c>
      <c r="B2663" s="2">
        <v>48319</v>
      </c>
      <c r="C2663" t="s">
        <v>535</v>
      </c>
      <c r="D2663" t="s">
        <v>536</v>
      </c>
      <c r="E2663" t="s">
        <v>39</v>
      </c>
      <c r="F2663" t="s">
        <v>40</v>
      </c>
      <c r="G2663" t="s">
        <v>57</v>
      </c>
      <c r="H2663" t="s">
        <v>58</v>
      </c>
      <c r="I2663" t="s">
        <v>129</v>
      </c>
      <c r="J2663">
        <v>5</v>
      </c>
      <c r="K2663">
        <v>4800</v>
      </c>
      <c r="L2663">
        <v>0</v>
      </c>
      <c r="M2663">
        <v>24000</v>
      </c>
      <c r="N2663">
        <v>16500</v>
      </c>
      <c r="O2663">
        <v>7500</v>
      </c>
    </row>
    <row r="2664" spans="1:15" x14ac:dyDescent="0.25">
      <c r="A2664" t="s">
        <v>3729</v>
      </c>
      <c r="B2664" s="2">
        <v>48320</v>
      </c>
      <c r="C2664" t="s">
        <v>1054</v>
      </c>
      <c r="D2664" t="s">
        <v>1055</v>
      </c>
      <c r="E2664" t="s">
        <v>96</v>
      </c>
      <c r="F2664" t="s">
        <v>200</v>
      </c>
      <c r="G2664" t="s">
        <v>51</v>
      </c>
      <c r="H2664" t="s">
        <v>52</v>
      </c>
      <c r="I2664" t="s">
        <v>208</v>
      </c>
      <c r="J2664">
        <v>2</v>
      </c>
      <c r="K2664">
        <v>2800</v>
      </c>
      <c r="L2664">
        <v>0.1</v>
      </c>
      <c r="M2664">
        <v>5040</v>
      </c>
      <c r="N2664">
        <v>3600</v>
      </c>
      <c r="O2664">
        <v>1440</v>
      </c>
    </row>
    <row r="2665" spans="1:15" x14ac:dyDescent="0.25">
      <c r="A2665" t="s">
        <v>3730</v>
      </c>
      <c r="B2665" s="2">
        <v>48321</v>
      </c>
      <c r="C2665" t="s">
        <v>2022</v>
      </c>
      <c r="D2665" t="s">
        <v>2023</v>
      </c>
      <c r="E2665" t="s">
        <v>26</v>
      </c>
      <c r="F2665" t="s">
        <v>27</v>
      </c>
      <c r="G2665" t="s">
        <v>57</v>
      </c>
      <c r="H2665" t="s">
        <v>58</v>
      </c>
      <c r="I2665" t="s">
        <v>129</v>
      </c>
      <c r="J2665">
        <v>3</v>
      </c>
      <c r="K2665">
        <v>4800</v>
      </c>
      <c r="L2665">
        <v>0.1</v>
      </c>
      <c r="M2665">
        <v>12960</v>
      </c>
      <c r="N2665">
        <v>9900</v>
      </c>
      <c r="O2665">
        <v>3060</v>
      </c>
    </row>
    <row r="2666" spans="1:15" x14ac:dyDescent="0.25">
      <c r="A2666" t="s">
        <v>3731</v>
      </c>
      <c r="B2666" s="2">
        <v>48322</v>
      </c>
      <c r="C2666" t="s">
        <v>390</v>
      </c>
      <c r="D2666" t="s">
        <v>391</v>
      </c>
      <c r="E2666" t="s">
        <v>18</v>
      </c>
      <c r="F2666" t="s">
        <v>115</v>
      </c>
      <c r="G2666" t="s">
        <v>20</v>
      </c>
      <c r="H2666" t="s">
        <v>84</v>
      </c>
      <c r="I2666" t="s">
        <v>169</v>
      </c>
      <c r="J2666">
        <v>2</v>
      </c>
      <c r="K2666">
        <v>450</v>
      </c>
      <c r="L2666">
        <v>0.15</v>
      </c>
      <c r="M2666">
        <v>765</v>
      </c>
      <c r="N2666">
        <v>520</v>
      </c>
      <c r="O2666">
        <v>245</v>
      </c>
    </row>
    <row r="2667" spans="1:15" x14ac:dyDescent="0.25">
      <c r="A2667" t="s">
        <v>3732</v>
      </c>
      <c r="B2667" s="2">
        <v>48323</v>
      </c>
      <c r="C2667" t="s">
        <v>834</v>
      </c>
      <c r="D2667" t="s">
        <v>835</v>
      </c>
      <c r="E2667" t="s">
        <v>39</v>
      </c>
      <c r="F2667" t="s">
        <v>71</v>
      </c>
      <c r="G2667" t="s">
        <v>51</v>
      </c>
      <c r="H2667" t="s">
        <v>21</v>
      </c>
      <c r="I2667" t="s">
        <v>116</v>
      </c>
      <c r="J2667">
        <v>1</v>
      </c>
      <c r="K2667">
        <v>1400</v>
      </c>
      <c r="L2667">
        <v>0.15</v>
      </c>
      <c r="M2667">
        <v>1190</v>
      </c>
      <c r="N2667">
        <v>900</v>
      </c>
      <c r="O2667">
        <v>290</v>
      </c>
    </row>
    <row r="2668" spans="1:15" x14ac:dyDescent="0.25">
      <c r="A2668" t="s">
        <v>3733</v>
      </c>
      <c r="B2668" s="2">
        <v>48324</v>
      </c>
      <c r="C2668" t="s">
        <v>954</v>
      </c>
      <c r="D2668" t="s">
        <v>955</v>
      </c>
      <c r="E2668" t="s">
        <v>39</v>
      </c>
      <c r="F2668" t="s">
        <v>71</v>
      </c>
      <c r="G2668" t="s">
        <v>57</v>
      </c>
      <c r="H2668" t="s">
        <v>58</v>
      </c>
      <c r="I2668" t="s">
        <v>129</v>
      </c>
      <c r="J2668">
        <v>5</v>
      </c>
      <c r="K2668">
        <v>4800</v>
      </c>
      <c r="L2668">
        <v>0.15</v>
      </c>
      <c r="M2668">
        <v>20400</v>
      </c>
      <c r="N2668">
        <v>16500</v>
      </c>
      <c r="O2668">
        <v>3900</v>
      </c>
    </row>
    <row r="2669" spans="1:15" x14ac:dyDescent="0.25">
      <c r="A2669" t="s">
        <v>3734</v>
      </c>
      <c r="B2669" s="2">
        <v>48325</v>
      </c>
      <c r="C2669" t="s">
        <v>287</v>
      </c>
      <c r="D2669" t="s">
        <v>288</v>
      </c>
      <c r="E2669" t="s">
        <v>26</v>
      </c>
      <c r="F2669" t="s">
        <v>34</v>
      </c>
      <c r="G2669" t="s">
        <v>57</v>
      </c>
      <c r="H2669" t="s">
        <v>188</v>
      </c>
      <c r="I2669" t="s">
        <v>189</v>
      </c>
      <c r="J2669">
        <v>3</v>
      </c>
      <c r="K2669">
        <v>6200</v>
      </c>
      <c r="L2669">
        <v>0.05</v>
      </c>
      <c r="M2669">
        <v>17670</v>
      </c>
      <c r="N2669">
        <v>12900</v>
      </c>
      <c r="O2669">
        <v>4770</v>
      </c>
    </row>
    <row r="2670" spans="1:15" x14ac:dyDescent="0.25">
      <c r="A2670" t="s">
        <v>3735</v>
      </c>
      <c r="B2670" s="2">
        <v>48326</v>
      </c>
      <c r="C2670" t="s">
        <v>149</v>
      </c>
      <c r="D2670" t="s">
        <v>150</v>
      </c>
      <c r="E2670" t="s">
        <v>18</v>
      </c>
      <c r="F2670" t="s">
        <v>19</v>
      </c>
      <c r="G2670" t="s">
        <v>20</v>
      </c>
      <c r="H2670" t="s">
        <v>84</v>
      </c>
      <c r="I2670" t="s">
        <v>210</v>
      </c>
      <c r="J2670">
        <v>1</v>
      </c>
      <c r="K2670">
        <v>300</v>
      </c>
      <c r="L2670">
        <v>0.15</v>
      </c>
      <c r="M2670">
        <v>255</v>
      </c>
      <c r="N2670">
        <v>170</v>
      </c>
      <c r="O2670">
        <v>85</v>
      </c>
    </row>
    <row r="2671" spans="1:15" x14ac:dyDescent="0.25">
      <c r="A2671" t="s">
        <v>3736</v>
      </c>
      <c r="B2671" s="2">
        <v>48327</v>
      </c>
      <c r="C2671" t="s">
        <v>198</v>
      </c>
      <c r="D2671" t="s">
        <v>199</v>
      </c>
      <c r="E2671" t="s">
        <v>26</v>
      </c>
      <c r="F2671" t="s">
        <v>46</v>
      </c>
      <c r="G2671" t="s">
        <v>57</v>
      </c>
      <c r="H2671" t="s">
        <v>104</v>
      </c>
      <c r="I2671" t="s">
        <v>105</v>
      </c>
      <c r="J2671">
        <v>4</v>
      </c>
      <c r="K2671">
        <v>7500</v>
      </c>
      <c r="L2671">
        <v>0.1</v>
      </c>
      <c r="M2671">
        <v>27000</v>
      </c>
      <c r="N2671">
        <v>20800</v>
      </c>
      <c r="O2671">
        <v>6200</v>
      </c>
    </row>
    <row r="2672" spans="1:15" x14ac:dyDescent="0.25">
      <c r="A2672" t="s">
        <v>3737</v>
      </c>
      <c r="B2672" s="2">
        <v>48328</v>
      </c>
      <c r="C2672" t="s">
        <v>817</v>
      </c>
      <c r="D2672" t="s">
        <v>818</v>
      </c>
      <c r="E2672" t="s">
        <v>39</v>
      </c>
      <c r="F2672" t="s">
        <v>40</v>
      </c>
      <c r="G2672" t="s">
        <v>51</v>
      </c>
      <c r="H2672" t="s">
        <v>89</v>
      </c>
      <c r="I2672" t="s">
        <v>90</v>
      </c>
      <c r="J2672">
        <v>4</v>
      </c>
      <c r="K2672">
        <v>10500</v>
      </c>
      <c r="L2672">
        <v>0.15</v>
      </c>
      <c r="M2672">
        <v>35700</v>
      </c>
      <c r="N2672">
        <v>30400</v>
      </c>
      <c r="O2672">
        <v>5300</v>
      </c>
    </row>
    <row r="2673" spans="1:15" x14ac:dyDescent="0.25">
      <c r="A2673" t="s">
        <v>3738</v>
      </c>
      <c r="B2673" s="2">
        <v>48329</v>
      </c>
      <c r="C2673" t="s">
        <v>2648</v>
      </c>
      <c r="D2673" t="s">
        <v>2649</v>
      </c>
      <c r="E2673" t="s">
        <v>26</v>
      </c>
      <c r="F2673" t="s">
        <v>46</v>
      </c>
      <c r="G2673" t="s">
        <v>57</v>
      </c>
      <c r="H2673" t="s">
        <v>188</v>
      </c>
      <c r="I2673" t="s">
        <v>189</v>
      </c>
      <c r="J2673">
        <v>3</v>
      </c>
      <c r="K2673">
        <v>6200</v>
      </c>
      <c r="L2673">
        <v>0</v>
      </c>
      <c r="M2673">
        <v>18600</v>
      </c>
      <c r="N2673">
        <v>12900</v>
      </c>
      <c r="O2673">
        <v>5700</v>
      </c>
    </row>
    <row r="2674" spans="1:15" x14ac:dyDescent="0.25">
      <c r="A2674" t="s">
        <v>3739</v>
      </c>
      <c r="B2674" s="2">
        <v>48330</v>
      </c>
      <c r="C2674" t="s">
        <v>2785</v>
      </c>
      <c r="D2674" t="s">
        <v>2786</v>
      </c>
      <c r="E2674" t="s">
        <v>26</v>
      </c>
      <c r="F2674" t="s">
        <v>204</v>
      </c>
      <c r="G2674" t="s">
        <v>20</v>
      </c>
      <c r="H2674" t="s">
        <v>84</v>
      </c>
      <c r="I2674" t="s">
        <v>169</v>
      </c>
      <c r="J2674">
        <v>1</v>
      </c>
      <c r="K2674">
        <v>450</v>
      </c>
      <c r="L2674">
        <v>0.15</v>
      </c>
      <c r="M2674">
        <v>382.5</v>
      </c>
      <c r="N2674">
        <v>260</v>
      </c>
      <c r="O2674">
        <v>122.5</v>
      </c>
    </row>
    <row r="2675" spans="1:15" x14ac:dyDescent="0.25">
      <c r="A2675" t="s">
        <v>3740</v>
      </c>
      <c r="B2675" s="2">
        <v>48331</v>
      </c>
      <c r="C2675" t="s">
        <v>614</v>
      </c>
      <c r="D2675" t="s">
        <v>615</v>
      </c>
      <c r="E2675" t="s">
        <v>96</v>
      </c>
      <c r="F2675" t="s">
        <v>200</v>
      </c>
      <c r="G2675" t="s">
        <v>20</v>
      </c>
      <c r="H2675" t="s">
        <v>41</v>
      </c>
      <c r="I2675" t="s">
        <v>42</v>
      </c>
      <c r="J2675">
        <v>1</v>
      </c>
      <c r="K2675">
        <v>520</v>
      </c>
      <c r="L2675">
        <v>0.05</v>
      </c>
      <c r="M2675">
        <v>494</v>
      </c>
      <c r="N2675">
        <v>330</v>
      </c>
      <c r="O2675">
        <v>164</v>
      </c>
    </row>
    <row r="2676" spans="1:15" x14ac:dyDescent="0.25">
      <c r="A2676" t="s">
        <v>3741</v>
      </c>
      <c r="B2676" s="2">
        <v>48332</v>
      </c>
      <c r="C2676" t="s">
        <v>69</v>
      </c>
      <c r="D2676" t="s">
        <v>70</v>
      </c>
      <c r="E2676" t="s">
        <v>26</v>
      </c>
      <c r="F2676" t="s">
        <v>27</v>
      </c>
      <c r="G2676" t="s">
        <v>51</v>
      </c>
      <c r="H2676" t="s">
        <v>21</v>
      </c>
      <c r="I2676" t="s">
        <v>72</v>
      </c>
      <c r="J2676">
        <v>2</v>
      </c>
      <c r="K2676">
        <v>1800</v>
      </c>
      <c r="L2676">
        <v>0.1</v>
      </c>
      <c r="M2676">
        <v>3240</v>
      </c>
      <c r="N2676">
        <v>2200</v>
      </c>
      <c r="O2676">
        <v>1040</v>
      </c>
    </row>
    <row r="2677" spans="1:15" x14ac:dyDescent="0.25">
      <c r="A2677" t="s">
        <v>3742</v>
      </c>
      <c r="B2677" s="2">
        <v>48333</v>
      </c>
      <c r="C2677" t="s">
        <v>146</v>
      </c>
      <c r="D2677" t="s">
        <v>147</v>
      </c>
      <c r="E2677" t="s">
        <v>26</v>
      </c>
      <c r="F2677" t="s">
        <v>204</v>
      </c>
      <c r="G2677" t="s">
        <v>20</v>
      </c>
      <c r="H2677" t="s">
        <v>84</v>
      </c>
      <c r="I2677" t="s">
        <v>169</v>
      </c>
      <c r="J2677">
        <v>4</v>
      </c>
      <c r="K2677">
        <v>450</v>
      </c>
      <c r="L2677">
        <v>0.15</v>
      </c>
      <c r="M2677">
        <v>1530</v>
      </c>
      <c r="N2677">
        <v>1040</v>
      </c>
      <c r="O2677">
        <v>490</v>
      </c>
    </row>
    <row r="2678" spans="1:15" x14ac:dyDescent="0.25">
      <c r="A2678" t="s">
        <v>3743</v>
      </c>
      <c r="B2678" s="2">
        <v>48334</v>
      </c>
      <c r="C2678" t="s">
        <v>450</v>
      </c>
      <c r="D2678" t="s">
        <v>451</v>
      </c>
      <c r="E2678" t="s">
        <v>18</v>
      </c>
      <c r="F2678" t="s">
        <v>94</v>
      </c>
      <c r="G2678" t="s">
        <v>51</v>
      </c>
      <c r="H2678" t="s">
        <v>52</v>
      </c>
      <c r="I2678" t="s">
        <v>208</v>
      </c>
      <c r="J2678">
        <v>2</v>
      </c>
      <c r="K2678">
        <v>2800</v>
      </c>
      <c r="L2678">
        <v>0.1</v>
      </c>
      <c r="M2678">
        <v>5040</v>
      </c>
      <c r="N2678">
        <v>3600</v>
      </c>
      <c r="O2678">
        <v>1440</v>
      </c>
    </row>
    <row r="2679" spans="1:15" x14ac:dyDescent="0.25">
      <c r="A2679" t="s">
        <v>3744</v>
      </c>
      <c r="B2679" s="2">
        <v>48335</v>
      </c>
      <c r="C2679" t="s">
        <v>174</v>
      </c>
      <c r="D2679" t="s">
        <v>175</v>
      </c>
      <c r="E2679" t="s">
        <v>96</v>
      </c>
      <c r="F2679" t="s">
        <v>196</v>
      </c>
      <c r="G2679" t="s">
        <v>57</v>
      </c>
      <c r="H2679" t="s">
        <v>58</v>
      </c>
      <c r="I2679" t="s">
        <v>59</v>
      </c>
      <c r="J2679">
        <v>1</v>
      </c>
      <c r="K2679">
        <v>5600</v>
      </c>
      <c r="L2679">
        <v>0.05</v>
      </c>
      <c r="M2679">
        <v>5320</v>
      </c>
      <c r="N2679">
        <v>3900</v>
      </c>
      <c r="O2679">
        <v>1420</v>
      </c>
    </row>
    <row r="2680" spans="1:15" x14ac:dyDescent="0.25">
      <c r="A2680" t="s">
        <v>3745</v>
      </c>
      <c r="B2680" s="2">
        <v>48336</v>
      </c>
      <c r="C2680" t="s">
        <v>92</v>
      </c>
      <c r="D2680" t="s">
        <v>93</v>
      </c>
      <c r="E2680" t="s">
        <v>26</v>
      </c>
      <c r="F2680" t="s">
        <v>128</v>
      </c>
      <c r="G2680" t="s">
        <v>51</v>
      </c>
      <c r="H2680" t="s">
        <v>21</v>
      </c>
      <c r="I2680" t="s">
        <v>80</v>
      </c>
      <c r="J2680">
        <v>1</v>
      </c>
      <c r="K2680">
        <v>850</v>
      </c>
      <c r="L2680">
        <v>0.1</v>
      </c>
      <c r="M2680">
        <v>765</v>
      </c>
      <c r="N2680">
        <v>560</v>
      </c>
      <c r="O2680">
        <v>205</v>
      </c>
    </row>
    <row r="2681" spans="1:15" x14ac:dyDescent="0.25">
      <c r="A2681" t="s">
        <v>3746</v>
      </c>
      <c r="B2681" s="2">
        <v>48337</v>
      </c>
      <c r="C2681" t="s">
        <v>990</v>
      </c>
      <c r="D2681" t="s">
        <v>991</v>
      </c>
      <c r="E2681" t="s">
        <v>26</v>
      </c>
      <c r="F2681" t="s">
        <v>34</v>
      </c>
      <c r="G2681" t="s">
        <v>51</v>
      </c>
      <c r="H2681" t="s">
        <v>52</v>
      </c>
      <c r="I2681" t="s">
        <v>53</v>
      </c>
      <c r="J2681">
        <v>5</v>
      </c>
      <c r="K2681">
        <v>2200</v>
      </c>
      <c r="L2681">
        <v>0.25</v>
      </c>
      <c r="M2681">
        <v>8250</v>
      </c>
      <c r="N2681">
        <v>7250</v>
      </c>
      <c r="O2681">
        <v>1000</v>
      </c>
    </row>
    <row r="2682" spans="1:15" x14ac:dyDescent="0.25">
      <c r="A2682" t="s">
        <v>3747</v>
      </c>
      <c r="B2682" s="2">
        <v>48338</v>
      </c>
      <c r="C2682" t="s">
        <v>1064</v>
      </c>
      <c r="D2682" t="s">
        <v>1065</v>
      </c>
      <c r="E2682" t="s">
        <v>39</v>
      </c>
      <c r="F2682" t="s">
        <v>124</v>
      </c>
      <c r="G2682" t="s">
        <v>51</v>
      </c>
      <c r="H2682" t="s">
        <v>52</v>
      </c>
      <c r="I2682" t="s">
        <v>208</v>
      </c>
      <c r="J2682">
        <v>2</v>
      </c>
      <c r="K2682">
        <v>2800</v>
      </c>
      <c r="L2682">
        <v>0.1</v>
      </c>
      <c r="M2682">
        <v>5040</v>
      </c>
      <c r="N2682">
        <v>3600</v>
      </c>
      <c r="O2682">
        <v>1440</v>
      </c>
    </row>
    <row r="2683" spans="1:15" x14ac:dyDescent="0.25">
      <c r="A2683" t="s">
        <v>3748</v>
      </c>
      <c r="B2683" s="2">
        <v>48339</v>
      </c>
      <c r="C2683" t="s">
        <v>2084</v>
      </c>
      <c r="D2683" t="s">
        <v>2085</v>
      </c>
      <c r="E2683" t="s">
        <v>26</v>
      </c>
      <c r="F2683" t="s">
        <v>46</v>
      </c>
      <c r="G2683" t="s">
        <v>28</v>
      </c>
      <c r="H2683" t="s">
        <v>63</v>
      </c>
      <c r="I2683" t="s">
        <v>64</v>
      </c>
      <c r="J2683">
        <v>1</v>
      </c>
      <c r="K2683">
        <v>2400</v>
      </c>
      <c r="L2683">
        <v>0.25</v>
      </c>
      <c r="M2683">
        <v>1800</v>
      </c>
      <c r="N2683">
        <v>1650</v>
      </c>
      <c r="O2683">
        <v>150</v>
      </c>
    </row>
    <row r="2684" spans="1:15" x14ac:dyDescent="0.25">
      <c r="A2684" t="s">
        <v>3749</v>
      </c>
      <c r="B2684" s="2">
        <v>48340</v>
      </c>
      <c r="C2684" t="s">
        <v>2785</v>
      </c>
      <c r="D2684" t="s">
        <v>2786</v>
      </c>
      <c r="E2684" t="s">
        <v>39</v>
      </c>
      <c r="F2684" t="s">
        <v>124</v>
      </c>
      <c r="G2684" t="s">
        <v>57</v>
      </c>
      <c r="H2684" t="s">
        <v>188</v>
      </c>
      <c r="I2684" t="s">
        <v>189</v>
      </c>
      <c r="J2684">
        <v>4</v>
      </c>
      <c r="K2684">
        <v>6200</v>
      </c>
      <c r="L2684">
        <v>0.1</v>
      </c>
      <c r="M2684">
        <v>22320</v>
      </c>
      <c r="N2684">
        <v>17200</v>
      </c>
      <c r="O2684">
        <v>5120</v>
      </c>
    </row>
    <row r="2685" spans="1:15" x14ac:dyDescent="0.25">
      <c r="A2685" t="s">
        <v>3750</v>
      </c>
      <c r="B2685" s="2">
        <v>48341</v>
      </c>
      <c r="C2685" t="s">
        <v>44</v>
      </c>
      <c r="D2685" t="s">
        <v>45</v>
      </c>
      <c r="E2685" t="s">
        <v>26</v>
      </c>
      <c r="F2685" t="s">
        <v>128</v>
      </c>
      <c r="G2685" t="s">
        <v>51</v>
      </c>
      <c r="H2685" t="s">
        <v>52</v>
      </c>
      <c r="I2685" t="s">
        <v>53</v>
      </c>
      <c r="J2685">
        <v>1</v>
      </c>
      <c r="K2685">
        <v>2200</v>
      </c>
      <c r="L2685">
        <v>0.1</v>
      </c>
      <c r="M2685">
        <v>1980</v>
      </c>
      <c r="N2685">
        <v>1450</v>
      </c>
      <c r="O2685">
        <v>530</v>
      </c>
    </row>
    <row r="2686" spans="1:15" x14ac:dyDescent="0.25">
      <c r="A2686" t="s">
        <v>3751</v>
      </c>
      <c r="B2686" s="2">
        <v>48342</v>
      </c>
      <c r="C2686" t="s">
        <v>2233</v>
      </c>
      <c r="D2686" t="s">
        <v>2234</v>
      </c>
      <c r="E2686" t="s">
        <v>96</v>
      </c>
      <c r="F2686" t="s">
        <v>200</v>
      </c>
      <c r="G2686" t="s">
        <v>51</v>
      </c>
      <c r="H2686" t="s">
        <v>52</v>
      </c>
      <c r="I2686" t="s">
        <v>53</v>
      </c>
      <c r="J2686">
        <v>2</v>
      </c>
      <c r="K2686">
        <v>2200</v>
      </c>
      <c r="L2686">
        <v>0.1</v>
      </c>
      <c r="M2686">
        <v>3960</v>
      </c>
      <c r="N2686">
        <v>2900</v>
      </c>
      <c r="O2686">
        <v>1060</v>
      </c>
    </row>
    <row r="2687" spans="1:15" x14ac:dyDescent="0.25">
      <c r="A2687" t="s">
        <v>3752</v>
      </c>
      <c r="B2687" s="2">
        <v>48343</v>
      </c>
      <c r="C2687" t="s">
        <v>633</v>
      </c>
      <c r="D2687" t="s">
        <v>634</v>
      </c>
      <c r="E2687" t="s">
        <v>26</v>
      </c>
      <c r="F2687" t="s">
        <v>34</v>
      </c>
      <c r="G2687" t="s">
        <v>28</v>
      </c>
      <c r="H2687" t="s">
        <v>29</v>
      </c>
      <c r="I2687" t="s">
        <v>35</v>
      </c>
      <c r="J2687">
        <v>4</v>
      </c>
      <c r="K2687">
        <v>4200</v>
      </c>
      <c r="L2687">
        <v>0.1</v>
      </c>
      <c r="M2687">
        <v>15120</v>
      </c>
      <c r="N2687">
        <v>11600</v>
      </c>
      <c r="O2687">
        <v>3520</v>
      </c>
    </row>
    <row r="2688" spans="1:15" x14ac:dyDescent="0.25">
      <c r="A2688" t="s">
        <v>3753</v>
      </c>
      <c r="B2688" s="2">
        <v>48344</v>
      </c>
      <c r="C2688" t="s">
        <v>737</v>
      </c>
      <c r="D2688" t="s">
        <v>738</v>
      </c>
      <c r="E2688" t="s">
        <v>26</v>
      </c>
      <c r="F2688" t="s">
        <v>128</v>
      </c>
      <c r="G2688" t="s">
        <v>51</v>
      </c>
      <c r="H2688" t="s">
        <v>21</v>
      </c>
      <c r="I2688" t="s">
        <v>80</v>
      </c>
      <c r="J2688">
        <v>1</v>
      </c>
      <c r="K2688">
        <v>850</v>
      </c>
      <c r="L2688">
        <v>0</v>
      </c>
      <c r="M2688">
        <v>850</v>
      </c>
      <c r="N2688">
        <v>560</v>
      </c>
      <c r="O2688">
        <v>290</v>
      </c>
    </row>
    <row r="2689" spans="1:15" x14ac:dyDescent="0.25">
      <c r="A2689" t="s">
        <v>3754</v>
      </c>
      <c r="B2689" s="2">
        <v>48345</v>
      </c>
      <c r="C2689" t="s">
        <v>1897</v>
      </c>
      <c r="D2689" t="s">
        <v>1898</v>
      </c>
      <c r="E2689" t="s">
        <v>26</v>
      </c>
      <c r="F2689" t="s">
        <v>204</v>
      </c>
      <c r="G2689" t="s">
        <v>20</v>
      </c>
      <c r="H2689" t="s">
        <v>84</v>
      </c>
      <c r="I2689" t="s">
        <v>85</v>
      </c>
      <c r="J2689">
        <v>2</v>
      </c>
      <c r="K2689">
        <v>280</v>
      </c>
      <c r="L2689">
        <v>0.05</v>
      </c>
      <c r="M2689">
        <v>532</v>
      </c>
      <c r="N2689">
        <v>320</v>
      </c>
      <c r="O2689">
        <v>212</v>
      </c>
    </row>
    <row r="2690" spans="1:15" x14ac:dyDescent="0.25">
      <c r="A2690" t="s">
        <v>3755</v>
      </c>
      <c r="B2690" s="2">
        <v>48346</v>
      </c>
      <c r="C2690" t="s">
        <v>1299</v>
      </c>
      <c r="D2690" t="s">
        <v>1300</v>
      </c>
      <c r="E2690" t="s">
        <v>18</v>
      </c>
      <c r="F2690" t="s">
        <v>94</v>
      </c>
      <c r="G2690" t="s">
        <v>51</v>
      </c>
      <c r="H2690" t="s">
        <v>52</v>
      </c>
      <c r="I2690" t="s">
        <v>208</v>
      </c>
      <c r="J2690">
        <v>4</v>
      </c>
      <c r="K2690">
        <v>2800</v>
      </c>
      <c r="L2690">
        <v>0.1</v>
      </c>
      <c r="M2690">
        <v>10080</v>
      </c>
      <c r="N2690">
        <v>7200</v>
      </c>
      <c r="O2690">
        <v>2880</v>
      </c>
    </row>
    <row r="2691" spans="1:15" x14ac:dyDescent="0.25">
      <c r="A2691" t="s">
        <v>3756</v>
      </c>
      <c r="B2691" s="2">
        <v>48347</v>
      </c>
      <c r="C2691" t="s">
        <v>2207</v>
      </c>
      <c r="D2691" t="s">
        <v>2208</v>
      </c>
      <c r="E2691" t="s">
        <v>26</v>
      </c>
      <c r="F2691" t="s">
        <v>34</v>
      </c>
      <c r="G2691" t="s">
        <v>28</v>
      </c>
      <c r="H2691" t="s">
        <v>29</v>
      </c>
      <c r="I2691" t="s">
        <v>47</v>
      </c>
      <c r="J2691">
        <v>5</v>
      </c>
      <c r="K2691">
        <v>6800</v>
      </c>
      <c r="L2691">
        <v>0.05</v>
      </c>
      <c r="M2691">
        <v>32300</v>
      </c>
      <c r="N2691">
        <v>23500</v>
      </c>
      <c r="O2691">
        <v>8800</v>
      </c>
    </row>
    <row r="2692" spans="1:15" x14ac:dyDescent="0.25">
      <c r="A2692" t="s">
        <v>3757</v>
      </c>
      <c r="B2692" s="2">
        <v>48348</v>
      </c>
      <c r="C2692" t="s">
        <v>1461</v>
      </c>
      <c r="D2692" t="s">
        <v>1462</v>
      </c>
      <c r="E2692" t="s">
        <v>96</v>
      </c>
      <c r="F2692" t="s">
        <v>97</v>
      </c>
      <c r="G2692" t="s">
        <v>57</v>
      </c>
      <c r="H2692" t="s">
        <v>104</v>
      </c>
      <c r="I2692" t="s">
        <v>105</v>
      </c>
      <c r="J2692">
        <v>4</v>
      </c>
      <c r="K2692">
        <v>7500</v>
      </c>
      <c r="L2692">
        <v>0.1</v>
      </c>
      <c r="M2692">
        <v>27000</v>
      </c>
      <c r="N2692">
        <v>20800</v>
      </c>
      <c r="O2692">
        <v>6200</v>
      </c>
    </row>
    <row r="2693" spans="1:15" x14ac:dyDescent="0.25">
      <c r="A2693" t="s">
        <v>3758</v>
      </c>
      <c r="B2693" s="2">
        <v>48349</v>
      </c>
      <c r="C2693" t="s">
        <v>268</v>
      </c>
      <c r="D2693" t="s">
        <v>269</v>
      </c>
      <c r="E2693" t="s">
        <v>26</v>
      </c>
      <c r="F2693" t="s">
        <v>46</v>
      </c>
      <c r="G2693" t="s">
        <v>20</v>
      </c>
      <c r="H2693" t="s">
        <v>84</v>
      </c>
      <c r="I2693" t="s">
        <v>169</v>
      </c>
      <c r="J2693">
        <v>4</v>
      </c>
      <c r="K2693">
        <v>450</v>
      </c>
      <c r="L2693">
        <v>0</v>
      </c>
      <c r="M2693">
        <v>1800</v>
      </c>
      <c r="N2693">
        <v>1040</v>
      </c>
      <c r="O2693">
        <v>760</v>
      </c>
    </row>
    <row r="2694" spans="1:15" x14ac:dyDescent="0.25">
      <c r="A2694" t="s">
        <v>3759</v>
      </c>
      <c r="B2694" s="2">
        <v>48350</v>
      </c>
      <c r="C2694" t="s">
        <v>778</v>
      </c>
      <c r="D2694" t="s">
        <v>779</v>
      </c>
      <c r="E2694" t="s">
        <v>26</v>
      </c>
      <c r="F2694" t="s">
        <v>34</v>
      </c>
      <c r="G2694" t="s">
        <v>20</v>
      </c>
      <c r="H2694" t="s">
        <v>84</v>
      </c>
      <c r="I2694" t="s">
        <v>169</v>
      </c>
      <c r="J2694">
        <v>4</v>
      </c>
      <c r="K2694">
        <v>450</v>
      </c>
      <c r="L2694">
        <v>0.15</v>
      </c>
      <c r="M2694">
        <v>1530</v>
      </c>
      <c r="N2694">
        <v>1040</v>
      </c>
      <c r="O2694">
        <v>490</v>
      </c>
    </row>
    <row r="2695" spans="1:15" x14ac:dyDescent="0.25">
      <c r="A2695" t="s">
        <v>3760</v>
      </c>
      <c r="B2695" s="2">
        <v>48351</v>
      </c>
      <c r="C2695" t="s">
        <v>284</v>
      </c>
      <c r="D2695" t="s">
        <v>285</v>
      </c>
      <c r="E2695" t="s">
        <v>26</v>
      </c>
      <c r="F2695" t="s">
        <v>204</v>
      </c>
      <c r="G2695" t="s">
        <v>57</v>
      </c>
      <c r="H2695" t="s">
        <v>104</v>
      </c>
      <c r="I2695" t="s">
        <v>105</v>
      </c>
      <c r="J2695">
        <v>5</v>
      </c>
      <c r="K2695">
        <v>7500</v>
      </c>
      <c r="L2695">
        <v>0.15</v>
      </c>
      <c r="M2695">
        <v>31875</v>
      </c>
      <c r="N2695">
        <v>26000</v>
      </c>
      <c r="O2695">
        <v>5875</v>
      </c>
    </row>
    <row r="2696" spans="1:15" x14ac:dyDescent="0.25">
      <c r="A2696" t="s">
        <v>3761</v>
      </c>
      <c r="B2696" s="2">
        <v>48352</v>
      </c>
      <c r="C2696" t="s">
        <v>2760</v>
      </c>
      <c r="D2696" t="s">
        <v>2761</v>
      </c>
      <c r="E2696" t="s">
        <v>39</v>
      </c>
      <c r="F2696" t="s">
        <v>71</v>
      </c>
      <c r="G2696" t="s">
        <v>51</v>
      </c>
      <c r="H2696" t="s">
        <v>21</v>
      </c>
      <c r="I2696" t="s">
        <v>72</v>
      </c>
      <c r="J2696">
        <v>5</v>
      </c>
      <c r="K2696">
        <v>1800</v>
      </c>
      <c r="L2696">
        <v>0.05</v>
      </c>
      <c r="M2696">
        <v>8550</v>
      </c>
      <c r="N2696">
        <v>5500</v>
      </c>
      <c r="O2696">
        <v>3050</v>
      </c>
    </row>
    <row r="2697" spans="1:15" x14ac:dyDescent="0.25">
      <c r="A2697" t="s">
        <v>3762</v>
      </c>
      <c r="B2697" s="2">
        <v>48353</v>
      </c>
      <c r="C2697" t="s">
        <v>1589</v>
      </c>
      <c r="D2697" t="s">
        <v>1590</v>
      </c>
      <c r="E2697" t="s">
        <v>26</v>
      </c>
      <c r="F2697" t="s">
        <v>128</v>
      </c>
      <c r="G2697" t="s">
        <v>51</v>
      </c>
      <c r="H2697" t="s">
        <v>21</v>
      </c>
      <c r="I2697" t="s">
        <v>72</v>
      </c>
      <c r="J2697">
        <v>4</v>
      </c>
      <c r="K2697">
        <v>1800</v>
      </c>
      <c r="L2697">
        <v>0.1</v>
      </c>
      <c r="M2697">
        <v>6480</v>
      </c>
      <c r="N2697">
        <v>4400</v>
      </c>
      <c r="O2697">
        <v>2080</v>
      </c>
    </row>
    <row r="2698" spans="1:15" x14ac:dyDescent="0.25">
      <c r="A2698" t="s">
        <v>3763</v>
      </c>
      <c r="B2698" s="2">
        <v>48354</v>
      </c>
      <c r="C2698" t="s">
        <v>390</v>
      </c>
      <c r="D2698" t="s">
        <v>391</v>
      </c>
      <c r="E2698" t="s">
        <v>26</v>
      </c>
      <c r="F2698" t="s">
        <v>27</v>
      </c>
      <c r="G2698" t="s">
        <v>51</v>
      </c>
      <c r="H2698" t="s">
        <v>21</v>
      </c>
      <c r="I2698" t="s">
        <v>80</v>
      </c>
      <c r="J2698">
        <v>1</v>
      </c>
      <c r="K2698">
        <v>850</v>
      </c>
      <c r="L2698">
        <v>0.15</v>
      </c>
      <c r="M2698">
        <v>722.5</v>
      </c>
      <c r="N2698">
        <v>560</v>
      </c>
      <c r="O2698">
        <v>162.5</v>
      </c>
    </row>
    <row r="2699" spans="1:15" x14ac:dyDescent="0.25">
      <c r="A2699" t="s">
        <v>3764</v>
      </c>
      <c r="B2699" s="2">
        <v>48355</v>
      </c>
      <c r="C2699" t="s">
        <v>778</v>
      </c>
      <c r="D2699" t="s">
        <v>779</v>
      </c>
      <c r="E2699" t="s">
        <v>39</v>
      </c>
      <c r="F2699" t="s">
        <v>40</v>
      </c>
      <c r="G2699" t="s">
        <v>57</v>
      </c>
      <c r="H2699" t="s">
        <v>58</v>
      </c>
      <c r="I2699" t="s">
        <v>59</v>
      </c>
      <c r="J2699">
        <v>5</v>
      </c>
      <c r="K2699">
        <v>5600</v>
      </c>
      <c r="L2699">
        <v>0.25</v>
      </c>
      <c r="M2699">
        <v>21000</v>
      </c>
      <c r="N2699">
        <v>19500</v>
      </c>
      <c r="O2699">
        <v>1500</v>
      </c>
    </row>
    <row r="2700" spans="1:15" x14ac:dyDescent="0.25">
      <c r="A2700" t="s">
        <v>3765</v>
      </c>
      <c r="B2700" s="2">
        <v>48356</v>
      </c>
      <c r="C2700" t="s">
        <v>1556</v>
      </c>
      <c r="D2700" t="s">
        <v>1557</v>
      </c>
      <c r="E2700" t="s">
        <v>96</v>
      </c>
      <c r="F2700" t="s">
        <v>120</v>
      </c>
      <c r="G2700" t="s">
        <v>57</v>
      </c>
      <c r="H2700" t="s">
        <v>58</v>
      </c>
      <c r="I2700" t="s">
        <v>59</v>
      </c>
      <c r="J2700">
        <v>4</v>
      </c>
      <c r="K2700">
        <v>5600</v>
      </c>
      <c r="L2700">
        <v>0.05</v>
      </c>
      <c r="M2700">
        <v>21280</v>
      </c>
      <c r="N2700">
        <v>15600</v>
      </c>
      <c r="O2700">
        <v>5680</v>
      </c>
    </row>
    <row r="2701" spans="1:15" x14ac:dyDescent="0.25">
      <c r="A2701" t="s">
        <v>3766</v>
      </c>
      <c r="B2701" s="2">
        <v>48357</v>
      </c>
      <c r="C2701" t="s">
        <v>216</v>
      </c>
      <c r="D2701" t="s">
        <v>217</v>
      </c>
      <c r="E2701" t="s">
        <v>96</v>
      </c>
      <c r="F2701" t="s">
        <v>120</v>
      </c>
      <c r="G2701" t="s">
        <v>51</v>
      </c>
      <c r="H2701" t="s">
        <v>21</v>
      </c>
      <c r="I2701" t="s">
        <v>116</v>
      </c>
      <c r="J2701">
        <v>5</v>
      </c>
      <c r="K2701">
        <v>1400</v>
      </c>
      <c r="L2701">
        <v>0.2</v>
      </c>
      <c r="M2701">
        <v>5600</v>
      </c>
      <c r="N2701">
        <v>4500</v>
      </c>
      <c r="O2701">
        <v>1100</v>
      </c>
    </row>
    <row r="2702" spans="1:15" x14ac:dyDescent="0.25">
      <c r="A2702" t="s">
        <v>3767</v>
      </c>
      <c r="B2702" s="2">
        <v>48358</v>
      </c>
      <c r="C2702" t="s">
        <v>1003</v>
      </c>
      <c r="D2702" t="s">
        <v>1004</v>
      </c>
      <c r="E2702" t="s">
        <v>39</v>
      </c>
      <c r="F2702" t="s">
        <v>71</v>
      </c>
      <c r="G2702" t="s">
        <v>51</v>
      </c>
      <c r="H2702" t="s">
        <v>21</v>
      </c>
      <c r="I2702" t="s">
        <v>72</v>
      </c>
      <c r="J2702">
        <v>4</v>
      </c>
      <c r="K2702">
        <v>1800</v>
      </c>
      <c r="L2702">
        <v>0.2</v>
      </c>
      <c r="M2702">
        <v>5760</v>
      </c>
      <c r="N2702">
        <v>4400</v>
      </c>
      <c r="O2702">
        <v>1360</v>
      </c>
    </row>
    <row r="2703" spans="1:15" x14ac:dyDescent="0.25">
      <c r="A2703" t="s">
        <v>3768</v>
      </c>
      <c r="B2703" s="2">
        <v>48359</v>
      </c>
      <c r="C2703" t="s">
        <v>510</v>
      </c>
      <c r="D2703" t="s">
        <v>511</v>
      </c>
      <c r="E2703" t="s">
        <v>39</v>
      </c>
      <c r="F2703" t="s">
        <v>76</v>
      </c>
      <c r="G2703" t="s">
        <v>51</v>
      </c>
      <c r="H2703" t="s">
        <v>21</v>
      </c>
      <c r="I2703" t="s">
        <v>116</v>
      </c>
      <c r="J2703">
        <v>1</v>
      </c>
      <c r="K2703">
        <v>1400</v>
      </c>
      <c r="L2703">
        <v>0</v>
      </c>
      <c r="M2703">
        <v>1400</v>
      </c>
      <c r="N2703">
        <v>900</v>
      </c>
      <c r="O2703">
        <v>500</v>
      </c>
    </row>
    <row r="2704" spans="1:15" x14ac:dyDescent="0.25">
      <c r="A2704" t="s">
        <v>3769</v>
      </c>
      <c r="B2704" s="2">
        <v>48360</v>
      </c>
      <c r="C2704" t="s">
        <v>2292</v>
      </c>
      <c r="D2704" t="s">
        <v>2293</v>
      </c>
      <c r="E2704" t="s">
        <v>18</v>
      </c>
      <c r="F2704" t="s">
        <v>94</v>
      </c>
      <c r="G2704" t="s">
        <v>51</v>
      </c>
      <c r="H2704" t="s">
        <v>21</v>
      </c>
      <c r="I2704" t="s">
        <v>116</v>
      </c>
      <c r="J2704">
        <v>1</v>
      </c>
      <c r="K2704">
        <v>1400</v>
      </c>
      <c r="L2704">
        <v>0.15</v>
      </c>
      <c r="M2704">
        <v>1190</v>
      </c>
      <c r="N2704">
        <v>900</v>
      </c>
      <c r="O2704">
        <v>290</v>
      </c>
    </row>
    <row r="2705" spans="1:15" x14ac:dyDescent="0.25">
      <c r="A2705" t="s">
        <v>3770</v>
      </c>
      <c r="B2705" s="2">
        <v>48361</v>
      </c>
      <c r="C2705" t="s">
        <v>744</v>
      </c>
      <c r="D2705" t="s">
        <v>745</v>
      </c>
      <c r="E2705" t="s">
        <v>26</v>
      </c>
      <c r="F2705" t="s">
        <v>204</v>
      </c>
      <c r="G2705" t="s">
        <v>51</v>
      </c>
      <c r="H2705" t="s">
        <v>52</v>
      </c>
      <c r="I2705" t="s">
        <v>208</v>
      </c>
      <c r="J2705">
        <v>4</v>
      </c>
      <c r="K2705">
        <v>2800</v>
      </c>
      <c r="L2705">
        <v>0.1</v>
      </c>
      <c r="M2705">
        <v>10080</v>
      </c>
      <c r="N2705">
        <v>7200</v>
      </c>
      <c r="O2705">
        <v>2880</v>
      </c>
    </row>
    <row r="2706" spans="1:15" x14ac:dyDescent="0.25">
      <c r="A2706" t="s">
        <v>3771</v>
      </c>
      <c r="B2706" s="2">
        <v>48362</v>
      </c>
      <c r="C2706" t="s">
        <v>177</v>
      </c>
      <c r="D2706" t="s">
        <v>178</v>
      </c>
      <c r="E2706" t="s">
        <v>26</v>
      </c>
      <c r="F2706" t="s">
        <v>128</v>
      </c>
      <c r="G2706" t="s">
        <v>51</v>
      </c>
      <c r="H2706" t="s">
        <v>52</v>
      </c>
      <c r="I2706" t="s">
        <v>53</v>
      </c>
      <c r="J2706">
        <v>2</v>
      </c>
      <c r="K2706">
        <v>2200</v>
      </c>
      <c r="L2706">
        <v>0.15</v>
      </c>
      <c r="M2706">
        <v>3740</v>
      </c>
      <c r="N2706">
        <v>2900</v>
      </c>
      <c r="O2706">
        <v>840</v>
      </c>
    </row>
    <row r="2707" spans="1:15" x14ac:dyDescent="0.25">
      <c r="A2707" t="s">
        <v>3772</v>
      </c>
      <c r="B2707" s="2">
        <v>48363</v>
      </c>
      <c r="C2707" t="s">
        <v>2687</v>
      </c>
      <c r="D2707" t="s">
        <v>2688</v>
      </c>
      <c r="E2707" t="s">
        <v>26</v>
      </c>
      <c r="F2707" t="s">
        <v>128</v>
      </c>
      <c r="G2707" t="s">
        <v>51</v>
      </c>
      <c r="H2707" t="s">
        <v>52</v>
      </c>
      <c r="I2707" t="s">
        <v>208</v>
      </c>
      <c r="J2707">
        <v>1</v>
      </c>
      <c r="K2707">
        <v>2800</v>
      </c>
      <c r="L2707">
        <v>0.1</v>
      </c>
      <c r="M2707">
        <v>2520</v>
      </c>
      <c r="N2707">
        <v>1800</v>
      </c>
      <c r="O2707">
        <v>720</v>
      </c>
    </row>
    <row r="2708" spans="1:15" x14ac:dyDescent="0.25">
      <c r="A2708" t="s">
        <v>3773</v>
      </c>
      <c r="B2708" s="2">
        <v>48364</v>
      </c>
      <c r="C2708" t="s">
        <v>174</v>
      </c>
      <c r="D2708" t="s">
        <v>175</v>
      </c>
      <c r="E2708" t="s">
        <v>39</v>
      </c>
      <c r="F2708" t="s">
        <v>40</v>
      </c>
      <c r="G2708" t="s">
        <v>51</v>
      </c>
      <c r="H2708" t="s">
        <v>21</v>
      </c>
      <c r="I2708" t="s">
        <v>80</v>
      </c>
      <c r="J2708">
        <v>5</v>
      </c>
      <c r="K2708">
        <v>850</v>
      </c>
      <c r="L2708">
        <v>0.05</v>
      </c>
      <c r="M2708">
        <v>4037.5</v>
      </c>
      <c r="N2708">
        <v>2800</v>
      </c>
      <c r="O2708">
        <v>1237.5</v>
      </c>
    </row>
    <row r="2709" spans="1:15" x14ac:dyDescent="0.25">
      <c r="A2709" t="s">
        <v>3774</v>
      </c>
      <c r="B2709" s="2">
        <v>48365</v>
      </c>
      <c r="C2709" t="s">
        <v>2022</v>
      </c>
      <c r="D2709" t="s">
        <v>2023</v>
      </c>
      <c r="E2709" t="s">
        <v>18</v>
      </c>
      <c r="F2709" t="s">
        <v>94</v>
      </c>
      <c r="G2709" t="s">
        <v>20</v>
      </c>
      <c r="H2709" t="s">
        <v>84</v>
      </c>
      <c r="I2709" t="s">
        <v>210</v>
      </c>
      <c r="J2709">
        <v>1</v>
      </c>
      <c r="K2709">
        <v>300</v>
      </c>
      <c r="L2709">
        <v>0.15</v>
      </c>
      <c r="M2709">
        <v>255</v>
      </c>
      <c r="N2709">
        <v>170</v>
      </c>
      <c r="O2709">
        <v>85</v>
      </c>
    </row>
    <row r="2710" spans="1:15" x14ac:dyDescent="0.25">
      <c r="A2710" t="s">
        <v>3775</v>
      </c>
      <c r="B2710" s="2">
        <v>48366</v>
      </c>
      <c r="C2710" t="s">
        <v>893</v>
      </c>
      <c r="D2710" t="s">
        <v>894</v>
      </c>
      <c r="E2710" t="s">
        <v>39</v>
      </c>
      <c r="F2710" t="s">
        <v>40</v>
      </c>
      <c r="G2710" t="s">
        <v>57</v>
      </c>
      <c r="H2710" t="s">
        <v>58</v>
      </c>
      <c r="I2710" t="s">
        <v>59</v>
      </c>
      <c r="J2710">
        <v>5</v>
      </c>
      <c r="K2710">
        <v>5600</v>
      </c>
      <c r="L2710">
        <v>0.1</v>
      </c>
      <c r="M2710">
        <v>25200</v>
      </c>
      <c r="N2710">
        <v>19500</v>
      </c>
      <c r="O2710">
        <v>5700</v>
      </c>
    </row>
    <row r="2711" spans="1:15" x14ac:dyDescent="0.25">
      <c r="A2711" t="s">
        <v>3776</v>
      </c>
      <c r="B2711" s="2">
        <v>48367</v>
      </c>
      <c r="C2711" t="s">
        <v>2092</v>
      </c>
      <c r="D2711" t="s">
        <v>2093</v>
      </c>
      <c r="E2711" t="s">
        <v>18</v>
      </c>
      <c r="F2711" t="s">
        <v>115</v>
      </c>
      <c r="G2711" t="s">
        <v>20</v>
      </c>
      <c r="H2711" t="s">
        <v>21</v>
      </c>
      <c r="I2711" t="s">
        <v>22</v>
      </c>
      <c r="J2711">
        <v>4</v>
      </c>
      <c r="K2711">
        <v>650</v>
      </c>
      <c r="L2711">
        <v>0</v>
      </c>
      <c r="M2711">
        <v>2600</v>
      </c>
      <c r="N2711">
        <v>1560</v>
      </c>
      <c r="O2711">
        <v>1040</v>
      </c>
    </row>
    <row r="2712" spans="1:15" x14ac:dyDescent="0.25">
      <c r="A2712" t="s">
        <v>3777</v>
      </c>
      <c r="B2712" s="2">
        <v>48368</v>
      </c>
      <c r="C2712" t="s">
        <v>1040</v>
      </c>
      <c r="D2712" t="s">
        <v>1041</v>
      </c>
      <c r="E2712" t="s">
        <v>26</v>
      </c>
      <c r="F2712" t="s">
        <v>204</v>
      </c>
      <c r="G2712" t="s">
        <v>20</v>
      </c>
      <c r="H2712" t="s">
        <v>21</v>
      </c>
      <c r="I2712" t="s">
        <v>22</v>
      </c>
      <c r="J2712">
        <v>2</v>
      </c>
      <c r="K2712">
        <v>650</v>
      </c>
      <c r="L2712">
        <v>0.05</v>
      </c>
      <c r="M2712">
        <v>1235</v>
      </c>
      <c r="N2712">
        <v>780</v>
      </c>
      <c r="O2712">
        <v>455</v>
      </c>
    </row>
    <row r="2713" spans="1:15" x14ac:dyDescent="0.25">
      <c r="A2713" t="s">
        <v>3778</v>
      </c>
      <c r="B2713" s="2">
        <v>48369</v>
      </c>
      <c r="C2713" t="s">
        <v>3142</v>
      </c>
      <c r="D2713" t="s">
        <v>3143</v>
      </c>
      <c r="E2713" t="s">
        <v>26</v>
      </c>
      <c r="F2713" t="s">
        <v>128</v>
      </c>
      <c r="G2713" t="s">
        <v>51</v>
      </c>
      <c r="H2713" t="s">
        <v>52</v>
      </c>
      <c r="I2713" t="s">
        <v>53</v>
      </c>
      <c r="J2713">
        <v>1</v>
      </c>
      <c r="K2713">
        <v>2200</v>
      </c>
      <c r="L2713">
        <v>0.15</v>
      </c>
      <c r="M2713">
        <v>1870</v>
      </c>
      <c r="N2713">
        <v>1450</v>
      </c>
      <c r="O2713">
        <v>420</v>
      </c>
    </row>
    <row r="2714" spans="1:15" x14ac:dyDescent="0.25">
      <c r="A2714" t="s">
        <v>3779</v>
      </c>
      <c r="B2714" s="2">
        <v>48370</v>
      </c>
      <c r="C2714" t="s">
        <v>478</v>
      </c>
      <c r="D2714" t="s">
        <v>479</v>
      </c>
      <c r="E2714" t="s">
        <v>96</v>
      </c>
      <c r="F2714" t="s">
        <v>196</v>
      </c>
      <c r="G2714" t="s">
        <v>51</v>
      </c>
      <c r="H2714" t="s">
        <v>52</v>
      </c>
      <c r="I2714" t="s">
        <v>208</v>
      </c>
      <c r="J2714">
        <v>3</v>
      </c>
      <c r="K2714">
        <v>2800</v>
      </c>
      <c r="L2714">
        <v>0.1</v>
      </c>
      <c r="M2714">
        <v>7560</v>
      </c>
      <c r="N2714">
        <v>5400</v>
      </c>
      <c r="O2714">
        <v>2160</v>
      </c>
    </row>
    <row r="2715" spans="1:15" x14ac:dyDescent="0.25">
      <c r="A2715" t="s">
        <v>3780</v>
      </c>
      <c r="B2715" s="2">
        <v>48371</v>
      </c>
      <c r="C2715" t="s">
        <v>248</v>
      </c>
      <c r="D2715" t="s">
        <v>249</v>
      </c>
      <c r="E2715" t="s">
        <v>26</v>
      </c>
      <c r="F2715" t="s">
        <v>27</v>
      </c>
      <c r="G2715" t="s">
        <v>57</v>
      </c>
      <c r="H2715" t="s">
        <v>58</v>
      </c>
      <c r="I2715" t="s">
        <v>59</v>
      </c>
      <c r="J2715">
        <v>4</v>
      </c>
      <c r="K2715">
        <v>5600</v>
      </c>
      <c r="L2715">
        <v>0.25</v>
      </c>
      <c r="M2715">
        <v>16800</v>
      </c>
      <c r="N2715">
        <v>15600</v>
      </c>
      <c r="O2715">
        <v>1200</v>
      </c>
    </row>
    <row r="2716" spans="1:15" x14ac:dyDescent="0.25">
      <c r="A2716" t="s">
        <v>3781</v>
      </c>
      <c r="B2716" s="2">
        <v>48372</v>
      </c>
      <c r="C2716" t="s">
        <v>1354</v>
      </c>
      <c r="D2716" t="s">
        <v>1355</v>
      </c>
      <c r="E2716" t="s">
        <v>39</v>
      </c>
      <c r="F2716" t="s">
        <v>124</v>
      </c>
      <c r="G2716" t="s">
        <v>51</v>
      </c>
      <c r="H2716" t="s">
        <v>89</v>
      </c>
      <c r="I2716" t="s">
        <v>90</v>
      </c>
      <c r="J2716">
        <v>2</v>
      </c>
      <c r="K2716">
        <v>10500</v>
      </c>
      <c r="L2716">
        <v>0.25</v>
      </c>
      <c r="M2716">
        <v>15750</v>
      </c>
      <c r="N2716">
        <v>15200</v>
      </c>
      <c r="O2716">
        <v>550</v>
      </c>
    </row>
    <row r="2717" spans="1:15" x14ac:dyDescent="0.25">
      <c r="A2717" t="s">
        <v>3782</v>
      </c>
      <c r="B2717" s="2">
        <v>48373</v>
      </c>
      <c r="C2717" t="s">
        <v>417</v>
      </c>
      <c r="D2717" t="s">
        <v>418</v>
      </c>
      <c r="E2717" t="s">
        <v>96</v>
      </c>
      <c r="F2717" t="s">
        <v>200</v>
      </c>
      <c r="G2717" t="s">
        <v>28</v>
      </c>
      <c r="H2717" t="s">
        <v>29</v>
      </c>
      <c r="I2717" t="s">
        <v>35</v>
      </c>
      <c r="J2717">
        <v>3</v>
      </c>
      <c r="K2717">
        <v>4200</v>
      </c>
      <c r="L2717">
        <v>0.2</v>
      </c>
      <c r="M2717">
        <v>10080</v>
      </c>
      <c r="N2717">
        <v>8700</v>
      </c>
      <c r="O2717">
        <v>1380</v>
      </c>
    </row>
    <row r="2718" spans="1:15" x14ac:dyDescent="0.25">
      <c r="A2718" t="s">
        <v>3783</v>
      </c>
      <c r="B2718" s="2">
        <v>48374</v>
      </c>
      <c r="C2718" t="s">
        <v>1059</v>
      </c>
      <c r="D2718" t="s">
        <v>1060</v>
      </c>
      <c r="E2718" t="s">
        <v>96</v>
      </c>
      <c r="F2718" t="s">
        <v>120</v>
      </c>
      <c r="G2718" t="s">
        <v>51</v>
      </c>
      <c r="H2718" t="s">
        <v>52</v>
      </c>
      <c r="I2718" t="s">
        <v>53</v>
      </c>
      <c r="J2718">
        <v>4</v>
      </c>
      <c r="K2718">
        <v>2200</v>
      </c>
      <c r="L2718">
        <v>0.05</v>
      </c>
      <c r="M2718">
        <v>8360</v>
      </c>
      <c r="N2718">
        <v>5800</v>
      </c>
      <c r="O2718">
        <v>2560</v>
      </c>
    </row>
    <row r="2719" spans="1:15" x14ac:dyDescent="0.25">
      <c r="A2719" t="s">
        <v>3784</v>
      </c>
      <c r="B2719" s="2">
        <v>48375</v>
      </c>
      <c r="C2719" t="s">
        <v>444</v>
      </c>
      <c r="D2719" t="s">
        <v>445</v>
      </c>
      <c r="E2719" t="s">
        <v>39</v>
      </c>
      <c r="F2719" t="s">
        <v>124</v>
      </c>
      <c r="G2719" t="s">
        <v>20</v>
      </c>
      <c r="H2719" t="s">
        <v>84</v>
      </c>
      <c r="I2719" t="s">
        <v>210</v>
      </c>
      <c r="J2719">
        <v>3</v>
      </c>
      <c r="K2719">
        <v>300</v>
      </c>
      <c r="L2719">
        <v>0</v>
      </c>
      <c r="M2719">
        <v>900</v>
      </c>
      <c r="N2719">
        <v>510</v>
      </c>
      <c r="O2719">
        <v>390</v>
      </c>
    </row>
    <row r="2720" spans="1:15" x14ac:dyDescent="0.25">
      <c r="A2720" t="s">
        <v>3785</v>
      </c>
      <c r="B2720" s="2">
        <v>48376</v>
      </c>
      <c r="C2720" t="s">
        <v>838</v>
      </c>
      <c r="D2720" t="s">
        <v>839</v>
      </c>
      <c r="E2720" t="s">
        <v>26</v>
      </c>
      <c r="F2720" t="s">
        <v>128</v>
      </c>
      <c r="G2720" t="s">
        <v>20</v>
      </c>
      <c r="H2720" t="s">
        <v>84</v>
      </c>
      <c r="I2720" t="s">
        <v>210</v>
      </c>
      <c r="J2720">
        <v>2</v>
      </c>
      <c r="K2720">
        <v>300</v>
      </c>
      <c r="L2720">
        <v>0.2</v>
      </c>
      <c r="M2720">
        <v>480</v>
      </c>
      <c r="N2720">
        <v>340</v>
      </c>
      <c r="O2720">
        <v>140</v>
      </c>
    </row>
    <row r="2721" spans="1:15" x14ac:dyDescent="0.25">
      <c r="A2721" t="s">
        <v>3786</v>
      </c>
      <c r="B2721" s="2">
        <v>48377</v>
      </c>
      <c r="C2721" t="s">
        <v>2052</v>
      </c>
      <c r="D2721" t="s">
        <v>2053</v>
      </c>
      <c r="E2721" t="s">
        <v>26</v>
      </c>
      <c r="F2721" t="s">
        <v>34</v>
      </c>
      <c r="G2721" t="s">
        <v>28</v>
      </c>
      <c r="H2721" t="s">
        <v>63</v>
      </c>
      <c r="I2721" t="s">
        <v>64</v>
      </c>
      <c r="J2721">
        <v>3</v>
      </c>
      <c r="K2721">
        <v>2400</v>
      </c>
      <c r="L2721">
        <v>0</v>
      </c>
      <c r="M2721">
        <v>7200</v>
      </c>
      <c r="N2721">
        <v>4950</v>
      </c>
      <c r="O2721">
        <v>2250</v>
      </c>
    </row>
    <row r="2722" spans="1:15" x14ac:dyDescent="0.25">
      <c r="A2722" t="s">
        <v>3787</v>
      </c>
      <c r="B2722" s="2">
        <v>48378</v>
      </c>
      <c r="C2722" t="s">
        <v>559</v>
      </c>
      <c r="D2722" t="s">
        <v>560</v>
      </c>
      <c r="E2722" t="s">
        <v>18</v>
      </c>
      <c r="F2722" t="s">
        <v>19</v>
      </c>
      <c r="G2722" t="s">
        <v>20</v>
      </c>
      <c r="H2722" t="s">
        <v>84</v>
      </c>
      <c r="I2722" t="s">
        <v>210</v>
      </c>
      <c r="J2722">
        <v>2</v>
      </c>
      <c r="K2722">
        <v>300</v>
      </c>
      <c r="L2722">
        <v>0</v>
      </c>
      <c r="M2722">
        <v>600</v>
      </c>
      <c r="N2722">
        <v>340</v>
      </c>
      <c r="O2722">
        <v>260</v>
      </c>
    </row>
    <row r="2723" spans="1:15" x14ac:dyDescent="0.25">
      <c r="A2723" t="s">
        <v>3788</v>
      </c>
      <c r="B2723" s="2">
        <v>48379</v>
      </c>
      <c r="C2723" t="s">
        <v>180</v>
      </c>
      <c r="D2723" t="s">
        <v>181</v>
      </c>
      <c r="E2723" t="s">
        <v>96</v>
      </c>
      <c r="F2723" t="s">
        <v>200</v>
      </c>
      <c r="G2723" t="s">
        <v>51</v>
      </c>
      <c r="H2723" t="s">
        <v>21</v>
      </c>
      <c r="I2723" t="s">
        <v>80</v>
      </c>
      <c r="J2723">
        <v>3</v>
      </c>
      <c r="K2723">
        <v>850</v>
      </c>
      <c r="L2723">
        <v>0</v>
      </c>
      <c r="M2723">
        <v>2550</v>
      </c>
      <c r="N2723">
        <v>1680</v>
      </c>
      <c r="O2723">
        <v>870</v>
      </c>
    </row>
    <row r="2724" spans="1:15" x14ac:dyDescent="0.25">
      <c r="A2724" t="s">
        <v>3789</v>
      </c>
      <c r="B2724" s="2">
        <v>48380</v>
      </c>
      <c r="C2724" t="s">
        <v>1003</v>
      </c>
      <c r="D2724" t="s">
        <v>1004</v>
      </c>
      <c r="E2724" t="s">
        <v>26</v>
      </c>
      <c r="F2724" t="s">
        <v>46</v>
      </c>
      <c r="G2724" t="s">
        <v>51</v>
      </c>
      <c r="H2724" t="s">
        <v>89</v>
      </c>
      <c r="I2724" t="s">
        <v>90</v>
      </c>
      <c r="J2724">
        <v>5</v>
      </c>
      <c r="K2724">
        <v>10500</v>
      </c>
      <c r="L2724">
        <v>0.05</v>
      </c>
      <c r="M2724">
        <v>49875</v>
      </c>
      <c r="N2724">
        <v>38000</v>
      </c>
      <c r="O2724">
        <v>11875</v>
      </c>
    </row>
    <row r="2725" spans="1:15" x14ac:dyDescent="0.25">
      <c r="A2725" t="s">
        <v>3790</v>
      </c>
      <c r="B2725" s="2">
        <v>48381</v>
      </c>
      <c r="C2725" t="s">
        <v>1372</v>
      </c>
      <c r="D2725" t="s">
        <v>1373</v>
      </c>
      <c r="E2725" t="s">
        <v>18</v>
      </c>
      <c r="F2725" t="s">
        <v>94</v>
      </c>
      <c r="G2725" t="s">
        <v>57</v>
      </c>
      <c r="H2725" t="s">
        <v>104</v>
      </c>
      <c r="I2725" t="s">
        <v>105</v>
      </c>
      <c r="J2725">
        <v>2</v>
      </c>
      <c r="K2725">
        <v>7500</v>
      </c>
      <c r="L2725">
        <v>0.05</v>
      </c>
      <c r="M2725">
        <v>14250</v>
      </c>
      <c r="N2725">
        <v>10400</v>
      </c>
      <c r="O2725">
        <v>3850</v>
      </c>
    </row>
    <row r="2726" spans="1:15" x14ac:dyDescent="0.25">
      <c r="A2726" t="s">
        <v>3791</v>
      </c>
      <c r="B2726" s="2">
        <v>48382</v>
      </c>
      <c r="C2726" t="s">
        <v>763</v>
      </c>
      <c r="D2726" t="s">
        <v>764</v>
      </c>
      <c r="E2726" t="s">
        <v>26</v>
      </c>
      <c r="F2726" t="s">
        <v>204</v>
      </c>
      <c r="G2726" t="s">
        <v>20</v>
      </c>
      <c r="H2726" t="s">
        <v>41</v>
      </c>
      <c r="I2726" t="s">
        <v>42</v>
      </c>
      <c r="J2726">
        <v>1</v>
      </c>
      <c r="K2726">
        <v>520</v>
      </c>
      <c r="L2726">
        <v>0.05</v>
      </c>
      <c r="M2726">
        <v>494</v>
      </c>
      <c r="N2726">
        <v>330</v>
      </c>
      <c r="O2726">
        <v>164</v>
      </c>
    </row>
    <row r="2727" spans="1:15" x14ac:dyDescent="0.25">
      <c r="A2727" t="s">
        <v>3792</v>
      </c>
      <c r="B2727" s="2">
        <v>48383</v>
      </c>
      <c r="C2727" t="s">
        <v>2488</v>
      </c>
      <c r="D2727" t="s">
        <v>2489</v>
      </c>
      <c r="E2727" t="s">
        <v>26</v>
      </c>
      <c r="F2727" t="s">
        <v>128</v>
      </c>
      <c r="G2727" t="s">
        <v>20</v>
      </c>
      <c r="H2727" t="s">
        <v>21</v>
      </c>
      <c r="I2727" t="s">
        <v>22</v>
      </c>
      <c r="J2727">
        <v>5</v>
      </c>
      <c r="K2727">
        <v>650</v>
      </c>
      <c r="L2727">
        <v>0.1</v>
      </c>
      <c r="M2727">
        <v>2925</v>
      </c>
      <c r="N2727">
        <v>1950</v>
      </c>
      <c r="O2727">
        <v>975</v>
      </c>
    </row>
    <row r="2728" spans="1:15" x14ac:dyDescent="0.25">
      <c r="A2728" t="s">
        <v>3793</v>
      </c>
      <c r="B2728" s="2">
        <v>48384</v>
      </c>
      <c r="C2728" t="s">
        <v>393</v>
      </c>
      <c r="D2728" t="s">
        <v>394</v>
      </c>
      <c r="E2728" t="s">
        <v>26</v>
      </c>
      <c r="F2728" t="s">
        <v>27</v>
      </c>
      <c r="G2728" t="s">
        <v>51</v>
      </c>
      <c r="H2728" t="s">
        <v>89</v>
      </c>
      <c r="I2728" t="s">
        <v>90</v>
      </c>
      <c r="J2728">
        <v>2</v>
      </c>
      <c r="K2728">
        <v>10500</v>
      </c>
      <c r="L2728">
        <v>0.15</v>
      </c>
      <c r="M2728">
        <v>17850</v>
      </c>
      <c r="N2728">
        <v>15200</v>
      </c>
      <c r="O2728">
        <v>2650</v>
      </c>
    </row>
    <row r="2729" spans="1:15" x14ac:dyDescent="0.25">
      <c r="A2729" t="s">
        <v>3794</v>
      </c>
      <c r="B2729" s="2">
        <v>48385</v>
      </c>
      <c r="C2729" t="s">
        <v>1889</v>
      </c>
      <c r="D2729" t="s">
        <v>1890</v>
      </c>
      <c r="E2729" t="s">
        <v>26</v>
      </c>
      <c r="F2729" t="s">
        <v>46</v>
      </c>
      <c r="G2729" t="s">
        <v>57</v>
      </c>
      <c r="H2729" t="s">
        <v>58</v>
      </c>
      <c r="I2729" t="s">
        <v>59</v>
      </c>
      <c r="J2729">
        <v>1</v>
      </c>
      <c r="K2729">
        <v>5600</v>
      </c>
      <c r="L2729">
        <v>0.2</v>
      </c>
      <c r="M2729">
        <v>4480</v>
      </c>
      <c r="N2729">
        <v>3900</v>
      </c>
      <c r="O2729">
        <v>580</v>
      </c>
    </row>
    <row r="2730" spans="1:15" x14ac:dyDescent="0.25">
      <c r="A2730" t="s">
        <v>3795</v>
      </c>
      <c r="B2730" s="2">
        <v>48386</v>
      </c>
      <c r="C2730" t="s">
        <v>1183</v>
      </c>
      <c r="D2730" t="s">
        <v>1184</v>
      </c>
      <c r="E2730" t="s">
        <v>26</v>
      </c>
      <c r="F2730" t="s">
        <v>27</v>
      </c>
      <c r="G2730" t="s">
        <v>57</v>
      </c>
      <c r="H2730" t="s">
        <v>58</v>
      </c>
      <c r="I2730" t="s">
        <v>129</v>
      </c>
      <c r="J2730">
        <v>2</v>
      </c>
      <c r="K2730">
        <v>4800</v>
      </c>
      <c r="L2730">
        <v>0.25</v>
      </c>
      <c r="M2730">
        <v>7200</v>
      </c>
      <c r="N2730">
        <v>6600</v>
      </c>
      <c r="O2730">
        <v>600</v>
      </c>
    </row>
    <row r="2731" spans="1:15" x14ac:dyDescent="0.25">
      <c r="A2731" t="s">
        <v>3796</v>
      </c>
      <c r="B2731" s="2">
        <v>48387</v>
      </c>
      <c r="C2731" t="s">
        <v>186</v>
      </c>
      <c r="D2731" t="s">
        <v>187</v>
      </c>
      <c r="E2731" t="s">
        <v>39</v>
      </c>
      <c r="F2731" t="s">
        <v>71</v>
      </c>
      <c r="G2731" t="s">
        <v>51</v>
      </c>
      <c r="H2731" t="s">
        <v>89</v>
      </c>
      <c r="I2731" t="s">
        <v>90</v>
      </c>
      <c r="J2731">
        <v>5</v>
      </c>
      <c r="K2731">
        <v>10500</v>
      </c>
      <c r="L2731">
        <v>0</v>
      </c>
      <c r="M2731">
        <v>52500</v>
      </c>
      <c r="N2731">
        <v>38000</v>
      </c>
      <c r="O2731">
        <v>14500</v>
      </c>
    </row>
    <row r="2732" spans="1:15" x14ac:dyDescent="0.25">
      <c r="A2732" t="s">
        <v>3797</v>
      </c>
      <c r="B2732" s="2">
        <v>48388</v>
      </c>
      <c r="C2732" t="s">
        <v>353</v>
      </c>
      <c r="D2732" t="s">
        <v>354</v>
      </c>
      <c r="E2732" t="s">
        <v>26</v>
      </c>
      <c r="F2732" t="s">
        <v>204</v>
      </c>
      <c r="G2732" t="s">
        <v>28</v>
      </c>
      <c r="H2732" t="s">
        <v>63</v>
      </c>
      <c r="I2732" t="s">
        <v>64</v>
      </c>
      <c r="J2732">
        <v>3</v>
      </c>
      <c r="K2732">
        <v>2400</v>
      </c>
      <c r="L2732">
        <v>0.15</v>
      </c>
      <c r="M2732">
        <v>6120</v>
      </c>
      <c r="N2732">
        <v>4950</v>
      </c>
      <c r="O2732">
        <v>1170</v>
      </c>
    </row>
    <row r="2733" spans="1:15" x14ac:dyDescent="0.25">
      <c r="A2733" t="s">
        <v>3798</v>
      </c>
      <c r="B2733" s="2">
        <v>48389</v>
      </c>
      <c r="C2733" t="s">
        <v>206</v>
      </c>
      <c r="D2733" t="s">
        <v>207</v>
      </c>
      <c r="E2733" t="s">
        <v>26</v>
      </c>
      <c r="F2733" t="s">
        <v>46</v>
      </c>
      <c r="G2733" t="s">
        <v>28</v>
      </c>
      <c r="H2733" t="s">
        <v>29</v>
      </c>
      <c r="I2733" t="s">
        <v>30</v>
      </c>
      <c r="J2733">
        <v>5</v>
      </c>
      <c r="K2733">
        <v>1900</v>
      </c>
      <c r="L2733">
        <v>0.05</v>
      </c>
      <c r="M2733">
        <v>9025</v>
      </c>
      <c r="N2733">
        <v>6250</v>
      </c>
      <c r="O2733">
        <v>2775</v>
      </c>
    </row>
    <row r="2734" spans="1:15" x14ac:dyDescent="0.25">
      <c r="A2734" t="s">
        <v>3799</v>
      </c>
      <c r="B2734" s="2">
        <v>48390</v>
      </c>
      <c r="C2734" t="s">
        <v>49</v>
      </c>
      <c r="D2734" t="s">
        <v>50</v>
      </c>
      <c r="E2734" t="s">
        <v>26</v>
      </c>
      <c r="F2734" t="s">
        <v>34</v>
      </c>
      <c r="G2734" t="s">
        <v>28</v>
      </c>
      <c r="H2734" t="s">
        <v>63</v>
      </c>
      <c r="I2734" t="s">
        <v>64</v>
      </c>
      <c r="J2734">
        <v>3</v>
      </c>
      <c r="K2734">
        <v>2400</v>
      </c>
      <c r="L2734">
        <v>0</v>
      </c>
      <c r="M2734">
        <v>7200</v>
      </c>
      <c r="N2734">
        <v>4950</v>
      </c>
      <c r="O2734">
        <v>2250</v>
      </c>
    </row>
    <row r="2735" spans="1:15" x14ac:dyDescent="0.25">
      <c r="A2735" t="s">
        <v>3800</v>
      </c>
      <c r="B2735" s="2">
        <v>48391</v>
      </c>
      <c r="C2735" t="s">
        <v>1193</v>
      </c>
      <c r="D2735" t="s">
        <v>1194</v>
      </c>
      <c r="E2735" t="s">
        <v>26</v>
      </c>
      <c r="F2735" t="s">
        <v>128</v>
      </c>
      <c r="G2735" t="s">
        <v>20</v>
      </c>
      <c r="H2735" t="s">
        <v>84</v>
      </c>
      <c r="I2735" t="s">
        <v>85</v>
      </c>
      <c r="J2735">
        <v>5</v>
      </c>
      <c r="K2735">
        <v>280</v>
      </c>
      <c r="L2735">
        <v>0.1</v>
      </c>
      <c r="M2735">
        <v>1260</v>
      </c>
      <c r="N2735">
        <v>800</v>
      </c>
      <c r="O2735">
        <v>460</v>
      </c>
    </row>
    <row r="2736" spans="1:15" x14ac:dyDescent="0.25">
      <c r="A2736" t="s">
        <v>3801</v>
      </c>
      <c r="B2736" s="2">
        <v>48392</v>
      </c>
      <c r="C2736" t="s">
        <v>2102</v>
      </c>
      <c r="D2736" t="s">
        <v>2103</v>
      </c>
      <c r="E2736" t="s">
        <v>26</v>
      </c>
      <c r="F2736" t="s">
        <v>27</v>
      </c>
      <c r="G2736" t="s">
        <v>20</v>
      </c>
      <c r="H2736" t="s">
        <v>84</v>
      </c>
      <c r="I2736" t="s">
        <v>210</v>
      </c>
      <c r="J2736">
        <v>5</v>
      </c>
      <c r="K2736">
        <v>300</v>
      </c>
      <c r="L2736">
        <v>0.05</v>
      </c>
      <c r="M2736">
        <v>1425</v>
      </c>
      <c r="N2736">
        <v>850</v>
      </c>
      <c r="O2736">
        <v>575</v>
      </c>
    </row>
    <row r="2737" spans="1:15" x14ac:dyDescent="0.25">
      <c r="A2737" t="s">
        <v>3802</v>
      </c>
      <c r="B2737" s="2">
        <v>48393</v>
      </c>
      <c r="C2737" t="s">
        <v>708</v>
      </c>
      <c r="D2737" t="s">
        <v>709</v>
      </c>
      <c r="E2737" t="s">
        <v>39</v>
      </c>
      <c r="F2737" t="s">
        <v>71</v>
      </c>
      <c r="G2737" t="s">
        <v>57</v>
      </c>
      <c r="H2737" t="s">
        <v>58</v>
      </c>
      <c r="I2737" t="s">
        <v>129</v>
      </c>
      <c r="J2737">
        <v>1</v>
      </c>
      <c r="K2737">
        <v>4800</v>
      </c>
      <c r="L2737">
        <v>0.15</v>
      </c>
      <c r="M2737">
        <v>4080</v>
      </c>
      <c r="N2737">
        <v>3300</v>
      </c>
      <c r="O2737">
        <v>780</v>
      </c>
    </row>
    <row r="2738" spans="1:15" x14ac:dyDescent="0.25">
      <c r="A2738" t="s">
        <v>3803</v>
      </c>
      <c r="B2738" s="2">
        <v>48394</v>
      </c>
      <c r="C2738" t="s">
        <v>459</v>
      </c>
      <c r="D2738" t="s">
        <v>460</v>
      </c>
      <c r="E2738" t="s">
        <v>26</v>
      </c>
      <c r="F2738" t="s">
        <v>27</v>
      </c>
      <c r="G2738" t="s">
        <v>57</v>
      </c>
      <c r="H2738" t="s">
        <v>188</v>
      </c>
      <c r="I2738" t="s">
        <v>189</v>
      </c>
      <c r="J2738">
        <v>4</v>
      </c>
      <c r="K2738">
        <v>6200</v>
      </c>
      <c r="L2738">
        <v>0.05</v>
      </c>
      <c r="M2738">
        <v>23560</v>
      </c>
      <c r="N2738">
        <v>17200</v>
      </c>
      <c r="O2738">
        <v>6360</v>
      </c>
    </row>
    <row r="2739" spans="1:15" x14ac:dyDescent="0.25">
      <c r="A2739" t="s">
        <v>3804</v>
      </c>
      <c r="B2739" s="2">
        <v>48395</v>
      </c>
      <c r="C2739" t="s">
        <v>647</v>
      </c>
      <c r="D2739" t="s">
        <v>648</v>
      </c>
      <c r="E2739" t="s">
        <v>96</v>
      </c>
      <c r="F2739" t="s">
        <v>200</v>
      </c>
      <c r="G2739" t="s">
        <v>51</v>
      </c>
      <c r="H2739" t="s">
        <v>21</v>
      </c>
      <c r="I2739" t="s">
        <v>116</v>
      </c>
      <c r="J2739">
        <v>4</v>
      </c>
      <c r="K2739">
        <v>1400</v>
      </c>
      <c r="L2739">
        <v>0.1</v>
      </c>
      <c r="M2739">
        <v>5040</v>
      </c>
      <c r="N2739">
        <v>3600</v>
      </c>
      <c r="O2739">
        <v>1440</v>
      </c>
    </row>
    <row r="2740" spans="1:15" x14ac:dyDescent="0.25">
      <c r="A2740" t="s">
        <v>3805</v>
      </c>
      <c r="B2740" s="2">
        <v>48396</v>
      </c>
      <c r="C2740" t="s">
        <v>1471</v>
      </c>
      <c r="D2740" t="s">
        <v>1472</v>
      </c>
      <c r="E2740" t="s">
        <v>26</v>
      </c>
      <c r="F2740" t="s">
        <v>128</v>
      </c>
      <c r="G2740" t="s">
        <v>51</v>
      </c>
      <c r="H2740" t="s">
        <v>52</v>
      </c>
      <c r="I2740" t="s">
        <v>53</v>
      </c>
      <c r="J2740">
        <v>1</v>
      </c>
      <c r="K2740">
        <v>2200</v>
      </c>
      <c r="L2740">
        <v>0.15</v>
      </c>
      <c r="M2740">
        <v>1870</v>
      </c>
      <c r="N2740">
        <v>1450</v>
      </c>
      <c r="O2740">
        <v>420</v>
      </c>
    </row>
    <row r="2741" spans="1:15" x14ac:dyDescent="0.25">
      <c r="A2741" t="s">
        <v>3806</v>
      </c>
      <c r="B2741" s="2">
        <v>48397</v>
      </c>
      <c r="C2741" t="s">
        <v>2019</v>
      </c>
      <c r="D2741" t="s">
        <v>2020</v>
      </c>
      <c r="E2741" t="s">
        <v>96</v>
      </c>
      <c r="F2741" t="s">
        <v>120</v>
      </c>
      <c r="G2741" t="s">
        <v>57</v>
      </c>
      <c r="H2741" t="s">
        <v>58</v>
      </c>
      <c r="I2741" t="s">
        <v>129</v>
      </c>
      <c r="J2741">
        <v>2</v>
      </c>
      <c r="K2741">
        <v>4800</v>
      </c>
      <c r="L2741">
        <v>0.05</v>
      </c>
      <c r="M2741">
        <v>9120</v>
      </c>
      <c r="N2741">
        <v>6600</v>
      </c>
      <c r="O2741">
        <v>2520</v>
      </c>
    </row>
    <row r="2742" spans="1:15" x14ac:dyDescent="0.25">
      <c r="A2742" t="s">
        <v>3807</v>
      </c>
      <c r="B2742" s="2">
        <v>48398</v>
      </c>
      <c r="C2742" t="s">
        <v>2356</v>
      </c>
      <c r="D2742" t="s">
        <v>2357</v>
      </c>
      <c r="E2742" t="s">
        <v>26</v>
      </c>
      <c r="F2742" t="s">
        <v>128</v>
      </c>
      <c r="G2742" t="s">
        <v>51</v>
      </c>
      <c r="H2742" t="s">
        <v>52</v>
      </c>
      <c r="I2742" t="s">
        <v>53</v>
      </c>
      <c r="J2742">
        <v>2</v>
      </c>
      <c r="K2742">
        <v>2200</v>
      </c>
      <c r="L2742">
        <v>0.05</v>
      </c>
      <c r="M2742">
        <v>4180</v>
      </c>
      <c r="N2742">
        <v>2900</v>
      </c>
      <c r="O2742">
        <v>1280</v>
      </c>
    </row>
    <row r="2743" spans="1:15" x14ac:dyDescent="0.25">
      <c r="A2743" t="s">
        <v>3808</v>
      </c>
      <c r="B2743" s="2">
        <v>48399</v>
      </c>
      <c r="C2743" t="s">
        <v>606</v>
      </c>
      <c r="D2743" t="s">
        <v>607</v>
      </c>
      <c r="E2743" t="s">
        <v>96</v>
      </c>
      <c r="F2743" t="s">
        <v>200</v>
      </c>
      <c r="G2743" t="s">
        <v>20</v>
      </c>
      <c r="H2743" t="s">
        <v>21</v>
      </c>
      <c r="I2743" t="s">
        <v>22</v>
      </c>
      <c r="J2743">
        <v>3</v>
      </c>
      <c r="K2743">
        <v>650</v>
      </c>
      <c r="L2743">
        <v>0.1</v>
      </c>
      <c r="M2743">
        <v>1755</v>
      </c>
      <c r="N2743">
        <v>1170</v>
      </c>
      <c r="O2743">
        <v>585</v>
      </c>
    </row>
    <row r="2744" spans="1:15" x14ac:dyDescent="0.25">
      <c r="A2744" t="s">
        <v>3809</v>
      </c>
      <c r="B2744" s="2">
        <v>48400</v>
      </c>
      <c r="C2744" t="s">
        <v>1240</v>
      </c>
      <c r="D2744" t="s">
        <v>1241</v>
      </c>
      <c r="E2744" t="s">
        <v>39</v>
      </c>
      <c r="F2744" t="s">
        <v>124</v>
      </c>
      <c r="G2744" t="s">
        <v>20</v>
      </c>
      <c r="H2744" t="s">
        <v>21</v>
      </c>
      <c r="I2744" t="s">
        <v>22</v>
      </c>
      <c r="J2744">
        <v>1</v>
      </c>
      <c r="K2744">
        <v>650</v>
      </c>
      <c r="L2744">
        <v>0.1</v>
      </c>
      <c r="M2744">
        <v>585</v>
      </c>
      <c r="N2744">
        <v>390</v>
      </c>
      <c r="O2744">
        <v>195</v>
      </c>
    </row>
    <row r="2745" spans="1:15" x14ac:dyDescent="0.25">
      <c r="A2745" t="s">
        <v>3810</v>
      </c>
      <c r="B2745" s="2">
        <v>48401</v>
      </c>
      <c r="C2745" t="s">
        <v>593</v>
      </c>
      <c r="D2745" t="s">
        <v>594</v>
      </c>
      <c r="E2745" t="s">
        <v>26</v>
      </c>
      <c r="F2745" t="s">
        <v>46</v>
      </c>
      <c r="G2745" t="s">
        <v>20</v>
      </c>
      <c r="H2745" t="s">
        <v>84</v>
      </c>
      <c r="I2745" t="s">
        <v>210</v>
      </c>
      <c r="J2745">
        <v>5</v>
      </c>
      <c r="K2745">
        <v>300</v>
      </c>
      <c r="L2745">
        <v>0</v>
      </c>
      <c r="M2745">
        <v>1500</v>
      </c>
      <c r="N2745">
        <v>850</v>
      </c>
      <c r="O2745">
        <v>650</v>
      </c>
    </row>
    <row r="2746" spans="1:15" x14ac:dyDescent="0.25">
      <c r="A2746" t="s">
        <v>3811</v>
      </c>
      <c r="B2746" s="2">
        <v>48402</v>
      </c>
      <c r="C2746" t="s">
        <v>378</v>
      </c>
      <c r="D2746" t="s">
        <v>379</v>
      </c>
      <c r="E2746" t="s">
        <v>26</v>
      </c>
      <c r="F2746" t="s">
        <v>46</v>
      </c>
      <c r="G2746" t="s">
        <v>57</v>
      </c>
      <c r="H2746" t="s">
        <v>58</v>
      </c>
      <c r="I2746" t="s">
        <v>129</v>
      </c>
      <c r="J2746">
        <v>4</v>
      </c>
      <c r="K2746">
        <v>4800</v>
      </c>
      <c r="L2746">
        <v>0.1</v>
      </c>
      <c r="M2746">
        <v>17280</v>
      </c>
      <c r="N2746">
        <v>13200</v>
      </c>
      <c r="O2746">
        <v>4080</v>
      </c>
    </row>
    <row r="2747" spans="1:15" x14ac:dyDescent="0.25">
      <c r="A2747" t="s">
        <v>3812</v>
      </c>
      <c r="B2747" s="2">
        <v>48403</v>
      </c>
      <c r="C2747" t="s">
        <v>1049</v>
      </c>
      <c r="D2747" t="s">
        <v>1050</v>
      </c>
      <c r="E2747" t="s">
        <v>26</v>
      </c>
      <c r="F2747" t="s">
        <v>46</v>
      </c>
      <c r="G2747" t="s">
        <v>51</v>
      </c>
      <c r="H2747" t="s">
        <v>21</v>
      </c>
      <c r="I2747" t="s">
        <v>72</v>
      </c>
      <c r="J2747">
        <v>2</v>
      </c>
      <c r="K2747">
        <v>1800</v>
      </c>
      <c r="L2747">
        <v>0</v>
      </c>
      <c r="M2747">
        <v>3600</v>
      </c>
      <c r="N2747">
        <v>2200</v>
      </c>
      <c r="O2747">
        <v>1400</v>
      </c>
    </row>
    <row r="2748" spans="1:15" x14ac:dyDescent="0.25">
      <c r="A2748" t="s">
        <v>3813</v>
      </c>
      <c r="B2748" s="2">
        <v>48404</v>
      </c>
      <c r="C2748" t="s">
        <v>484</v>
      </c>
      <c r="D2748" t="s">
        <v>485</v>
      </c>
      <c r="E2748" t="s">
        <v>26</v>
      </c>
      <c r="F2748" t="s">
        <v>128</v>
      </c>
      <c r="G2748" t="s">
        <v>28</v>
      </c>
      <c r="H2748" t="s">
        <v>29</v>
      </c>
      <c r="I2748" t="s">
        <v>35</v>
      </c>
      <c r="J2748">
        <v>1</v>
      </c>
      <c r="K2748">
        <v>4200</v>
      </c>
      <c r="L2748">
        <v>0.25</v>
      </c>
      <c r="M2748">
        <v>3150</v>
      </c>
      <c r="N2748">
        <v>2900</v>
      </c>
      <c r="O2748">
        <v>250</v>
      </c>
    </row>
    <row r="2749" spans="1:15" x14ac:dyDescent="0.25">
      <c r="A2749" t="s">
        <v>3814</v>
      </c>
      <c r="B2749" s="2">
        <v>48405</v>
      </c>
      <c r="C2749" t="s">
        <v>1207</v>
      </c>
      <c r="D2749" t="s">
        <v>1208</v>
      </c>
      <c r="E2749" t="s">
        <v>26</v>
      </c>
      <c r="F2749" t="s">
        <v>27</v>
      </c>
      <c r="G2749" t="s">
        <v>20</v>
      </c>
      <c r="H2749" t="s">
        <v>84</v>
      </c>
      <c r="I2749" t="s">
        <v>169</v>
      </c>
      <c r="J2749">
        <v>5</v>
      </c>
      <c r="K2749">
        <v>450</v>
      </c>
      <c r="L2749">
        <v>0.05</v>
      </c>
      <c r="M2749">
        <v>2137.5</v>
      </c>
      <c r="N2749">
        <v>1300</v>
      </c>
      <c r="O2749">
        <v>837.5</v>
      </c>
    </row>
    <row r="2750" spans="1:15" x14ac:dyDescent="0.25">
      <c r="A2750" t="s">
        <v>3815</v>
      </c>
      <c r="B2750" s="2">
        <v>48406</v>
      </c>
      <c r="C2750" t="s">
        <v>769</v>
      </c>
      <c r="D2750" t="s">
        <v>770</v>
      </c>
      <c r="E2750" t="s">
        <v>26</v>
      </c>
      <c r="F2750" t="s">
        <v>204</v>
      </c>
      <c r="G2750" t="s">
        <v>28</v>
      </c>
      <c r="H2750" t="s">
        <v>29</v>
      </c>
      <c r="I2750" t="s">
        <v>35</v>
      </c>
      <c r="J2750">
        <v>4</v>
      </c>
      <c r="K2750">
        <v>4200</v>
      </c>
      <c r="L2750">
        <v>0.1</v>
      </c>
      <c r="M2750">
        <v>15120</v>
      </c>
      <c r="N2750">
        <v>11600</v>
      </c>
      <c r="O2750">
        <v>3520</v>
      </c>
    </row>
    <row r="2751" spans="1:15" x14ac:dyDescent="0.25">
      <c r="A2751" t="s">
        <v>3816</v>
      </c>
      <c r="B2751" s="2">
        <v>48407</v>
      </c>
      <c r="C2751" t="s">
        <v>678</v>
      </c>
      <c r="D2751" t="s">
        <v>679</v>
      </c>
      <c r="E2751" t="s">
        <v>18</v>
      </c>
      <c r="F2751" t="s">
        <v>94</v>
      </c>
      <c r="G2751" t="s">
        <v>28</v>
      </c>
      <c r="H2751" t="s">
        <v>29</v>
      </c>
      <c r="I2751" t="s">
        <v>47</v>
      </c>
      <c r="J2751">
        <v>3</v>
      </c>
      <c r="K2751">
        <v>6800</v>
      </c>
      <c r="L2751">
        <v>0.15</v>
      </c>
      <c r="M2751">
        <v>17340</v>
      </c>
      <c r="N2751">
        <v>14100</v>
      </c>
      <c r="O2751">
        <v>3240</v>
      </c>
    </row>
    <row r="2752" spans="1:15" x14ac:dyDescent="0.25">
      <c r="A2752" t="s">
        <v>3817</v>
      </c>
      <c r="B2752" s="2">
        <v>48408</v>
      </c>
      <c r="C2752" t="s">
        <v>769</v>
      </c>
      <c r="D2752" t="s">
        <v>770</v>
      </c>
      <c r="E2752" t="s">
        <v>26</v>
      </c>
      <c r="F2752" t="s">
        <v>34</v>
      </c>
      <c r="G2752" t="s">
        <v>57</v>
      </c>
      <c r="H2752" t="s">
        <v>188</v>
      </c>
      <c r="I2752" t="s">
        <v>189</v>
      </c>
      <c r="J2752">
        <v>3</v>
      </c>
      <c r="K2752">
        <v>6200</v>
      </c>
      <c r="L2752">
        <v>0.05</v>
      </c>
      <c r="M2752">
        <v>17670</v>
      </c>
      <c r="N2752">
        <v>12900</v>
      </c>
      <c r="O2752">
        <v>4770</v>
      </c>
    </row>
    <row r="2753" spans="1:15" x14ac:dyDescent="0.25">
      <c r="A2753" t="s">
        <v>3818</v>
      </c>
      <c r="B2753" s="2">
        <v>48409</v>
      </c>
      <c r="C2753" t="s">
        <v>611</v>
      </c>
      <c r="D2753" t="s">
        <v>612</v>
      </c>
      <c r="E2753" t="s">
        <v>26</v>
      </c>
      <c r="F2753" t="s">
        <v>204</v>
      </c>
      <c r="G2753" t="s">
        <v>51</v>
      </c>
      <c r="H2753" t="s">
        <v>21</v>
      </c>
      <c r="I2753" t="s">
        <v>80</v>
      </c>
      <c r="J2753">
        <v>2</v>
      </c>
      <c r="K2753">
        <v>850</v>
      </c>
      <c r="L2753">
        <v>0.1</v>
      </c>
      <c r="M2753">
        <v>1530</v>
      </c>
      <c r="N2753">
        <v>1120</v>
      </c>
      <c r="O2753">
        <v>410</v>
      </c>
    </row>
    <row r="2754" spans="1:15" x14ac:dyDescent="0.25">
      <c r="A2754" t="s">
        <v>3819</v>
      </c>
      <c r="B2754" s="2">
        <v>48410</v>
      </c>
      <c r="C2754" t="s">
        <v>1323</v>
      </c>
      <c r="D2754" t="s">
        <v>1324</v>
      </c>
      <c r="E2754" t="s">
        <v>26</v>
      </c>
      <c r="F2754" t="s">
        <v>34</v>
      </c>
      <c r="G2754" t="s">
        <v>20</v>
      </c>
      <c r="H2754" t="s">
        <v>41</v>
      </c>
      <c r="I2754" t="s">
        <v>42</v>
      </c>
      <c r="J2754">
        <v>3</v>
      </c>
      <c r="K2754">
        <v>520</v>
      </c>
      <c r="L2754">
        <v>0.1</v>
      </c>
      <c r="M2754">
        <v>1404</v>
      </c>
      <c r="N2754">
        <v>990</v>
      </c>
      <c r="O2754">
        <v>414</v>
      </c>
    </row>
    <row r="2755" spans="1:15" x14ac:dyDescent="0.25">
      <c r="A2755" t="s">
        <v>3820</v>
      </c>
      <c r="B2755" s="2">
        <v>48411</v>
      </c>
      <c r="C2755" t="s">
        <v>1240</v>
      </c>
      <c r="D2755" t="s">
        <v>1241</v>
      </c>
      <c r="E2755" t="s">
        <v>26</v>
      </c>
      <c r="F2755" t="s">
        <v>128</v>
      </c>
      <c r="G2755" t="s">
        <v>57</v>
      </c>
      <c r="H2755" t="s">
        <v>58</v>
      </c>
      <c r="I2755" t="s">
        <v>59</v>
      </c>
      <c r="J2755">
        <v>1</v>
      </c>
      <c r="K2755">
        <v>5600</v>
      </c>
      <c r="L2755">
        <v>0.2</v>
      </c>
      <c r="M2755">
        <v>4480</v>
      </c>
      <c r="N2755">
        <v>3900</v>
      </c>
      <c r="O2755">
        <v>580</v>
      </c>
    </row>
    <row r="2756" spans="1:15" x14ac:dyDescent="0.25">
      <c r="A2756" t="s">
        <v>3821</v>
      </c>
      <c r="B2756" s="2">
        <v>48412</v>
      </c>
      <c r="C2756" t="s">
        <v>790</v>
      </c>
      <c r="D2756" t="s">
        <v>791</v>
      </c>
      <c r="E2756" t="s">
        <v>39</v>
      </c>
      <c r="F2756" t="s">
        <v>40</v>
      </c>
      <c r="G2756" t="s">
        <v>57</v>
      </c>
      <c r="H2756" t="s">
        <v>58</v>
      </c>
      <c r="I2756" t="s">
        <v>129</v>
      </c>
      <c r="J2756">
        <v>2</v>
      </c>
      <c r="K2756">
        <v>4800</v>
      </c>
      <c r="L2756">
        <v>0.15</v>
      </c>
      <c r="M2756">
        <v>8160</v>
      </c>
      <c r="N2756">
        <v>6600</v>
      </c>
      <c r="O2756">
        <v>1560</v>
      </c>
    </row>
    <row r="2757" spans="1:15" x14ac:dyDescent="0.25">
      <c r="A2757" t="s">
        <v>3822</v>
      </c>
      <c r="B2757" s="2">
        <v>48413</v>
      </c>
      <c r="C2757" t="s">
        <v>1731</v>
      </c>
      <c r="D2757" t="s">
        <v>1732</v>
      </c>
      <c r="E2757" t="s">
        <v>26</v>
      </c>
      <c r="F2757" t="s">
        <v>46</v>
      </c>
      <c r="G2757" t="s">
        <v>51</v>
      </c>
      <c r="H2757" t="s">
        <v>21</v>
      </c>
      <c r="I2757" t="s">
        <v>116</v>
      </c>
      <c r="J2757">
        <v>2</v>
      </c>
      <c r="K2757">
        <v>1400</v>
      </c>
      <c r="L2757">
        <v>0.1</v>
      </c>
      <c r="M2757">
        <v>2520</v>
      </c>
      <c r="N2757">
        <v>1800</v>
      </c>
      <c r="O2757">
        <v>720</v>
      </c>
    </row>
    <row r="2758" spans="1:15" x14ac:dyDescent="0.25">
      <c r="A2758" t="s">
        <v>3823</v>
      </c>
      <c r="B2758" s="2">
        <v>48414</v>
      </c>
      <c r="C2758" t="s">
        <v>360</v>
      </c>
      <c r="D2758" t="s">
        <v>361</v>
      </c>
      <c r="E2758" t="s">
        <v>26</v>
      </c>
      <c r="F2758" t="s">
        <v>46</v>
      </c>
      <c r="G2758" t="s">
        <v>51</v>
      </c>
      <c r="H2758" t="s">
        <v>21</v>
      </c>
      <c r="I2758" t="s">
        <v>80</v>
      </c>
      <c r="J2758">
        <v>5</v>
      </c>
      <c r="K2758">
        <v>850</v>
      </c>
      <c r="L2758">
        <v>0.1</v>
      </c>
      <c r="M2758">
        <v>3825</v>
      </c>
      <c r="N2758">
        <v>2800</v>
      </c>
      <c r="O2758">
        <v>1025</v>
      </c>
    </row>
    <row r="2759" spans="1:15" x14ac:dyDescent="0.25">
      <c r="A2759" t="s">
        <v>3824</v>
      </c>
      <c r="B2759" s="2">
        <v>48415</v>
      </c>
      <c r="C2759" t="s">
        <v>1434</v>
      </c>
      <c r="D2759" t="s">
        <v>1435</v>
      </c>
      <c r="E2759" t="s">
        <v>39</v>
      </c>
      <c r="F2759" t="s">
        <v>124</v>
      </c>
      <c r="G2759" t="s">
        <v>28</v>
      </c>
      <c r="H2759" t="s">
        <v>29</v>
      </c>
      <c r="I2759" t="s">
        <v>35</v>
      </c>
      <c r="J2759">
        <v>1</v>
      </c>
      <c r="K2759">
        <v>4200</v>
      </c>
      <c r="L2759">
        <v>0.15</v>
      </c>
      <c r="M2759">
        <v>3570</v>
      </c>
      <c r="N2759">
        <v>2900</v>
      </c>
      <c r="O2759">
        <v>670</v>
      </c>
    </row>
    <row r="2760" spans="1:15" x14ac:dyDescent="0.25">
      <c r="A2760" t="s">
        <v>3825</v>
      </c>
      <c r="B2760" s="2">
        <v>48416</v>
      </c>
      <c r="C2760" t="s">
        <v>747</v>
      </c>
      <c r="D2760" t="s">
        <v>748</v>
      </c>
      <c r="E2760" t="s">
        <v>96</v>
      </c>
      <c r="F2760" t="s">
        <v>120</v>
      </c>
      <c r="G2760" t="s">
        <v>20</v>
      </c>
      <c r="H2760" t="s">
        <v>21</v>
      </c>
      <c r="I2760" t="s">
        <v>22</v>
      </c>
      <c r="J2760">
        <v>3</v>
      </c>
      <c r="K2760">
        <v>650</v>
      </c>
      <c r="L2760">
        <v>0.2</v>
      </c>
      <c r="M2760">
        <v>1560</v>
      </c>
      <c r="N2760">
        <v>1170</v>
      </c>
      <c r="O2760">
        <v>390</v>
      </c>
    </row>
    <row r="2761" spans="1:15" x14ac:dyDescent="0.25">
      <c r="A2761" t="s">
        <v>3826</v>
      </c>
      <c r="B2761" s="2">
        <v>48417</v>
      </c>
      <c r="C2761" t="s">
        <v>1551</v>
      </c>
      <c r="D2761" t="s">
        <v>1552</v>
      </c>
      <c r="E2761" t="s">
        <v>96</v>
      </c>
      <c r="F2761" t="s">
        <v>120</v>
      </c>
      <c r="G2761" t="s">
        <v>28</v>
      </c>
      <c r="H2761" t="s">
        <v>63</v>
      </c>
      <c r="I2761" t="s">
        <v>64</v>
      </c>
      <c r="J2761">
        <v>3</v>
      </c>
      <c r="K2761">
        <v>2400</v>
      </c>
      <c r="L2761">
        <v>0</v>
      </c>
      <c r="M2761">
        <v>7200</v>
      </c>
      <c r="N2761">
        <v>4950</v>
      </c>
      <c r="O2761">
        <v>2250</v>
      </c>
    </row>
    <row r="2762" spans="1:15" x14ac:dyDescent="0.25">
      <c r="A2762" t="s">
        <v>3827</v>
      </c>
      <c r="B2762" s="2">
        <v>48418</v>
      </c>
      <c r="C2762" t="s">
        <v>775</v>
      </c>
      <c r="D2762" t="s">
        <v>776</v>
      </c>
      <c r="E2762" t="s">
        <v>96</v>
      </c>
      <c r="F2762" t="s">
        <v>200</v>
      </c>
      <c r="G2762" t="s">
        <v>57</v>
      </c>
      <c r="H2762" t="s">
        <v>188</v>
      </c>
      <c r="I2762" t="s">
        <v>189</v>
      </c>
      <c r="J2762">
        <v>3</v>
      </c>
      <c r="K2762">
        <v>6200</v>
      </c>
      <c r="L2762">
        <v>0.2</v>
      </c>
      <c r="M2762">
        <v>14880</v>
      </c>
      <c r="N2762">
        <v>12900</v>
      </c>
      <c r="O2762">
        <v>1980</v>
      </c>
    </row>
    <row r="2763" spans="1:15" x14ac:dyDescent="0.25">
      <c r="A2763" t="s">
        <v>3828</v>
      </c>
      <c r="B2763" s="2">
        <v>48419</v>
      </c>
      <c r="C2763" t="s">
        <v>278</v>
      </c>
      <c r="D2763" t="s">
        <v>279</v>
      </c>
      <c r="E2763" t="s">
        <v>18</v>
      </c>
      <c r="F2763" t="s">
        <v>19</v>
      </c>
      <c r="G2763" t="s">
        <v>51</v>
      </c>
      <c r="H2763" t="s">
        <v>21</v>
      </c>
      <c r="I2763" t="s">
        <v>116</v>
      </c>
      <c r="J2763">
        <v>1</v>
      </c>
      <c r="K2763">
        <v>1400</v>
      </c>
      <c r="L2763">
        <v>0.05</v>
      </c>
      <c r="M2763">
        <v>1330</v>
      </c>
      <c r="N2763">
        <v>900</v>
      </c>
      <c r="O2763">
        <v>430</v>
      </c>
    </row>
    <row r="2764" spans="1:15" x14ac:dyDescent="0.25">
      <c r="A2764" t="s">
        <v>3829</v>
      </c>
      <c r="B2764" s="2">
        <v>48420</v>
      </c>
      <c r="C2764" t="s">
        <v>225</v>
      </c>
      <c r="D2764" t="s">
        <v>226</v>
      </c>
      <c r="E2764" t="s">
        <v>18</v>
      </c>
      <c r="F2764" t="s">
        <v>19</v>
      </c>
      <c r="G2764" t="s">
        <v>28</v>
      </c>
      <c r="H2764" t="s">
        <v>29</v>
      </c>
      <c r="I2764" t="s">
        <v>35</v>
      </c>
      <c r="J2764">
        <v>5</v>
      </c>
      <c r="K2764">
        <v>4200</v>
      </c>
      <c r="L2764">
        <v>0</v>
      </c>
      <c r="M2764">
        <v>21000</v>
      </c>
      <c r="N2764">
        <v>14500</v>
      </c>
      <c r="O2764">
        <v>6500</v>
      </c>
    </row>
    <row r="2765" spans="1:15" x14ac:dyDescent="0.25">
      <c r="A2765" t="s">
        <v>3830</v>
      </c>
      <c r="B2765" s="2">
        <v>48421</v>
      </c>
      <c r="C2765" t="s">
        <v>1149</v>
      </c>
      <c r="D2765" t="s">
        <v>1150</v>
      </c>
      <c r="E2765" t="s">
        <v>39</v>
      </c>
      <c r="F2765" t="s">
        <v>71</v>
      </c>
      <c r="G2765" t="s">
        <v>51</v>
      </c>
      <c r="H2765" t="s">
        <v>21</v>
      </c>
      <c r="I2765" t="s">
        <v>72</v>
      </c>
      <c r="J2765">
        <v>1</v>
      </c>
      <c r="K2765">
        <v>1800</v>
      </c>
      <c r="L2765">
        <v>0.05</v>
      </c>
      <c r="M2765">
        <v>1710</v>
      </c>
      <c r="N2765">
        <v>1100</v>
      </c>
      <c r="O2765">
        <v>610</v>
      </c>
    </row>
    <row r="2766" spans="1:15" x14ac:dyDescent="0.25">
      <c r="A2766" t="s">
        <v>3831</v>
      </c>
      <c r="B2766" s="2">
        <v>48422</v>
      </c>
      <c r="C2766" t="s">
        <v>703</v>
      </c>
      <c r="D2766" t="s">
        <v>704</v>
      </c>
      <c r="E2766" t="s">
        <v>39</v>
      </c>
      <c r="F2766" t="s">
        <v>76</v>
      </c>
      <c r="G2766" t="s">
        <v>51</v>
      </c>
      <c r="H2766" t="s">
        <v>52</v>
      </c>
      <c r="I2766" t="s">
        <v>53</v>
      </c>
      <c r="J2766">
        <v>1</v>
      </c>
      <c r="K2766">
        <v>2200</v>
      </c>
      <c r="L2766">
        <v>0.15</v>
      </c>
      <c r="M2766">
        <v>1870</v>
      </c>
      <c r="N2766">
        <v>1450</v>
      </c>
      <c r="O2766">
        <v>420</v>
      </c>
    </row>
    <row r="2767" spans="1:15" x14ac:dyDescent="0.25">
      <c r="A2767" t="s">
        <v>3832</v>
      </c>
      <c r="B2767" s="2">
        <v>48423</v>
      </c>
      <c r="C2767" t="s">
        <v>1556</v>
      </c>
      <c r="D2767" t="s">
        <v>1557</v>
      </c>
      <c r="E2767" t="s">
        <v>96</v>
      </c>
      <c r="F2767" t="s">
        <v>196</v>
      </c>
      <c r="G2767" t="s">
        <v>51</v>
      </c>
      <c r="H2767" t="s">
        <v>52</v>
      </c>
      <c r="I2767" t="s">
        <v>53</v>
      </c>
      <c r="J2767">
        <v>4</v>
      </c>
      <c r="K2767">
        <v>2200</v>
      </c>
      <c r="L2767">
        <v>0.05</v>
      </c>
      <c r="M2767">
        <v>8360</v>
      </c>
      <c r="N2767">
        <v>5800</v>
      </c>
      <c r="O2767">
        <v>2560</v>
      </c>
    </row>
    <row r="2768" spans="1:15" x14ac:dyDescent="0.25">
      <c r="A2768" t="s">
        <v>3833</v>
      </c>
      <c r="B2768" s="2">
        <v>48424</v>
      </c>
      <c r="C2768" t="s">
        <v>405</v>
      </c>
      <c r="D2768" t="s">
        <v>406</v>
      </c>
      <c r="E2768" t="s">
        <v>26</v>
      </c>
      <c r="F2768" t="s">
        <v>27</v>
      </c>
      <c r="G2768" t="s">
        <v>57</v>
      </c>
      <c r="H2768" t="s">
        <v>58</v>
      </c>
      <c r="I2768" t="s">
        <v>59</v>
      </c>
      <c r="J2768">
        <v>5</v>
      </c>
      <c r="K2768">
        <v>5600</v>
      </c>
      <c r="L2768">
        <v>0.15</v>
      </c>
      <c r="M2768">
        <v>23800</v>
      </c>
      <c r="N2768">
        <v>19500</v>
      </c>
      <c r="O2768">
        <v>4300</v>
      </c>
    </row>
    <row r="2769" spans="1:15" x14ac:dyDescent="0.25">
      <c r="A2769" t="s">
        <v>3834</v>
      </c>
      <c r="B2769" s="2">
        <v>48425</v>
      </c>
      <c r="C2769" t="s">
        <v>378</v>
      </c>
      <c r="D2769" t="s">
        <v>379</v>
      </c>
      <c r="E2769" t="s">
        <v>26</v>
      </c>
      <c r="F2769" t="s">
        <v>128</v>
      </c>
      <c r="G2769" t="s">
        <v>20</v>
      </c>
      <c r="H2769" t="s">
        <v>84</v>
      </c>
      <c r="I2769" t="s">
        <v>169</v>
      </c>
      <c r="J2769">
        <v>2</v>
      </c>
      <c r="K2769">
        <v>450</v>
      </c>
      <c r="L2769">
        <v>0.2</v>
      </c>
      <c r="M2769">
        <v>720</v>
      </c>
      <c r="N2769">
        <v>520</v>
      </c>
      <c r="O2769">
        <v>200</v>
      </c>
    </row>
    <row r="2770" spans="1:15" x14ac:dyDescent="0.25">
      <c r="A2770" t="s">
        <v>3835</v>
      </c>
      <c r="B2770" s="2">
        <v>48426</v>
      </c>
      <c r="C2770" t="s">
        <v>1742</v>
      </c>
      <c r="D2770" t="s">
        <v>1743</v>
      </c>
      <c r="E2770" t="s">
        <v>96</v>
      </c>
      <c r="F2770" t="s">
        <v>200</v>
      </c>
      <c r="G2770" t="s">
        <v>57</v>
      </c>
      <c r="H2770" t="s">
        <v>188</v>
      </c>
      <c r="I2770" t="s">
        <v>189</v>
      </c>
      <c r="J2770">
        <v>1</v>
      </c>
      <c r="K2770">
        <v>6200</v>
      </c>
      <c r="L2770">
        <v>0.15</v>
      </c>
      <c r="M2770">
        <v>5270</v>
      </c>
      <c r="N2770">
        <v>4300</v>
      </c>
      <c r="O2770">
        <v>970</v>
      </c>
    </row>
    <row r="2771" spans="1:15" x14ac:dyDescent="0.25">
      <c r="A2771" t="s">
        <v>3836</v>
      </c>
      <c r="B2771" s="2">
        <v>48427</v>
      </c>
      <c r="C2771" t="s">
        <v>2374</v>
      </c>
      <c r="D2771" t="s">
        <v>2375</v>
      </c>
      <c r="E2771" t="s">
        <v>96</v>
      </c>
      <c r="F2771" t="s">
        <v>97</v>
      </c>
      <c r="G2771" t="s">
        <v>57</v>
      </c>
      <c r="H2771" t="s">
        <v>188</v>
      </c>
      <c r="I2771" t="s">
        <v>189</v>
      </c>
      <c r="J2771">
        <v>1</v>
      </c>
      <c r="K2771">
        <v>6200</v>
      </c>
      <c r="L2771">
        <v>0.2</v>
      </c>
      <c r="M2771">
        <v>4960</v>
      </c>
      <c r="N2771">
        <v>4300</v>
      </c>
      <c r="O2771">
        <v>660</v>
      </c>
    </row>
    <row r="2772" spans="1:15" x14ac:dyDescent="0.25">
      <c r="A2772" t="s">
        <v>3837</v>
      </c>
      <c r="B2772" s="2">
        <v>48428</v>
      </c>
      <c r="C2772" t="s">
        <v>1471</v>
      </c>
      <c r="D2772" t="s">
        <v>1472</v>
      </c>
      <c r="E2772" t="s">
        <v>26</v>
      </c>
      <c r="F2772" t="s">
        <v>128</v>
      </c>
      <c r="G2772" t="s">
        <v>51</v>
      </c>
      <c r="H2772" t="s">
        <v>21</v>
      </c>
      <c r="I2772" t="s">
        <v>116</v>
      </c>
      <c r="J2772">
        <v>2</v>
      </c>
      <c r="K2772">
        <v>1400</v>
      </c>
      <c r="L2772">
        <v>0.15</v>
      </c>
      <c r="M2772">
        <v>2380</v>
      </c>
      <c r="N2772">
        <v>1800</v>
      </c>
      <c r="O2772">
        <v>580</v>
      </c>
    </row>
    <row r="2773" spans="1:15" x14ac:dyDescent="0.25">
      <c r="A2773" t="s">
        <v>3838</v>
      </c>
      <c r="B2773" s="2">
        <v>48429</v>
      </c>
      <c r="C2773" t="s">
        <v>1620</v>
      </c>
      <c r="D2773" t="s">
        <v>1621</v>
      </c>
      <c r="E2773" t="s">
        <v>18</v>
      </c>
      <c r="F2773" t="s">
        <v>19</v>
      </c>
      <c r="G2773" t="s">
        <v>20</v>
      </c>
      <c r="H2773" t="s">
        <v>84</v>
      </c>
      <c r="I2773" t="s">
        <v>85</v>
      </c>
      <c r="J2773">
        <v>1</v>
      </c>
      <c r="K2773">
        <v>280</v>
      </c>
      <c r="L2773">
        <v>0.1</v>
      </c>
      <c r="M2773">
        <v>252</v>
      </c>
      <c r="N2773">
        <v>160</v>
      </c>
      <c r="O2773">
        <v>92</v>
      </c>
    </row>
    <row r="2774" spans="1:15" x14ac:dyDescent="0.25">
      <c r="A2774" t="s">
        <v>3839</v>
      </c>
      <c r="B2774" s="2">
        <v>48430</v>
      </c>
      <c r="C2774" t="s">
        <v>1858</v>
      </c>
      <c r="D2774" t="s">
        <v>1859</v>
      </c>
      <c r="E2774" t="s">
        <v>26</v>
      </c>
      <c r="F2774" t="s">
        <v>128</v>
      </c>
      <c r="G2774" t="s">
        <v>20</v>
      </c>
      <c r="H2774" t="s">
        <v>21</v>
      </c>
      <c r="I2774" t="s">
        <v>22</v>
      </c>
      <c r="J2774">
        <v>1</v>
      </c>
      <c r="K2774">
        <v>650</v>
      </c>
      <c r="L2774">
        <v>0.1</v>
      </c>
      <c r="M2774">
        <v>585</v>
      </c>
      <c r="N2774">
        <v>390</v>
      </c>
      <c r="O2774">
        <v>195</v>
      </c>
    </row>
    <row r="2775" spans="1:15" x14ac:dyDescent="0.25">
      <c r="A2775" t="s">
        <v>3840</v>
      </c>
      <c r="B2775" s="2">
        <v>48431</v>
      </c>
      <c r="C2775" t="s">
        <v>78</v>
      </c>
      <c r="D2775" t="s">
        <v>79</v>
      </c>
      <c r="E2775" t="s">
        <v>39</v>
      </c>
      <c r="F2775" t="s">
        <v>71</v>
      </c>
      <c r="G2775" t="s">
        <v>28</v>
      </c>
      <c r="H2775" t="s">
        <v>63</v>
      </c>
      <c r="I2775" t="s">
        <v>64</v>
      </c>
      <c r="J2775">
        <v>5</v>
      </c>
      <c r="K2775">
        <v>2400</v>
      </c>
      <c r="L2775">
        <v>0.2</v>
      </c>
      <c r="M2775">
        <v>9600</v>
      </c>
      <c r="N2775">
        <v>8250</v>
      </c>
      <c r="O2775">
        <v>1350</v>
      </c>
    </row>
    <row r="2776" spans="1:15" x14ac:dyDescent="0.25">
      <c r="A2776" t="s">
        <v>3841</v>
      </c>
      <c r="B2776" s="2">
        <v>48432</v>
      </c>
      <c r="C2776" t="s">
        <v>399</v>
      </c>
      <c r="D2776" t="s">
        <v>400</v>
      </c>
      <c r="E2776" t="s">
        <v>39</v>
      </c>
      <c r="F2776" t="s">
        <v>124</v>
      </c>
      <c r="G2776" t="s">
        <v>51</v>
      </c>
      <c r="H2776" t="s">
        <v>89</v>
      </c>
      <c r="I2776" t="s">
        <v>90</v>
      </c>
      <c r="J2776">
        <v>3</v>
      </c>
      <c r="K2776">
        <v>10500</v>
      </c>
      <c r="L2776">
        <v>0</v>
      </c>
      <c r="M2776">
        <v>31500</v>
      </c>
      <c r="N2776">
        <v>22800</v>
      </c>
      <c r="O2776">
        <v>8700</v>
      </c>
    </row>
    <row r="2777" spans="1:15" x14ac:dyDescent="0.25">
      <c r="A2777" t="s">
        <v>3842</v>
      </c>
      <c r="B2777" s="2">
        <v>48433</v>
      </c>
      <c r="C2777" t="s">
        <v>155</v>
      </c>
      <c r="D2777" t="s">
        <v>156</v>
      </c>
      <c r="E2777" t="s">
        <v>39</v>
      </c>
      <c r="F2777" t="s">
        <v>124</v>
      </c>
      <c r="G2777" t="s">
        <v>28</v>
      </c>
      <c r="H2777" t="s">
        <v>29</v>
      </c>
      <c r="I2777" t="s">
        <v>35</v>
      </c>
      <c r="J2777">
        <v>1</v>
      </c>
      <c r="K2777">
        <v>4200</v>
      </c>
      <c r="L2777">
        <v>0</v>
      </c>
      <c r="M2777">
        <v>4200</v>
      </c>
      <c r="N2777">
        <v>2900</v>
      </c>
      <c r="O2777">
        <v>1300</v>
      </c>
    </row>
    <row r="2778" spans="1:15" x14ac:dyDescent="0.25">
      <c r="A2778" t="s">
        <v>3843</v>
      </c>
      <c r="B2778" s="2">
        <v>48434</v>
      </c>
      <c r="C2778" t="s">
        <v>769</v>
      </c>
      <c r="D2778" t="s">
        <v>770</v>
      </c>
      <c r="E2778" t="s">
        <v>39</v>
      </c>
      <c r="F2778" t="s">
        <v>40</v>
      </c>
      <c r="G2778" t="s">
        <v>57</v>
      </c>
      <c r="H2778" t="s">
        <v>104</v>
      </c>
      <c r="I2778" t="s">
        <v>105</v>
      </c>
      <c r="J2778">
        <v>5</v>
      </c>
      <c r="K2778">
        <v>7500</v>
      </c>
      <c r="L2778">
        <v>0.05</v>
      </c>
      <c r="M2778">
        <v>35625</v>
      </c>
      <c r="N2778">
        <v>26000</v>
      </c>
      <c r="O2778">
        <v>9625</v>
      </c>
    </row>
    <row r="2779" spans="1:15" x14ac:dyDescent="0.25">
      <c r="A2779" t="s">
        <v>3844</v>
      </c>
      <c r="B2779" s="2">
        <v>48435</v>
      </c>
      <c r="C2779" t="s">
        <v>2019</v>
      </c>
      <c r="D2779" t="s">
        <v>2020</v>
      </c>
      <c r="E2779" t="s">
        <v>26</v>
      </c>
      <c r="F2779" t="s">
        <v>128</v>
      </c>
      <c r="G2779" t="s">
        <v>57</v>
      </c>
      <c r="H2779" t="s">
        <v>58</v>
      </c>
      <c r="I2779" t="s">
        <v>129</v>
      </c>
      <c r="J2779">
        <v>4</v>
      </c>
      <c r="K2779">
        <v>4800</v>
      </c>
      <c r="L2779">
        <v>0.1</v>
      </c>
      <c r="M2779">
        <v>17280</v>
      </c>
      <c r="N2779">
        <v>13200</v>
      </c>
      <c r="O2779">
        <v>4080</v>
      </c>
    </row>
    <row r="2780" spans="1:15" x14ac:dyDescent="0.25">
      <c r="A2780" t="s">
        <v>3845</v>
      </c>
      <c r="B2780" s="2">
        <v>48436</v>
      </c>
      <c r="C2780" t="s">
        <v>317</v>
      </c>
      <c r="D2780" t="s">
        <v>318</v>
      </c>
      <c r="E2780" t="s">
        <v>26</v>
      </c>
      <c r="F2780" t="s">
        <v>34</v>
      </c>
      <c r="G2780" t="s">
        <v>51</v>
      </c>
      <c r="H2780" t="s">
        <v>52</v>
      </c>
      <c r="I2780" t="s">
        <v>53</v>
      </c>
      <c r="J2780">
        <v>3</v>
      </c>
      <c r="K2780">
        <v>2200</v>
      </c>
      <c r="L2780">
        <v>0.15</v>
      </c>
      <c r="M2780">
        <v>5610</v>
      </c>
      <c r="N2780">
        <v>4350</v>
      </c>
      <c r="O2780">
        <v>1260</v>
      </c>
    </row>
    <row r="2781" spans="1:15" x14ac:dyDescent="0.25">
      <c r="A2781" t="s">
        <v>3846</v>
      </c>
      <c r="B2781" s="2">
        <v>48437</v>
      </c>
      <c r="C2781" t="s">
        <v>556</v>
      </c>
      <c r="D2781" t="s">
        <v>557</v>
      </c>
      <c r="E2781" t="s">
        <v>39</v>
      </c>
      <c r="F2781" t="s">
        <v>76</v>
      </c>
      <c r="G2781" t="s">
        <v>57</v>
      </c>
      <c r="H2781" t="s">
        <v>58</v>
      </c>
      <c r="I2781" t="s">
        <v>59</v>
      </c>
      <c r="J2781">
        <v>4</v>
      </c>
      <c r="K2781">
        <v>5600</v>
      </c>
      <c r="L2781">
        <v>0.15</v>
      </c>
      <c r="M2781">
        <v>19040</v>
      </c>
      <c r="N2781">
        <v>15600</v>
      </c>
      <c r="O2781">
        <v>3440</v>
      </c>
    </row>
    <row r="2782" spans="1:15" x14ac:dyDescent="0.25">
      <c r="A2782" t="s">
        <v>3847</v>
      </c>
      <c r="B2782" s="2">
        <v>48438</v>
      </c>
      <c r="C2782" t="s">
        <v>1915</v>
      </c>
      <c r="D2782" t="s">
        <v>1916</v>
      </c>
      <c r="E2782" t="s">
        <v>26</v>
      </c>
      <c r="F2782" t="s">
        <v>204</v>
      </c>
      <c r="G2782" t="s">
        <v>51</v>
      </c>
      <c r="H2782" t="s">
        <v>21</v>
      </c>
      <c r="I2782" t="s">
        <v>116</v>
      </c>
      <c r="J2782">
        <v>4</v>
      </c>
      <c r="K2782">
        <v>1400</v>
      </c>
      <c r="L2782">
        <v>0.15</v>
      </c>
      <c r="M2782">
        <v>4760</v>
      </c>
      <c r="N2782">
        <v>3600</v>
      </c>
      <c r="O2782">
        <v>1160</v>
      </c>
    </row>
    <row r="2783" spans="1:15" x14ac:dyDescent="0.25">
      <c r="A2783" t="s">
        <v>3848</v>
      </c>
      <c r="B2783" s="2">
        <v>48439</v>
      </c>
      <c r="C2783" t="s">
        <v>1220</v>
      </c>
      <c r="D2783" t="s">
        <v>1221</v>
      </c>
      <c r="E2783" t="s">
        <v>26</v>
      </c>
      <c r="F2783" t="s">
        <v>128</v>
      </c>
      <c r="G2783" t="s">
        <v>51</v>
      </c>
      <c r="H2783" t="s">
        <v>89</v>
      </c>
      <c r="I2783" t="s">
        <v>90</v>
      </c>
      <c r="J2783">
        <v>3</v>
      </c>
      <c r="K2783">
        <v>10500</v>
      </c>
      <c r="L2783">
        <v>0.15</v>
      </c>
      <c r="M2783">
        <v>26775</v>
      </c>
      <c r="N2783">
        <v>22800</v>
      </c>
      <c r="O2783">
        <v>3975</v>
      </c>
    </row>
    <row r="2784" spans="1:15" x14ac:dyDescent="0.25">
      <c r="A2784" t="s">
        <v>3849</v>
      </c>
      <c r="B2784" s="2">
        <v>48440</v>
      </c>
      <c r="C2784" t="s">
        <v>225</v>
      </c>
      <c r="D2784" t="s">
        <v>226</v>
      </c>
      <c r="E2784" t="s">
        <v>18</v>
      </c>
      <c r="F2784" t="s">
        <v>115</v>
      </c>
      <c r="G2784" t="s">
        <v>57</v>
      </c>
      <c r="H2784" t="s">
        <v>58</v>
      </c>
      <c r="I2784" t="s">
        <v>59</v>
      </c>
      <c r="J2784">
        <v>5</v>
      </c>
      <c r="K2784">
        <v>5600</v>
      </c>
      <c r="L2784">
        <v>0.1</v>
      </c>
      <c r="M2784">
        <v>25200</v>
      </c>
      <c r="N2784">
        <v>19500</v>
      </c>
      <c r="O2784">
        <v>5700</v>
      </c>
    </row>
    <row r="2785" spans="1:15" x14ac:dyDescent="0.25">
      <c r="A2785" t="s">
        <v>3850</v>
      </c>
      <c r="B2785" s="2">
        <v>48441</v>
      </c>
      <c r="C2785" t="s">
        <v>588</v>
      </c>
      <c r="D2785" t="s">
        <v>589</v>
      </c>
      <c r="E2785" t="s">
        <v>26</v>
      </c>
      <c r="F2785" t="s">
        <v>204</v>
      </c>
      <c r="G2785" t="s">
        <v>51</v>
      </c>
      <c r="H2785" t="s">
        <v>89</v>
      </c>
      <c r="I2785" t="s">
        <v>90</v>
      </c>
      <c r="J2785">
        <v>5</v>
      </c>
      <c r="K2785">
        <v>10500</v>
      </c>
      <c r="L2785">
        <v>0.05</v>
      </c>
      <c r="M2785">
        <v>49875</v>
      </c>
      <c r="N2785">
        <v>38000</v>
      </c>
      <c r="O2785">
        <v>11875</v>
      </c>
    </row>
    <row r="2786" spans="1:15" x14ac:dyDescent="0.25">
      <c r="A2786" t="s">
        <v>3851</v>
      </c>
      <c r="B2786" s="2">
        <v>48442</v>
      </c>
      <c r="C2786" t="s">
        <v>494</v>
      </c>
      <c r="D2786" t="s">
        <v>495</v>
      </c>
      <c r="E2786" t="s">
        <v>26</v>
      </c>
      <c r="F2786" t="s">
        <v>128</v>
      </c>
      <c r="G2786" t="s">
        <v>57</v>
      </c>
      <c r="H2786" t="s">
        <v>188</v>
      </c>
      <c r="I2786" t="s">
        <v>189</v>
      </c>
      <c r="J2786">
        <v>5</v>
      </c>
      <c r="K2786">
        <v>6200</v>
      </c>
      <c r="L2786">
        <v>0.1</v>
      </c>
      <c r="M2786">
        <v>27900</v>
      </c>
      <c r="N2786">
        <v>21500</v>
      </c>
      <c r="O2786">
        <v>6400</v>
      </c>
    </row>
    <row r="2787" spans="1:15" x14ac:dyDescent="0.25">
      <c r="A2787" t="s">
        <v>3852</v>
      </c>
      <c r="B2787" s="2">
        <v>48443</v>
      </c>
      <c r="C2787" t="s">
        <v>427</v>
      </c>
      <c r="D2787" t="s">
        <v>428</v>
      </c>
      <c r="E2787" t="s">
        <v>18</v>
      </c>
      <c r="F2787" t="s">
        <v>227</v>
      </c>
      <c r="G2787" t="s">
        <v>51</v>
      </c>
      <c r="H2787" t="s">
        <v>52</v>
      </c>
      <c r="I2787" t="s">
        <v>208</v>
      </c>
      <c r="J2787">
        <v>5</v>
      </c>
      <c r="K2787">
        <v>2800</v>
      </c>
      <c r="L2787">
        <v>0.15</v>
      </c>
      <c r="M2787">
        <v>11900</v>
      </c>
      <c r="N2787">
        <v>9000</v>
      </c>
      <c r="O2787">
        <v>2900</v>
      </c>
    </row>
    <row r="2788" spans="1:15" x14ac:dyDescent="0.25">
      <c r="A2788" t="s">
        <v>3853</v>
      </c>
      <c r="B2788" s="2">
        <v>48444</v>
      </c>
      <c r="C2788" t="s">
        <v>2167</v>
      </c>
      <c r="D2788" t="s">
        <v>2168</v>
      </c>
      <c r="E2788" t="s">
        <v>26</v>
      </c>
      <c r="F2788" t="s">
        <v>128</v>
      </c>
      <c r="G2788" t="s">
        <v>57</v>
      </c>
      <c r="H2788" t="s">
        <v>188</v>
      </c>
      <c r="I2788" t="s">
        <v>189</v>
      </c>
      <c r="J2788">
        <v>2</v>
      </c>
      <c r="K2788">
        <v>6200</v>
      </c>
      <c r="L2788">
        <v>0.1</v>
      </c>
      <c r="M2788">
        <v>11160</v>
      </c>
      <c r="N2788">
        <v>8600</v>
      </c>
      <c r="O2788">
        <v>2560</v>
      </c>
    </row>
    <row r="2789" spans="1:15" x14ac:dyDescent="0.25">
      <c r="A2789" t="s">
        <v>3854</v>
      </c>
      <c r="B2789" s="2">
        <v>48445</v>
      </c>
      <c r="C2789" t="s">
        <v>1793</v>
      </c>
      <c r="D2789" t="s">
        <v>1794</v>
      </c>
      <c r="E2789" t="s">
        <v>39</v>
      </c>
      <c r="F2789" t="s">
        <v>124</v>
      </c>
      <c r="G2789" t="s">
        <v>51</v>
      </c>
      <c r="H2789" t="s">
        <v>21</v>
      </c>
      <c r="I2789" t="s">
        <v>80</v>
      </c>
      <c r="J2789">
        <v>1</v>
      </c>
      <c r="K2789">
        <v>850</v>
      </c>
      <c r="L2789">
        <v>0.15</v>
      </c>
      <c r="M2789">
        <v>722.5</v>
      </c>
      <c r="N2789">
        <v>560</v>
      </c>
      <c r="O2789">
        <v>162.5</v>
      </c>
    </row>
    <row r="2790" spans="1:15" x14ac:dyDescent="0.25">
      <c r="A2790" t="s">
        <v>3855</v>
      </c>
      <c r="B2790" s="2">
        <v>48446</v>
      </c>
      <c r="C2790" t="s">
        <v>275</v>
      </c>
      <c r="D2790" t="s">
        <v>276</v>
      </c>
      <c r="E2790" t="s">
        <v>18</v>
      </c>
      <c r="F2790" t="s">
        <v>94</v>
      </c>
      <c r="G2790" t="s">
        <v>28</v>
      </c>
      <c r="H2790" t="s">
        <v>29</v>
      </c>
      <c r="I2790" t="s">
        <v>47</v>
      </c>
      <c r="J2790">
        <v>4</v>
      </c>
      <c r="K2790">
        <v>6800</v>
      </c>
      <c r="L2790">
        <v>0</v>
      </c>
      <c r="M2790">
        <v>27200</v>
      </c>
      <c r="N2790">
        <v>18800</v>
      </c>
      <c r="O2790">
        <v>8400</v>
      </c>
    </row>
    <row r="2791" spans="1:15" x14ac:dyDescent="0.25">
      <c r="A2791" t="s">
        <v>3856</v>
      </c>
      <c r="B2791" s="2">
        <v>48447</v>
      </c>
      <c r="C2791" t="s">
        <v>1207</v>
      </c>
      <c r="D2791" t="s">
        <v>1208</v>
      </c>
      <c r="E2791" t="s">
        <v>26</v>
      </c>
      <c r="F2791" t="s">
        <v>46</v>
      </c>
      <c r="G2791" t="s">
        <v>57</v>
      </c>
      <c r="H2791" t="s">
        <v>104</v>
      </c>
      <c r="I2791" t="s">
        <v>105</v>
      </c>
      <c r="J2791">
        <v>2</v>
      </c>
      <c r="K2791">
        <v>7500</v>
      </c>
      <c r="L2791">
        <v>0.15</v>
      </c>
      <c r="M2791">
        <v>12750</v>
      </c>
      <c r="N2791">
        <v>10400</v>
      </c>
      <c r="O2791">
        <v>2350</v>
      </c>
    </row>
    <row r="2792" spans="1:15" x14ac:dyDescent="0.25">
      <c r="A2792" t="s">
        <v>3857</v>
      </c>
      <c r="B2792" s="2">
        <v>48448</v>
      </c>
      <c r="C2792" t="s">
        <v>619</v>
      </c>
      <c r="D2792" t="s">
        <v>620</v>
      </c>
      <c r="E2792" t="s">
        <v>96</v>
      </c>
      <c r="F2792" t="s">
        <v>120</v>
      </c>
      <c r="G2792" t="s">
        <v>51</v>
      </c>
      <c r="H2792" t="s">
        <v>21</v>
      </c>
      <c r="I2792" t="s">
        <v>72</v>
      </c>
      <c r="J2792">
        <v>5</v>
      </c>
      <c r="K2792">
        <v>1800</v>
      </c>
      <c r="L2792">
        <v>0.15</v>
      </c>
      <c r="M2792">
        <v>7650</v>
      </c>
      <c r="N2792">
        <v>5500</v>
      </c>
      <c r="O2792">
        <v>2150</v>
      </c>
    </row>
    <row r="2793" spans="1:15" x14ac:dyDescent="0.25">
      <c r="A2793" t="s">
        <v>3858</v>
      </c>
      <c r="B2793" s="2">
        <v>48449</v>
      </c>
      <c r="C2793" t="s">
        <v>49</v>
      </c>
      <c r="D2793" t="s">
        <v>50</v>
      </c>
      <c r="E2793" t="s">
        <v>26</v>
      </c>
      <c r="F2793" t="s">
        <v>34</v>
      </c>
      <c r="G2793" t="s">
        <v>20</v>
      </c>
      <c r="H2793" t="s">
        <v>84</v>
      </c>
      <c r="I2793" t="s">
        <v>210</v>
      </c>
      <c r="J2793">
        <v>1</v>
      </c>
      <c r="K2793">
        <v>300</v>
      </c>
      <c r="L2793">
        <v>0.15</v>
      </c>
      <c r="M2793">
        <v>255</v>
      </c>
      <c r="N2793">
        <v>170</v>
      </c>
      <c r="O2793">
        <v>85</v>
      </c>
    </row>
    <row r="2794" spans="1:15" x14ac:dyDescent="0.25">
      <c r="A2794" t="s">
        <v>3859</v>
      </c>
      <c r="B2794" s="2">
        <v>48450</v>
      </c>
      <c r="C2794" t="s">
        <v>2785</v>
      </c>
      <c r="D2794" t="s">
        <v>2786</v>
      </c>
      <c r="E2794" t="s">
        <v>26</v>
      </c>
      <c r="F2794" t="s">
        <v>46</v>
      </c>
      <c r="G2794" t="s">
        <v>20</v>
      </c>
      <c r="H2794" t="s">
        <v>21</v>
      </c>
      <c r="I2794" t="s">
        <v>22</v>
      </c>
      <c r="J2794">
        <v>5</v>
      </c>
      <c r="K2794">
        <v>650</v>
      </c>
      <c r="L2794">
        <v>0.1</v>
      </c>
      <c r="M2794">
        <v>2925</v>
      </c>
      <c r="N2794">
        <v>1950</v>
      </c>
      <c r="O2794">
        <v>975</v>
      </c>
    </row>
    <row r="2795" spans="1:15" x14ac:dyDescent="0.25">
      <c r="A2795" t="s">
        <v>3860</v>
      </c>
      <c r="B2795" s="2">
        <v>48451</v>
      </c>
      <c r="C2795" t="s">
        <v>769</v>
      </c>
      <c r="D2795" t="s">
        <v>770</v>
      </c>
      <c r="E2795" t="s">
        <v>26</v>
      </c>
      <c r="F2795" t="s">
        <v>27</v>
      </c>
      <c r="G2795" t="s">
        <v>51</v>
      </c>
      <c r="H2795" t="s">
        <v>21</v>
      </c>
      <c r="I2795" t="s">
        <v>116</v>
      </c>
      <c r="J2795">
        <v>2</v>
      </c>
      <c r="K2795">
        <v>1400</v>
      </c>
      <c r="L2795">
        <v>0.15</v>
      </c>
      <c r="M2795">
        <v>2380</v>
      </c>
      <c r="N2795">
        <v>1800</v>
      </c>
      <c r="O2795">
        <v>580</v>
      </c>
    </row>
    <row r="2796" spans="1:15" x14ac:dyDescent="0.25">
      <c r="A2796" t="s">
        <v>3861</v>
      </c>
      <c r="B2796" s="2">
        <v>48452</v>
      </c>
      <c r="C2796" t="s">
        <v>346</v>
      </c>
      <c r="D2796" t="s">
        <v>347</v>
      </c>
      <c r="E2796" t="s">
        <v>96</v>
      </c>
      <c r="F2796" t="s">
        <v>120</v>
      </c>
      <c r="G2796" t="s">
        <v>57</v>
      </c>
      <c r="H2796" t="s">
        <v>104</v>
      </c>
      <c r="I2796" t="s">
        <v>105</v>
      </c>
      <c r="J2796">
        <v>2</v>
      </c>
      <c r="K2796">
        <v>7500</v>
      </c>
      <c r="L2796">
        <v>0.1</v>
      </c>
      <c r="M2796">
        <v>13500</v>
      </c>
      <c r="N2796">
        <v>10400</v>
      </c>
      <c r="O2796">
        <v>3100</v>
      </c>
    </row>
    <row r="2797" spans="1:15" x14ac:dyDescent="0.25">
      <c r="A2797" t="s">
        <v>3862</v>
      </c>
      <c r="B2797" s="2">
        <v>48453</v>
      </c>
      <c r="C2797" t="s">
        <v>703</v>
      </c>
      <c r="D2797" t="s">
        <v>704</v>
      </c>
      <c r="E2797" t="s">
        <v>26</v>
      </c>
      <c r="F2797" t="s">
        <v>27</v>
      </c>
      <c r="G2797" t="s">
        <v>51</v>
      </c>
      <c r="H2797" t="s">
        <v>52</v>
      </c>
      <c r="I2797" t="s">
        <v>208</v>
      </c>
      <c r="J2797">
        <v>3</v>
      </c>
      <c r="K2797">
        <v>2800</v>
      </c>
      <c r="L2797">
        <v>0.1</v>
      </c>
      <c r="M2797">
        <v>7560</v>
      </c>
      <c r="N2797">
        <v>5400</v>
      </c>
      <c r="O2797">
        <v>2160</v>
      </c>
    </row>
    <row r="2798" spans="1:15" x14ac:dyDescent="0.25">
      <c r="A2798" t="s">
        <v>3863</v>
      </c>
      <c r="B2798" s="2">
        <v>48454</v>
      </c>
      <c r="C2798" t="s">
        <v>1413</v>
      </c>
      <c r="D2798" t="s">
        <v>1414</v>
      </c>
      <c r="E2798" t="s">
        <v>39</v>
      </c>
      <c r="F2798" t="s">
        <v>76</v>
      </c>
      <c r="G2798" t="s">
        <v>51</v>
      </c>
      <c r="H2798" t="s">
        <v>52</v>
      </c>
      <c r="I2798" t="s">
        <v>53</v>
      </c>
      <c r="J2798">
        <v>2</v>
      </c>
      <c r="K2798">
        <v>2200</v>
      </c>
      <c r="L2798">
        <v>0.1</v>
      </c>
      <c r="M2798">
        <v>3960</v>
      </c>
      <c r="N2798">
        <v>2900</v>
      </c>
      <c r="O2798">
        <v>1060</v>
      </c>
    </row>
    <row r="2799" spans="1:15" x14ac:dyDescent="0.25">
      <c r="A2799" t="s">
        <v>3864</v>
      </c>
      <c r="B2799" s="2">
        <v>48455</v>
      </c>
      <c r="C2799" t="s">
        <v>834</v>
      </c>
      <c r="D2799" t="s">
        <v>835</v>
      </c>
      <c r="E2799" t="s">
        <v>26</v>
      </c>
      <c r="F2799" t="s">
        <v>204</v>
      </c>
      <c r="G2799" t="s">
        <v>28</v>
      </c>
      <c r="H2799" t="s">
        <v>29</v>
      </c>
      <c r="I2799" t="s">
        <v>30</v>
      </c>
      <c r="J2799">
        <v>2</v>
      </c>
      <c r="K2799">
        <v>1900</v>
      </c>
      <c r="L2799">
        <v>0.15</v>
      </c>
      <c r="M2799">
        <v>3230</v>
      </c>
      <c r="N2799">
        <v>2500</v>
      </c>
      <c r="O2799">
        <v>730</v>
      </c>
    </row>
    <row r="2800" spans="1:15" x14ac:dyDescent="0.25">
      <c r="A2800" t="s">
        <v>3865</v>
      </c>
      <c r="B2800" s="2">
        <v>48456</v>
      </c>
      <c r="C2800" t="s">
        <v>915</v>
      </c>
      <c r="D2800" t="s">
        <v>916</v>
      </c>
      <c r="E2800" t="s">
        <v>26</v>
      </c>
      <c r="F2800" t="s">
        <v>204</v>
      </c>
      <c r="G2800" t="s">
        <v>51</v>
      </c>
      <c r="H2800" t="s">
        <v>52</v>
      </c>
      <c r="I2800" t="s">
        <v>53</v>
      </c>
      <c r="J2800">
        <v>5</v>
      </c>
      <c r="K2800">
        <v>2200</v>
      </c>
      <c r="L2800">
        <v>0</v>
      </c>
      <c r="M2800">
        <v>11000</v>
      </c>
      <c r="N2800">
        <v>7250</v>
      </c>
      <c r="O2800">
        <v>3750</v>
      </c>
    </row>
    <row r="2801" spans="1:15" x14ac:dyDescent="0.25">
      <c r="A2801" t="s">
        <v>3866</v>
      </c>
      <c r="B2801" s="2">
        <v>48457</v>
      </c>
      <c r="C2801" t="s">
        <v>177</v>
      </c>
      <c r="D2801" t="s">
        <v>178</v>
      </c>
      <c r="E2801" t="s">
        <v>26</v>
      </c>
      <c r="F2801" t="s">
        <v>34</v>
      </c>
      <c r="G2801" t="s">
        <v>51</v>
      </c>
      <c r="H2801" t="s">
        <v>21</v>
      </c>
      <c r="I2801" t="s">
        <v>116</v>
      </c>
      <c r="J2801">
        <v>5</v>
      </c>
      <c r="K2801">
        <v>1400</v>
      </c>
      <c r="L2801">
        <v>0</v>
      </c>
      <c r="M2801">
        <v>7000</v>
      </c>
      <c r="N2801">
        <v>4500</v>
      </c>
      <c r="O2801">
        <v>2500</v>
      </c>
    </row>
    <row r="2802" spans="1:15" x14ac:dyDescent="0.25">
      <c r="A2802" t="s">
        <v>3867</v>
      </c>
      <c r="B2802" s="2">
        <v>48458</v>
      </c>
      <c r="C2802" t="s">
        <v>2356</v>
      </c>
      <c r="D2802" t="s">
        <v>2357</v>
      </c>
      <c r="E2802" t="s">
        <v>39</v>
      </c>
      <c r="F2802" t="s">
        <v>71</v>
      </c>
      <c r="G2802" t="s">
        <v>20</v>
      </c>
      <c r="H2802" t="s">
        <v>41</v>
      </c>
      <c r="I2802" t="s">
        <v>42</v>
      </c>
      <c r="J2802">
        <v>5</v>
      </c>
      <c r="K2802">
        <v>520</v>
      </c>
      <c r="L2802">
        <v>0.05</v>
      </c>
      <c r="M2802">
        <v>2470</v>
      </c>
      <c r="N2802">
        <v>1650</v>
      </c>
      <c r="O2802">
        <v>820</v>
      </c>
    </row>
    <row r="2803" spans="1:15" x14ac:dyDescent="0.25">
      <c r="A2803" t="s">
        <v>3868</v>
      </c>
      <c r="B2803" s="2">
        <v>48459</v>
      </c>
      <c r="C2803" t="s">
        <v>414</v>
      </c>
      <c r="D2803" t="s">
        <v>415</v>
      </c>
      <c r="E2803" t="s">
        <v>26</v>
      </c>
      <c r="F2803" t="s">
        <v>128</v>
      </c>
      <c r="G2803" t="s">
        <v>57</v>
      </c>
      <c r="H2803" t="s">
        <v>188</v>
      </c>
      <c r="I2803" t="s">
        <v>189</v>
      </c>
      <c r="J2803">
        <v>3</v>
      </c>
      <c r="K2803">
        <v>6200</v>
      </c>
      <c r="L2803">
        <v>0.05</v>
      </c>
      <c r="M2803">
        <v>17670</v>
      </c>
      <c r="N2803">
        <v>12900</v>
      </c>
      <c r="O2803">
        <v>4770</v>
      </c>
    </row>
    <row r="2804" spans="1:15" x14ac:dyDescent="0.25">
      <c r="A2804" t="s">
        <v>3869</v>
      </c>
      <c r="B2804" s="2">
        <v>48460</v>
      </c>
      <c r="C2804" t="s">
        <v>1145</v>
      </c>
      <c r="D2804" t="s">
        <v>1146</v>
      </c>
      <c r="E2804" t="s">
        <v>96</v>
      </c>
      <c r="F2804" t="s">
        <v>200</v>
      </c>
      <c r="G2804" t="s">
        <v>51</v>
      </c>
      <c r="H2804" t="s">
        <v>52</v>
      </c>
      <c r="I2804" t="s">
        <v>53</v>
      </c>
      <c r="J2804">
        <v>3</v>
      </c>
      <c r="K2804">
        <v>2200</v>
      </c>
      <c r="L2804">
        <v>0.15</v>
      </c>
      <c r="M2804">
        <v>5610</v>
      </c>
      <c r="N2804">
        <v>4350</v>
      </c>
      <c r="O2804">
        <v>1260</v>
      </c>
    </row>
    <row r="2805" spans="1:15" x14ac:dyDescent="0.25">
      <c r="A2805" t="s">
        <v>3870</v>
      </c>
      <c r="B2805" s="2">
        <v>48461</v>
      </c>
      <c r="C2805" t="s">
        <v>102</v>
      </c>
      <c r="D2805" t="s">
        <v>103</v>
      </c>
      <c r="E2805" t="s">
        <v>26</v>
      </c>
      <c r="F2805" t="s">
        <v>46</v>
      </c>
      <c r="G2805" t="s">
        <v>28</v>
      </c>
      <c r="H2805" t="s">
        <v>29</v>
      </c>
      <c r="I2805" t="s">
        <v>35</v>
      </c>
      <c r="J2805">
        <v>1</v>
      </c>
      <c r="K2805">
        <v>4200</v>
      </c>
      <c r="L2805">
        <v>0.1</v>
      </c>
      <c r="M2805">
        <v>3780</v>
      </c>
      <c r="N2805">
        <v>2900</v>
      </c>
      <c r="O2805">
        <v>880</v>
      </c>
    </row>
    <row r="2806" spans="1:15" x14ac:dyDescent="0.25">
      <c r="A2806" t="s">
        <v>3871</v>
      </c>
      <c r="B2806" s="2">
        <v>48462</v>
      </c>
      <c r="C2806" t="s">
        <v>411</v>
      </c>
      <c r="D2806" t="s">
        <v>412</v>
      </c>
      <c r="E2806" t="s">
        <v>39</v>
      </c>
      <c r="F2806" t="s">
        <v>76</v>
      </c>
      <c r="G2806" t="s">
        <v>28</v>
      </c>
      <c r="H2806" t="s">
        <v>29</v>
      </c>
      <c r="I2806" t="s">
        <v>30</v>
      </c>
      <c r="J2806">
        <v>2</v>
      </c>
      <c r="K2806">
        <v>1900</v>
      </c>
      <c r="L2806">
        <v>0.2</v>
      </c>
      <c r="M2806">
        <v>3040</v>
      </c>
      <c r="N2806">
        <v>2500</v>
      </c>
      <c r="O2806">
        <v>540</v>
      </c>
    </row>
    <row r="2807" spans="1:15" x14ac:dyDescent="0.25">
      <c r="A2807" t="s">
        <v>3872</v>
      </c>
      <c r="B2807" s="2">
        <v>48463</v>
      </c>
      <c r="C2807" t="s">
        <v>1323</v>
      </c>
      <c r="D2807" t="s">
        <v>1324</v>
      </c>
      <c r="E2807" t="s">
        <v>26</v>
      </c>
      <c r="F2807" t="s">
        <v>27</v>
      </c>
      <c r="G2807" t="s">
        <v>20</v>
      </c>
      <c r="H2807" t="s">
        <v>84</v>
      </c>
      <c r="I2807" t="s">
        <v>85</v>
      </c>
      <c r="J2807">
        <v>5</v>
      </c>
      <c r="K2807">
        <v>280</v>
      </c>
      <c r="L2807">
        <v>0.15</v>
      </c>
      <c r="M2807">
        <v>1190</v>
      </c>
      <c r="N2807">
        <v>800</v>
      </c>
      <c r="O2807">
        <v>390</v>
      </c>
    </row>
    <row r="2808" spans="1:15" x14ac:dyDescent="0.25">
      <c r="A2808" t="s">
        <v>3873</v>
      </c>
      <c r="B2808" s="2">
        <v>48464</v>
      </c>
      <c r="C2808" t="s">
        <v>662</v>
      </c>
      <c r="D2808" t="s">
        <v>663</v>
      </c>
      <c r="E2808" t="s">
        <v>39</v>
      </c>
      <c r="F2808" t="s">
        <v>71</v>
      </c>
      <c r="G2808" t="s">
        <v>20</v>
      </c>
      <c r="H2808" t="s">
        <v>41</v>
      </c>
      <c r="I2808" t="s">
        <v>42</v>
      </c>
      <c r="J2808">
        <v>2</v>
      </c>
      <c r="K2808">
        <v>520</v>
      </c>
      <c r="L2808">
        <v>0.15</v>
      </c>
      <c r="M2808">
        <v>884</v>
      </c>
      <c r="N2808">
        <v>660</v>
      </c>
      <c r="O2808">
        <v>224</v>
      </c>
    </row>
    <row r="2809" spans="1:15" x14ac:dyDescent="0.25">
      <c r="A2809" t="s">
        <v>3874</v>
      </c>
      <c r="B2809" s="2">
        <v>48465</v>
      </c>
      <c r="C2809" t="s">
        <v>876</v>
      </c>
      <c r="D2809" t="s">
        <v>877</v>
      </c>
      <c r="E2809" t="s">
        <v>39</v>
      </c>
      <c r="F2809" t="s">
        <v>124</v>
      </c>
      <c r="G2809" t="s">
        <v>51</v>
      </c>
      <c r="H2809" t="s">
        <v>21</v>
      </c>
      <c r="I2809" t="s">
        <v>116</v>
      </c>
      <c r="J2809">
        <v>3</v>
      </c>
      <c r="K2809">
        <v>1400</v>
      </c>
      <c r="L2809">
        <v>0.1</v>
      </c>
      <c r="M2809">
        <v>3780</v>
      </c>
      <c r="N2809">
        <v>2700</v>
      </c>
      <c r="O2809">
        <v>1080</v>
      </c>
    </row>
    <row r="2810" spans="1:15" x14ac:dyDescent="0.25">
      <c r="A2810" t="s">
        <v>3875</v>
      </c>
      <c r="B2810" s="2">
        <v>48466</v>
      </c>
      <c r="C2810" t="s">
        <v>787</v>
      </c>
      <c r="D2810" t="s">
        <v>788</v>
      </c>
      <c r="E2810" t="s">
        <v>96</v>
      </c>
      <c r="F2810" t="s">
        <v>97</v>
      </c>
      <c r="G2810" t="s">
        <v>57</v>
      </c>
      <c r="H2810" t="s">
        <v>58</v>
      </c>
      <c r="I2810" t="s">
        <v>129</v>
      </c>
      <c r="J2810">
        <v>3</v>
      </c>
      <c r="K2810">
        <v>4800</v>
      </c>
      <c r="L2810">
        <v>0.1</v>
      </c>
      <c r="M2810">
        <v>12960</v>
      </c>
      <c r="N2810">
        <v>9900</v>
      </c>
      <c r="O2810">
        <v>3060</v>
      </c>
    </row>
    <row r="2811" spans="1:15" x14ac:dyDescent="0.25">
      <c r="A2811" t="s">
        <v>3876</v>
      </c>
      <c r="B2811" s="2">
        <v>48467</v>
      </c>
      <c r="C2811" t="s">
        <v>2008</v>
      </c>
      <c r="D2811" t="s">
        <v>2009</v>
      </c>
      <c r="E2811" t="s">
        <v>39</v>
      </c>
      <c r="F2811" t="s">
        <v>124</v>
      </c>
      <c r="G2811" t="s">
        <v>28</v>
      </c>
      <c r="H2811" t="s">
        <v>29</v>
      </c>
      <c r="I2811" t="s">
        <v>47</v>
      </c>
      <c r="J2811">
        <v>1</v>
      </c>
      <c r="K2811">
        <v>6800</v>
      </c>
      <c r="L2811">
        <v>0.1</v>
      </c>
      <c r="M2811">
        <v>6120</v>
      </c>
      <c r="N2811">
        <v>4700</v>
      </c>
      <c r="O2811">
        <v>1420</v>
      </c>
    </row>
    <row r="2812" spans="1:15" x14ac:dyDescent="0.25">
      <c r="A2812" t="s">
        <v>3877</v>
      </c>
      <c r="B2812" s="2">
        <v>48468</v>
      </c>
      <c r="C2812" t="s">
        <v>262</v>
      </c>
      <c r="D2812" t="s">
        <v>263</v>
      </c>
      <c r="E2812" t="s">
        <v>26</v>
      </c>
      <c r="F2812" t="s">
        <v>27</v>
      </c>
      <c r="G2812" t="s">
        <v>51</v>
      </c>
      <c r="H2812" t="s">
        <v>21</v>
      </c>
      <c r="I2812" t="s">
        <v>72</v>
      </c>
      <c r="J2812">
        <v>4</v>
      </c>
      <c r="K2812">
        <v>1800</v>
      </c>
      <c r="L2812">
        <v>0.1</v>
      </c>
      <c r="M2812">
        <v>6480</v>
      </c>
      <c r="N2812">
        <v>4400</v>
      </c>
      <c r="O2812">
        <v>2080</v>
      </c>
    </row>
    <row r="2813" spans="1:15" x14ac:dyDescent="0.25">
      <c r="A2813" t="s">
        <v>3878</v>
      </c>
      <c r="B2813" s="2">
        <v>48469</v>
      </c>
      <c r="C2813" t="s">
        <v>281</v>
      </c>
      <c r="D2813" t="s">
        <v>282</v>
      </c>
      <c r="E2813" t="s">
        <v>26</v>
      </c>
      <c r="F2813" t="s">
        <v>34</v>
      </c>
      <c r="G2813" t="s">
        <v>28</v>
      </c>
      <c r="H2813" t="s">
        <v>29</v>
      </c>
      <c r="I2813" t="s">
        <v>35</v>
      </c>
      <c r="J2813">
        <v>4</v>
      </c>
      <c r="K2813">
        <v>4200</v>
      </c>
      <c r="L2813">
        <v>0</v>
      </c>
      <c r="M2813">
        <v>16800</v>
      </c>
      <c r="N2813">
        <v>11600</v>
      </c>
      <c r="O2813">
        <v>5200</v>
      </c>
    </row>
    <row r="2814" spans="1:15" x14ac:dyDescent="0.25">
      <c r="A2814" t="s">
        <v>3879</v>
      </c>
      <c r="B2814" s="2">
        <v>48470</v>
      </c>
      <c r="C2814" t="s">
        <v>2230</v>
      </c>
      <c r="D2814" t="s">
        <v>2231</v>
      </c>
      <c r="E2814" t="s">
        <v>26</v>
      </c>
      <c r="F2814" t="s">
        <v>204</v>
      </c>
      <c r="G2814" t="s">
        <v>57</v>
      </c>
      <c r="H2814" t="s">
        <v>58</v>
      </c>
      <c r="I2814" t="s">
        <v>59</v>
      </c>
      <c r="J2814">
        <v>4</v>
      </c>
      <c r="K2814">
        <v>5600</v>
      </c>
      <c r="L2814">
        <v>0.2</v>
      </c>
      <c r="M2814">
        <v>17920</v>
      </c>
      <c r="N2814">
        <v>15600</v>
      </c>
      <c r="O2814">
        <v>2320</v>
      </c>
    </row>
    <row r="2815" spans="1:15" x14ac:dyDescent="0.25">
      <c r="A2815" t="s">
        <v>3880</v>
      </c>
      <c r="B2815" s="2">
        <v>48471</v>
      </c>
      <c r="C2815" t="s">
        <v>1003</v>
      </c>
      <c r="D2815" t="s">
        <v>1004</v>
      </c>
      <c r="E2815" t="s">
        <v>39</v>
      </c>
      <c r="F2815" t="s">
        <v>40</v>
      </c>
      <c r="G2815" t="s">
        <v>51</v>
      </c>
      <c r="H2815" t="s">
        <v>52</v>
      </c>
      <c r="I2815" t="s">
        <v>53</v>
      </c>
      <c r="J2815">
        <v>2</v>
      </c>
      <c r="K2815">
        <v>2200</v>
      </c>
      <c r="L2815">
        <v>0.05</v>
      </c>
      <c r="M2815">
        <v>4180</v>
      </c>
      <c r="N2815">
        <v>2900</v>
      </c>
      <c r="O2815">
        <v>1280</v>
      </c>
    </row>
    <row r="2816" spans="1:15" x14ac:dyDescent="0.25">
      <c r="A2816" t="s">
        <v>3881</v>
      </c>
      <c r="B2816" s="2">
        <v>48472</v>
      </c>
      <c r="C2816" t="s">
        <v>553</v>
      </c>
      <c r="D2816" t="s">
        <v>554</v>
      </c>
      <c r="E2816" t="s">
        <v>26</v>
      </c>
      <c r="F2816" t="s">
        <v>128</v>
      </c>
      <c r="G2816" t="s">
        <v>28</v>
      </c>
      <c r="H2816" t="s">
        <v>29</v>
      </c>
      <c r="I2816" t="s">
        <v>30</v>
      </c>
      <c r="J2816">
        <v>5</v>
      </c>
      <c r="K2816">
        <v>1900</v>
      </c>
      <c r="L2816">
        <v>0.2</v>
      </c>
      <c r="M2816">
        <v>7600</v>
      </c>
      <c r="N2816">
        <v>6250</v>
      </c>
      <c r="O2816">
        <v>1350</v>
      </c>
    </row>
    <row r="2817" spans="1:15" x14ac:dyDescent="0.25">
      <c r="A2817" t="s">
        <v>3882</v>
      </c>
      <c r="B2817" s="2">
        <v>48473</v>
      </c>
      <c r="C2817" t="s">
        <v>1012</v>
      </c>
      <c r="D2817" t="s">
        <v>1013</v>
      </c>
      <c r="E2817" t="s">
        <v>26</v>
      </c>
      <c r="F2817" t="s">
        <v>204</v>
      </c>
      <c r="G2817" t="s">
        <v>20</v>
      </c>
      <c r="H2817" t="s">
        <v>21</v>
      </c>
      <c r="I2817" t="s">
        <v>22</v>
      </c>
      <c r="J2817">
        <v>5</v>
      </c>
      <c r="K2817">
        <v>650</v>
      </c>
      <c r="L2817">
        <v>0.15</v>
      </c>
      <c r="M2817">
        <v>2762.5</v>
      </c>
      <c r="N2817">
        <v>1950</v>
      </c>
      <c r="O2817">
        <v>812.5</v>
      </c>
    </row>
    <row r="2818" spans="1:15" x14ac:dyDescent="0.25">
      <c r="A2818" t="s">
        <v>3883</v>
      </c>
      <c r="B2818" s="2">
        <v>48474</v>
      </c>
      <c r="C2818" t="s">
        <v>715</v>
      </c>
      <c r="D2818" t="s">
        <v>716</v>
      </c>
      <c r="E2818" t="s">
        <v>26</v>
      </c>
      <c r="F2818" t="s">
        <v>34</v>
      </c>
      <c r="G2818" t="s">
        <v>57</v>
      </c>
      <c r="H2818" t="s">
        <v>188</v>
      </c>
      <c r="I2818" t="s">
        <v>189</v>
      </c>
      <c r="J2818">
        <v>3</v>
      </c>
      <c r="K2818">
        <v>6200</v>
      </c>
      <c r="L2818">
        <v>0</v>
      </c>
      <c r="M2818">
        <v>18600</v>
      </c>
      <c r="N2818">
        <v>12900</v>
      </c>
      <c r="O2818">
        <v>5700</v>
      </c>
    </row>
    <row r="2819" spans="1:15" x14ac:dyDescent="0.25">
      <c r="A2819" t="s">
        <v>3884</v>
      </c>
      <c r="B2819" s="2">
        <v>48475</v>
      </c>
      <c r="C2819" t="s">
        <v>158</v>
      </c>
      <c r="D2819" t="s">
        <v>159</v>
      </c>
      <c r="E2819" t="s">
        <v>39</v>
      </c>
      <c r="F2819" t="s">
        <v>124</v>
      </c>
      <c r="G2819" t="s">
        <v>20</v>
      </c>
      <c r="H2819" t="s">
        <v>84</v>
      </c>
      <c r="I2819" t="s">
        <v>85</v>
      </c>
      <c r="J2819">
        <v>1</v>
      </c>
      <c r="K2819">
        <v>280</v>
      </c>
      <c r="L2819">
        <v>0.05</v>
      </c>
      <c r="M2819">
        <v>266</v>
      </c>
      <c r="N2819">
        <v>160</v>
      </c>
      <c r="O2819">
        <v>106</v>
      </c>
    </row>
    <row r="2820" spans="1:15" x14ac:dyDescent="0.25">
      <c r="A2820" t="s">
        <v>3885</v>
      </c>
      <c r="B2820" s="2">
        <v>48476</v>
      </c>
      <c r="C2820" t="s">
        <v>643</v>
      </c>
      <c r="D2820" t="s">
        <v>644</v>
      </c>
      <c r="E2820" t="s">
        <v>26</v>
      </c>
      <c r="F2820" t="s">
        <v>204</v>
      </c>
      <c r="G2820" t="s">
        <v>51</v>
      </c>
      <c r="H2820" t="s">
        <v>21</v>
      </c>
      <c r="I2820" t="s">
        <v>72</v>
      </c>
      <c r="J2820">
        <v>1</v>
      </c>
      <c r="K2820">
        <v>1800</v>
      </c>
      <c r="L2820">
        <v>0.05</v>
      </c>
      <c r="M2820">
        <v>1710</v>
      </c>
      <c r="N2820">
        <v>1100</v>
      </c>
      <c r="O2820">
        <v>610</v>
      </c>
    </row>
    <row r="2821" spans="1:15" x14ac:dyDescent="0.25">
      <c r="A2821" t="s">
        <v>3886</v>
      </c>
      <c r="B2821" s="2">
        <v>48477</v>
      </c>
      <c r="C2821" t="s">
        <v>152</v>
      </c>
      <c r="D2821" t="s">
        <v>153</v>
      </c>
      <c r="E2821" t="s">
        <v>96</v>
      </c>
      <c r="F2821" t="s">
        <v>196</v>
      </c>
      <c r="G2821" t="s">
        <v>57</v>
      </c>
      <c r="H2821" t="s">
        <v>104</v>
      </c>
      <c r="I2821" t="s">
        <v>105</v>
      </c>
      <c r="J2821">
        <v>5</v>
      </c>
      <c r="K2821">
        <v>7500</v>
      </c>
      <c r="L2821">
        <v>0.15</v>
      </c>
      <c r="M2821">
        <v>31875</v>
      </c>
      <c r="N2821">
        <v>26000</v>
      </c>
      <c r="O2821">
        <v>5875</v>
      </c>
    </row>
    <row r="2822" spans="1:15" x14ac:dyDescent="0.25">
      <c r="A2822" t="s">
        <v>3887</v>
      </c>
      <c r="B2822" s="2">
        <v>48478</v>
      </c>
      <c r="C2822" t="s">
        <v>357</v>
      </c>
      <c r="D2822" t="s">
        <v>358</v>
      </c>
      <c r="E2822" t="s">
        <v>18</v>
      </c>
      <c r="F2822" t="s">
        <v>227</v>
      </c>
      <c r="G2822" t="s">
        <v>51</v>
      </c>
      <c r="H2822" t="s">
        <v>52</v>
      </c>
      <c r="I2822" t="s">
        <v>53</v>
      </c>
      <c r="J2822">
        <v>2</v>
      </c>
      <c r="K2822">
        <v>2200</v>
      </c>
      <c r="L2822">
        <v>0.25</v>
      </c>
      <c r="M2822">
        <v>3300</v>
      </c>
      <c r="N2822">
        <v>2900</v>
      </c>
      <c r="O2822">
        <v>400</v>
      </c>
    </row>
    <row r="2823" spans="1:15" x14ac:dyDescent="0.25">
      <c r="A2823" t="s">
        <v>3888</v>
      </c>
      <c r="B2823" s="2">
        <v>48479</v>
      </c>
      <c r="C2823" t="s">
        <v>2687</v>
      </c>
      <c r="D2823" t="s">
        <v>2688</v>
      </c>
      <c r="E2823" t="s">
        <v>26</v>
      </c>
      <c r="F2823" t="s">
        <v>34</v>
      </c>
      <c r="G2823" t="s">
        <v>51</v>
      </c>
      <c r="H2823" t="s">
        <v>21</v>
      </c>
      <c r="I2823" t="s">
        <v>116</v>
      </c>
      <c r="J2823">
        <v>3</v>
      </c>
      <c r="K2823">
        <v>1400</v>
      </c>
      <c r="L2823">
        <v>0.1</v>
      </c>
      <c r="M2823">
        <v>3780</v>
      </c>
      <c r="N2823">
        <v>2700</v>
      </c>
      <c r="O2823">
        <v>1080</v>
      </c>
    </row>
    <row r="2824" spans="1:15" x14ac:dyDescent="0.25">
      <c r="A2824" t="s">
        <v>3889</v>
      </c>
      <c r="B2824" s="2">
        <v>48480</v>
      </c>
      <c r="C2824" t="s">
        <v>317</v>
      </c>
      <c r="D2824" t="s">
        <v>318</v>
      </c>
      <c r="E2824" t="s">
        <v>96</v>
      </c>
      <c r="F2824" t="s">
        <v>97</v>
      </c>
      <c r="G2824" t="s">
        <v>57</v>
      </c>
      <c r="H2824" t="s">
        <v>188</v>
      </c>
      <c r="I2824" t="s">
        <v>189</v>
      </c>
      <c r="J2824">
        <v>5</v>
      </c>
      <c r="K2824">
        <v>6200</v>
      </c>
      <c r="L2824">
        <v>0.25</v>
      </c>
      <c r="M2824">
        <v>23250</v>
      </c>
      <c r="N2824">
        <v>21500</v>
      </c>
      <c r="O2824">
        <v>1750</v>
      </c>
    </row>
    <row r="2825" spans="1:15" x14ac:dyDescent="0.25">
      <c r="A2825" t="s">
        <v>3890</v>
      </c>
      <c r="B2825" s="2">
        <v>48481</v>
      </c>
      <c r="C2825" t="s">
        <v>186</v>
      </c>
      <c r="D2825" t="s">
        <v>187</v>
      </c>
      <c r="E2825" t="s">
        <v>96</v>
      </c>
      <c r="F2825" t="s">
        <v>97</v>
      </c>
      <c r="G2825" t="s">
        <v>20</v>
      </c>
      <c r="H2825" t="s">
        <v>84</v>
      </c>
      <c r="I2825" t="s">
        <v>85</v>
      </c>
      <c r="J2825">
        <v>3</v>
      </c>
      <c r="K2825">
        <v>280</v>
      </c>
      <c r="L2825">
        <v>0.1</v>
      </c>
      <c r="M2825">
        <v>756</v>
      </c>
      <c r="N2825">
        <v>480</v>
      </c>
      <c r="O2825">
        <v>276</v>
      </c>
    </row>
    <row r="2826" spans="1:15" x14ac:dyDescent="0.25">
      <c r="A2826" t="s">
        <v>3891</v>
      </c>
      <c r="B2826" s="2">
        <v>48482</v>
      </c>
      <c r="C2826" t="s">
        <v>456</v>
      </c>
      <c r="D2826" t="s">
        <v>457</v>
      </c>
      <c r="E2826" t="s">
        <v>39</v>
      </c>
      <c r="F2826" t="s">
        <v>40</v>
      </c>
      <c r="G2826" t="s">
        <v>51</v>
      </c>
      <c r="H2826" t="s">
        <v>89</v>
      </c>
      <c r="I2826" t="s">
        <v>90</v>
      </c>
      <c r="J2826">
        <v>1</v>
      </c>
      <c r="K2826">
        <v>10500</v>
      </c>
      <c r="L2826">
        <v>0.1</v>
      </c>
      <c r="M2826">
        <v>9450</v>
      </c>
      <c r="N2826">
        <v>7600</v>
      </c>
      <c r="O2826">
        <v>1850</v>
      </c>
    </row>
    <row r="2827" spans="1:15" x14ac:dyDescent="0.25">
      <c r="A2827" t="s">
        <v>3892</v>
      </c>
      <c r="B2827" s="2">
        <v>48483</v>
      </c>
      <c r="C2827" t="s">
        <v>92</v>
      </c>
      <c r="D2827" t="s">
        <v>93</v>
      </c>
      <c r="E2827" t="s">
        <v>26</v>
      </c>
      <c r="F2827" t="s">
        <v>204</v>
      </c>
      <c r="G2827" t="s">
        <v>28</v>
      </c>
      <c r="H2827" t="s">
        <v>29</v>
      </c>
      <c r="I2827" t="s">
        <v>47</v>
      </c>
      <c r="J2827">
        <v>4</v>
      </c>
      <c r="K2827">
        <v>6800</v>
      </c>
      <c r="L2827">
        <v>0.1</v>
      </c>
      <c r="M2827">
        <v>24480</v>
      </c>
      <c r="N2827">
        <v>18800</v>
      </c>
      <c r="O2827">
        <v>5680</v>
      </c>
    </row>
    <row r="2828" spans="1:15" x14ac:dyDescent="0.25">
      <c r="A2828" t="s">
        <v>3893</v>
      </c>
      <c r="B2828" s="2">
        <v>48484</v>
      </c>
      <c r="C2828" t="s">
        <v>697</v>
      </c>
      <c r="D2828" t="s">
        <v>698</v>
      </c>
      <c r="E2828" t="s">
        <v>26</v>
      </c>
      <c r="F2828" t="s">
        <v>46</v>
      </c>
      <c r="G2828" t="s">
        <v>51</v>
      </c>
      <c r="H2828" t="s">
        <v>21</v>
      </c>
      <c r="I2828" t="s">
        <v>116</v>
      </c>
      <c r="J2828">
        <v>5</v>
      </c>
      <c r="K2828">
        <v>1400</v>
      </c>
      <c r="L2828">
        <v>0.15</v>
      </c>
      <c r="M2828">
        <v>5950</v>
      </c>
      <c r="N2828">
        <v>4500</v>
      </c>
      <c r="O2828">
        <v>1450</v>
      </c>
    </row>
    <row r="2829" spans="1:15" x14ac:dyDescent="0.25">
      <c r="A2829" t="s">
        <v>3894</v>
      </c>
      <c r="B2829" s="2">
        <v>48485</v>
      </c>
      <c r="C2829" t="s">
        <v>966</v>
      </c>
      <c r="D2829" t="s">
        <v>967</v>
      </c>
      <c r="E2829" t="s">
        <v>26</v>
      </c>
      <c r="F2829" t="s">
        <v>46</v>
      </c>
      <c r="G2829" t="s">
        <v>51</v>
      </c>
      <c r="H2829" t="s">
        <v>21</v>
      </c>
      <c r="I2829" t="s">
        <v>116</v>
      </c>
      <c r="J2829">
        <v>4</v>
      </c>
      <c r="K2829">
        <v>1400</v>
      </c>
      <c r="L2829">
        <v>0.2</v>
      </c>
      <c r="M2829">
        <v>4480</v>
      </c>
      <c r="N2829">
        <v>3600</v>
      </c>
      <c r="O2829">
        <v>880</v>
      </c>
    </row>
    <row r="2830" spans="1:15" x14ac:dyDescent="0.25">
      <c r="A2830" t="s">
        <v>3895</v>
      </c>
      <c r="B2830" s="2">
        <v>48486</v>
      </c>
      <c r="C2830" t="s">
        <v>623</v>
      </c>
      <c r="D2830" t="s">
        <v>624</v>
      </c>
      <c r="E2830" t="s">
        <v>18</v>
      </c>
      <c r="F2830" t="s">
        <v>19</v>
      </c>
      <c r="G2830" t="s">
        <v>20</v>
      </c>
      <c r="H2830" t="s">
        <v>41</v>
      </c>
      <c r="I2830" t="s">
        <v>42</v>
      </c>
      <c r="J2830">
        <v>3</v>
      </c>
      <c r="K2830">
        <v>520</v>
      </c>
      <c r="L2830">
        <v>0.2</v>
      </c>
      <c r="M2830">
        <v>1248</v>
      </c>
      <c r="N2830">
        <v>990</v>
      </c>
      <c r="O2830">
        <v>258</v>
      </c>
    </row>
    <row r="2831" spans="1:15" x14ac:dyDescent="0.25">
      <c r="A2831" t="s">
        <v>3896</v>
      </c>
      <c r="B2831" s="2">
        <v>48487</v>
      </c>
      <c r="C2831" t="s">
        <v>417</v>
      </c>
      <c r="D2831" t="s">
        <v>418</v>
      </c>
      <c r="E2831" t="s">
        <v>18</v>
      </c>
      <c r="F2831" t="s">
        <v>94</v>
      </c>
      <c r="G2831" t="s">
        <v>28</v>
      </c>
      <c r="H2831" t="s">
        <v>29</v>
      </c>
      <c r="I2831" t="s">
        <v>47</v>
      </c>
      <c r="J2831">
        <v>2</v>
      </c>
      <c r="K2831">
        <v>6800</v>
      </c>
      <c r="L2831">
        <v>0.1</v>
      </c>
      <c r="M2831">
        <v>12240</v>
      </c>
      <c r="N2831">
        <v>9400</v>
      </c>
      <c r="O2831">
        <v>2840</v>
      </c>
    </row>
    <row r="2832" spans="1:15" x14ac:dyDescent="0.25">
      <c r="A2832" t="s">
        <v>3897</v>
      </c>
      <c r="B2832" s="2">
        <v>48488</v>
      </c>
      <c r="C2832" t="s">
        <v>314</v>
      </c>
      <c r="D2832" t="s">
        <v>315</v>
      </c>
      <c r="E2832" t="s">
        <v>96</v>
      </c>
      <c r="F2832" t="s">
        <v>120</v>
      </c>
      <c r="G2832" t="s">
        <v>51</v>
      </c>
      <c r="H2832" t="s">
        <v>21</v>
      </c>
      <c r="I2832" t="s">
        <v>80</v>
      </c>
      <c r="J2832">
        <v>1</v>
      </c>
      <c r="K2832">
        <v>850</v>
      </c>
      <c r="L2832">
        <v>0.05</v>
      </c>
      <c r="M2832">
        <v>807.5</v>
      </c>
      <c r="N2832">
        <v>560</v>
      </c>
      <c r="O2832">
        <v>247.5</v>
      </c>
    </row>
    <row r="2833" spans="1:15" x14ac:dyDescent="0.25">
      <c r="A2833" t="s">
        <v>3898</v>
      </c>
      <c r="B2833" s="2">
        <v>48489</v>
      </c>
      <c r="C2833" t="s">
        <v>703</v>
      </c>
      <c r="D2833" t="s">
        <v>704</v>
      </c>
      <c r="E2833" t="s">
        <v>26</v>
      </c>
      <c r="F2833" t="s">
        <v>204</v>
      </c>
      <c r="G2833" t="s">
        <v>51</v>
      </c>
      <c r="H2833" t="s">
        <v>52</v>
      </c>
      <c r="I2833" t="s">
        <v>208</v>
      </c>
      <c r="J2833">
        <v>2</v>
      </c>
      <c r="K2833">
        <v>2800</v>
      </c>
      <c r="L2833">
        <v>0.05</v>
      </c>
      <c r="M2833">
        <v>5320</v>
      </c>
      <c r="N2833">
        <v>3600</v>
      </c>
      <c r="O2833">
        <v>1720</v>
      </c>
    </row>
    <row r="2834" spans="1:15" x14ac:dyDescent="0.25">
      <c r="A2834" t="s">
        <v>3899</v>
      </c>
      <c r="B2834" s="2">
        <v>48490</v>
      </c>
      <c r="C2834" t="s">
        <v>275</v>
      </c>
      <c r="D2834" t="s">
        <v>276</v>
      </c>
      <c r="E2834" t="s">
        <v>39</v>
      </c>
      <c r="F2834" t="s">
        <v>124</v>
      </c>
      <c r="G2834" t="s">
        <v>57</v>
      </c>
      <c r="H2834" t="s">
        <v>58</v>
      </c>
      <c r="I2834" t="s">
        <v>129</v>
      </c>
      <c r="J2834">
        <v>2</v>
      </c>
      <c r="K2834">
        <v>4800</v>
      </c>
      <c r="L2834">
        <v>0.15</v>
      </c>
      <c r="M2834">
        <v>8160</v>
      </c>
      <c r="N2834">
        <v>6600</v>
      </c>
      <c r="O2834">
        <v>1560</v>
      </c>
    </row>
    <row r="2835" spans="1:15" x14ac:dyDescent="0.25">
      <c r="A2835" t="s">
        <v>3900</v>
      </c>
      <c r="B2835" s="2">
        <v>48491</v>
      </c>
      <c r="C2835" t="s">
        <v>1220</v>
      </c>
      <c r="D2835" t="s">
        <v>1221</v>
      </c>
      <c r="E2835" t="s">
        <v>39</v>
      </c>
      <c r="F2835" t="s">
        <v>40</v>
      </c>
      <c r="G2835" t="s">
        <v>20</v>
      </c>
      <c r="H2835" t="s">
        <v>84</v>
      </c>
      <c r="I2835" t="s">
        <v>169</v>
      </c>
      <c r="J2835">
        <v>4</v>
      </c>
      <c r="K2835">
        <v>450</v>
      </c>
      <c r="L2835">
        <v>0.2</v>
      </c>
      <c r="M2835">
        <v>1440</v>
      </c>
      <c r="N2835">
        <v>1040</v>
      </c>
      <c r="O2835">
        <v>400</v>
      </c>
    </row>
    <row r="2836" spans="1:15" x14ac:dyDescent="0.25">
      <c r="A2836" t="s">
        <v>3901</v>
      </c>
      <c r="B2836" s="2">
        <v>48492</v>
      </c>
      <c r="C2836" t="s">
        <v>1755</v>
      </c>
      <c r="D2836" t="s">
        <v>1756</v>
      </c>
      <c r="E2836" t="s">
        <v>26</v>
      </c>
      <c r="F2836" t="s">
        <v>27</v>
      </c>
      <c r="G2836" t="s">
        <v>20</v>
      </c>
      <c r="H2836" t="s">
        <v>41</v>
      </c>
      <c r="I2836" t="s">
        <v>42</v>
      </c>
      <c r="J2836">
        <v>3</v>
      </c>
      <c r="K2836">
        <v>520</v>
      </c>
      <c r="L2836">
        <v>0</v>
      </c>
      <c r="M2836">
        <v>1560</v>
      </c>
      <c r="N2836">
        <v>990</v>
      </c>
      <c r="O2836">
        <v>570</v>
      </c>
    </row>
    <row r="2837" spans="1:15" x14ac:dyDescent="0.25">
      <c r="A2837" t="s">
        <v>3902</v>
      </c>
      <c r="B2837" s="2">
        <v>48493</v>
      </c>
      <c r="C2837" t="s">
        <v>1541</v>
      </c>
      <c r="D2837" t="s">
        <v>1542</v>
      </c>
      <c r="E2837" t="s">
        <v>96</v>
      </c>
      <c r="F2837" t="s">
        <v>200</v>
      </c>
      <c r="G2837" t="s">
        <v>57</v>
      </c>
      <c r="H2837" t="s">
        <v>104</v>
      </c>
      <c r="I2837" t="s">
        <v>105</v>
      </c>
      <c r="J2837">
        <v>5</v>
      </c>
      <c r="K2837">
        <v>7500</v>
      </c>
      <c r="L2837">
        <v>0.05</v>
      </c>
      <c r="M2837">
        <v>35625</v>
      </c>
      <c r="N2837">
        <v>26000</v>
      </c>
      <c r="O2837">
        <v>9625</v>
      </c>
    </row>
    <row r="2838" spans="1:15" x14ac:dyDescent="0.25">
      <c r="A2838" t="s">
        <v>3903</v>
      </c>
      <c r="B2838" s="2">
        <v>48494</v>
      </c>
      <c r="C2838" t="s">
        <v>1897</v>
      </c>
      <c r="D2838" t="s">
        <v>1898</v>
      </c>
      <c r="E2838" t="s">
        <v>26</v>
      </c>
      <c r="F2838" t="s">
        <v>204</v>
      </c>
      <c r="G2838" t="s">
        <v>51</v>
      </c>
      <c r="H2838" t="s">
        <v>52</v>
      </c>
      <c r="I2838" t="s">
        <v>208</v>
      </c>
      <c r="J2838">
        <v>2</v>
      </c>
      <c r="K2838">
        <v>2800</v>
      </c>
      <c r="L2838">
        <v>0</v>
      </c>
      <c r="M2838">
        <v>5600</v>
      </c>
      <c r="N2838">
        <v>3600</v>
      </c>
      <c r="O2838">
        <v>2000</v>
      </c>
    </row>
    <row r="2839" spans="1:15" x14ac:dyDescent="0.25">
      <c r="A2839" t="s">
        <v>3904</v>
      </c>
      <c r="B2839" s="2">
        <v>48495</v>
      </c>
      <c r="C2839" t="s">
        <v>174</v>
      </c>
      <c r="D2839" t="s">
        <v>175</v>
      </c>
      <c r="E2839" t="s">
        <v>39</v>
      </c>
      <c r="F2839" t="s">
        <v>71</v>
      </c>
      <c r="G2839" t="s">
        <v>20</v>
      </c>
      <c r="H2839" t="s">
        <v>41</v>
      </c>
      <c r="I2839" t="s">
        <v>42</v>
      </c>
      <c r="J2839">
        <v>4</v>
      </c>
      <c r="K2839">
        <v>520</v>
      </c>
      <c r="L2839">
        <v>0.1</v>
      </c>
      <c r="M2839">
        <v>1872</v>
      </c>
      <c r="N2839">
        <v>1320</v>
      </c>
      <c r="O2839">
        <v>552</v>
      </c>
    </row>
    <row r="2840" spans="1:15" x14ac:dyDescent="0.25">
      <c r="A2840" t="s">
        <v>3905</v>
      </c>
      <c r="B2840" s="2">
        <v>48496</v>
      </c>
      <c r="C2840" t="s">
        <v>131</v>
      </c>
      <c r="D2840" t="s">
        <v>132</v>
      </c>
      <c r="E2840" t="s">
        <v>39</v>
      </c>
      <c r="F2840" t="s">
        <v>76</v>
      </c>
      <c r="G2840" t="s">
        <v>28</v>
      </c>
      <c r="H2840" t="s">
        <v>29</v>
      </c>
      <c r="I2840" t="s">
        <v>35</v>
      </c>
      <c r="J2840">
        <v>2</v>
      </c>
      <c r="K2840">
        <v>4200</v>
      </c>
      <c r="L2840">
        <v>0.15</v>
      </c>
      <c r="M2840">
        <v>7140</v>
      </c>
      <c r="N2840">
        <v>5800</v>
      </c>
      <c r="O2840">
        <v>1340</v>
      </c>
    </row>
    <row r="2841" spans="1:15" x14ac:dyDescent="0.25">
      <c r="A2841" t="s">
        <v>3906</v>
      </c>
      <c r="B2841" s="2">
        <v>48497</v>
      </c>
      <c r="C2841" t="s">
        <v>2828</v>
      </c>
      <c r="D2841" t="s">
        <v>2829</v>
      </c>
      <c r="E2841" t="s">
        <v>39</v>
      </c>
      <c r="F2841" t="s">
        <v>124</v>
      </c>
      <c r="G2841" t="s">
        <v>57</v>
      </c>
      <c r="H2841" t="s">
        <v>58</v>
      </c>
      <c r="I2841" t="s">
        <v>129</v>
      </c>
      <c r="J2841">
        <v>3</v>
      </c>
      <c r="K2841">
        <v>4800</v>
      </c>
      <c r="L2841">
        <v>0.15</v>
      </c>
      <c r="M2841">
        <v>12240</v>
      </c>
      <c r="N2841">
        <v>9900</v>
      </c>
      <c r="O2841">
        <v>2340</v>
      </c>
    </row>
    <row r="2842" spans="1:15" x14ac:dyDescent="0.25">
      <c r="A2842" t="s">
        <v>3907</v>
      </c>
      <c r="B2842" s="2">
        <v>48498</v>
      </c>
      <c r="C2842" t="s">
        <v>1085</v>
      </c>
      <c r="D2842" t="s">
        <v>1086</v>
      </c>
      <c r="E2842" t="s">
        <v>26</v>
      </c>
      <c r="F2842" t="s">
        <v>204</v>
      </c>
      <c r="G2842" t="s">
        <v>28</v>
      </c>
      <c r="H2842" t="s">
        <v>29</v>
      </c>
      <c r="I2842" t="s">
        <v>30</v>
      </c>
      <c r="J2842">
        <v>2</v>
      </c>
      <c r="K2842">
        <v>1900</v>
      </c>
      <c r="L2842">
        <v>0.25</v>
      </c>
      <c r="M2842">
        <v>2850</v>
      </c>
      <c r="N2842">
        <v>2500</v>
      </c>
      <c r="O2842">
        <v>350</v>
      </c>
    </row>
    <row r="2843" spans="1:15" x14ac:dyDescent="0.25">
      <c r="A2843" t="s">
        <v>3908</v>
      </c>
      <c r="B2843" s="2">
        <v>48499</v>
      </c>
      <c r="C2843" t="s">
        <v>268</v>
      </c>
      <c r="D2843" t="s">
        <v>269</v>
      </c>
      <c r="E2843" t="s">
        <v>18</v>
      </c>
      <c r="F2843" t="s">
        <v>94</v>
      </c>
      <c r="G2843" t="s">
        <v>51</v>
      </c>
      <c r="H2843" t="s">
        <v>52</v>
      </c>
      <c r="I2843" t="s">
        <v>53</v>
      </c>
      <c r="J2843">
        <v>1</v>
      </c>
      <c r="K2843">
        <v>2200</v>
      </c>
      <c r="L2843">
        <v>0.1</v>
      </c>
      <c r="M2843">
        <v>1980</v>
      </c>
      <c r="N2843">
        <v>1450</v>
      </c>
      <c r="O2843">
        <v>530</v>
      </c>
    </row>
    <row r="2844" spans="1:15" x14ac:dyDescent="0.25">
      <c r="A2844" t="s">
        <v>3909</v>
      </c>
      <c r="B2844" s="2">
        <v>48500</v>
      </c>
      <c r="C2844" t="s">
        <v>32</v>
      </c>
      <c r="D2844" t="s">
        <v>33</v>
      </c>
      <c r="E2844" t="s">
        <v>26</v>
      </c>
      <c r="F2844" t="s">
        <v>204</v>
      </c>
      <c r="G2844" t="s">
        <v>51</v>
      </c>
      <c r="H2844" t="s">
        <v>21</v>
      </c>
      <c r="I2844" t="s">
        <v>72</v>
      </c>
      <c r="J2844">
        <v>3</v>
      </c>
      <c r="K2844">
        <v>1800</v>
      </c>
      <c r="L2844">
        <v>0.2</v>
      </c>
      <c r="M2844">
        <v>4320</v>
      </c>
      <c r="N2844">
        <v>3300</v>
      </c>
      <c r="O2844">
        <v>1020</v>
      </c>
    </row>
    <row r="2845" spans="1:15" x14ac:dyDescent="0.25">
      <c r="A2845" t="s">
        <v>3910</v>
      </c>
      <c r="B2845" s="2">
        <v>48501</v>
      </c>
      <c r="C2845" t="s">
        <v>375</v>
      </c>
      <c r="D2845" t="s">
        <v>376</v>
      </c>
      <c r="E2845" t="s">
        <v>26</v>
      </c>
      <c r="F2845" t="s">
        <v>128</v>
      </c>
      <c r="G2845" t="s">
        <v>51</v>
      </c>
      <c r="H2845" t="s">
        <v>21</v>
      </c>
      <c r="I2845" t="s">
        <v>80</v>
      </c>
      <c r="J2845">
        <v>2</v>
      </c>
      <c r="K2845">
        <v>850</v>
      </c>
      <c r="L2845">
        <v>0.1</v>
      </c>
      <c r="M2845">
        <v>1530</v>
      </c>
      <c r="N2845">
        <v>1120</v>
      </c>
      <c r="O2845">
        <v>410</v>
      </c>
    </row>
    <row r="2846" spans="1:15" x14ac:dyDescent="0.25">
      <c r="A2846" t="s">
        <v>3911</v>
      </c>
      <c r="B2846" s="2">
        <v>48502</v>
      </c>
      <c r="C2846" t="s">
        <v>3120</v>
      </c>
      <c r="D2846" t="s">
        <v>3121</v>
      </c>
      <c r="E2846" t="s">
        <v>96</v>
      </c>
      <c r="F2846" t="s">
        <v>97</v>
      </c>
      <c r="G2846" t="s">
        <v>20</v>
      </c>
      <c r="H2846" t="s">
        <v>84</v>
      </c>
      <c r="I2846" t="s">
        <v>85</v>
      </c>
      <c r="J2846">
        <v>1</v>
      </c>
      <c r="K2846">
        <v>280</v>
      </c>
      <c r="L2846">
        <v>0.05</v>
      </c>
      <c r="M2846">
        <v>266</v>
      </c>
      <c r="N2846">
        <v>160</v>
      </c>
      <c r="O2846">
        <v>106</v>
      </c>
    </row>
    <row r="2847" spans="1:15" x14ac:dyDescent="0.25">
      <c r="A2847" t="s">
        <v>3912</v>
      </c>
      <c r="B2847" s="2">
        <v>48503</v>
      </c>
      <c r="C2847" t="s">
        <v>497</v>
      </c>
      <c r="D2847" t="s">
        <v>498</v>
      </c>
      <c r="E2847" t="s">
        <v>26</v>
      </c>
      <c r="F2847" t="s">
        <v>204</v>
      </c>
      <c r="G2847" t="s">
        <v>20</v>
      </c>
      <c r="H2847" t="s">
        <v>84</v>
      </c>
      <c r="I2847" t="s">
        <v>210</v>
      </c>
      <c r="J2847">
        <v>4</v>
      </c>
      <c r="K2847">
        <v>300</v>
      </c>
      <c r="L2847">
        <v>0</v>
      </c>
      <c r="M2847">
        <v>1200</v>
      </c>
      <c r="N2847">
        <v>680</v>
      </c>
      <c r="O2847">
        <v>520</v>
      </c>
    </row>
    <row r="2848" spans="1:15" x14ac:dyDescent="0.25">
      <c r="A2848" t="s">
        <v>3913</v>
      </c>
      <c r="B2848" s="2">
        <v>48504</v>
      </c>
      <c r="C2848" t="s">
        <v>1167</v>
      </c>
      <c r="D2848" t="s">
        <v>1168</v>
      </c>
      <c r="E2848" t="s">
        <v>26</v>
      </c>
      <c r="F2848" t="s">
        <v>27</v>
      </c>
      <c r="G2848" t="s">
        <v>51</v>
      </c>
      <c r="H2848" t="s">
        <v>52</v>
      </c>
      <c r="I2848" t="s">
        <v>208</v>
      </c>
      <c r="J2848">
        <v>4</v>
      </c>
      <c r="K2848">
        <v>2800</v>
      </c>
      <c r="L2848">
        <v>0.05</v>
      </c>
      <c r="M2848">
        <v>10640</v>
      </c>
      <c r="N2848">
        <v>7200</v>
      </c>
      <c r="O2848">
        <v>3440</v>
      </c>
    </row>
    <row r="2849" spans="1:15" x14ac:dyDescent="0.25">
      <c r="A2849" t="s">
        <v>3914</v>
      </c>
      <c r="B2849" s="2">
        <v>48505</v>
      </c>
      <c r="C2849" t="s">
        <v>202</v>
      </c>
      <c r="D2849" t="s">
        <v>203</v>
      </c>
      <c r="E2849" t="s">
        <v>96</v>
      </c>
      <c r="F2849" t="s">
        <v>97</v>
      </c>
      <c r="G2849" t="s">
        <v>51</v>
      </c>
      <c r="H2849" t="s">
        <v>52</v>
      </c>
      <c r="I2849" t="s">
        <v>53</v>
      </c>
      <c r="J2849">
        <v>3</v>
      </c>
      <c r="K2849">
        <v>2200</v>
      </c>
      <c r="L2849">
        <v>0</v>
      </c>
      <c r="M2849">
        <v>6600</v>
      </c>
      <c r="N2849">
        <v>4350</v>
      </c>
      <c r="O2849">
        <v>2250</v>
      </c>
    </row>
    <row r="2850" spans="1:15" x14ac:dyDescent="0.25">
      <c r="A2850" t="s">
        <v>3915</v>
      </c>
      <c r="B2850" s="2">
        <v>48506</v>
      </c>
      <c r="C2850" t="s">
        <v>2785</v>
      </c>
      <c r="D2850" t="s">
        <v>2786</v>
      </c>
      <c r="E2850" t="s">
        <v>26</v>
      </c>
      <c r="F2850" t="s">
        <v>128</v>
      </c>
      <c r="G2850" t="s">
        <v>20</v>
      </c>
      <c r="H2850" t="s">
        <v>84</v>
      </c>
      <c r="I2850" t="s">
        <v>169</v>
      </c>
      <c r="J2850">
        <v>1</v>
      </c>
      <c r="K2850">
        <v>450</v>
      </c>
      <c r="L2850">
        <v>0.05</v>
      </c>
      <c r="M2850">
        <v>427.5</v>
      </c>
      <c r="N2850">
        <v>260</v>
      </c>
      <c r="O2850">
        <v>167.5</v>
      </c>
    </row>
    <row r="2851" spans="1:15" x14ac:dyDescent="0.25">
      <c r="A2851" t="s">
        <v>3916</v>
      </c>
      <c r="B2851" s="2">
        <v>48507</v>
      </c>
      <c r="C2851" t="s">
        <v>1152</v>
      </c>
      <c r="D2851" t="s">
        <v>1153</v>
      </c>
      <c r="E2851" t="s">
        <v>96</v>
      </c>
      <c r="F2851" t="s">
        <v>120</v>
      </c>
      <c r="G2851" t="s">
        <v>57</v>
      </c>
      <c r="H2851" t="s">
        <v>58</v>
      </c>
      <c r="I2851" t="s">
        <v>59</v>
      </c>
      <c r="J2851">
        <v>3</v>
      </c>
      <c r="K2851">
        <v>5600</v>
      </c>
      <c r="L2851">
        <v>0.15</v>
      </c>
      <c r="M2851">
        <v>14280</v>
      </c>
      <c r="N2851">
        <v>11700</v>
      </c>
      <c r="O2851">
        <v>2580</v>
      </c>
    </row>
    <row r="2852" spans="1:15" x14ac:dyDescent="0.25">
      <c r="A2852" t="s">
        <v>3917</v>
      </c>
      <c r="B2852" s="2">
        <v>48508</v>
      </c>
      <c r="C2852" t="s">
        <v>846</v>
      </c>
      <c r="D2852" t="s">
        <v>847</v>
      </c>
      <c r="E2852" t="s">
        <v>26</v>
      </c>
      <c r="F2852" t="s">
        <v>27</v>
      </c>
      <c r="G2852" t="s">
        <v>20</v>
      </c>
      <c r="H2852" t="s">
        <v>84</v>
      </c>
      <c r="I2852" t="s">
        <v>210</v>
      </c>
      <c r="J2852">
        <v>1</v>
      </c>
      <c r="K2852">
        <v>300</v>
      </c>
      <c r="L2852">
        <v>0.05</v>
      </c>
      <c r="M2852">
        <v>285</v>
      </c>
      <c r="N2852">
        <v>170</v>
      </c>
      <c r="O2852">
        <v>115</v>
      </c>
    </row>
    <row r="2853" spans="1:15" x14ac:dyDescent="0.25">
      <c r="A2853" t="s">
        <v>3918</v>
      </c>
      <c r="B2853" s="2">
        <v>48509</v>
      </c>
      <c r="C2853" t="s">
        <v>1889</v>
      </c>
      <c r="D2853" t="s">
        <v>1890</v>
      </c>
      <c r="E2853" t="s">
        <v>18</v>
      </c>
      <c r="F2853" t="s">
        <v>19</v>
      </c>
      <c r="G2853" t="s">
        <v>51</v>
      </c>
      <c r="H2853" t="s">
        <v>21</v>
      </c>
      <c r="I2853" t="s">
        <v>80</v>
      </c>
      <c r="J2853">
        <v>1</v>
      </c>
      <c r="K2853">
        <v>850</v>
      </c>
      <c r="L2853">
        <v>0.05</v>
      </c>
      <c r="M2853">
        <v>807.5</v>
      </c>
      <c r="N2853">
        <v>560</v>
      </c>
      <c r="O2853">
        <v>247.5</v>
      </c>
    </row>
    <row r="2854" spans="1:15" x14ac:dyDescent="0.25">
      <c r="A2854" t="s">
        <v>3919</v>
      </c>
      <c r="B2854" s="2">
        <v>48510</v>
      </c>
      <c r="C2854" t="s">
        <v>2648</v>
      </c>
      <c r="D2854" t="s">
        <v>2649</v>
      </c>
      <c r="E2854" t="s">
        <v>96</v>
      </c>
      <c r="F2854" t="s">
        <v>97</v>
      </c>
      <c r="G2854" t="s">
        <v>28</v>
      </c>
      <c r="H2854" t="s">
        <v>29</v>
      </c>
      <c r="I2854" t="s">
        <v>47</v>
      </c>
      <c r="J2854">
        <v>3</v>
      </c>
      <c r="K2854">
        <v>6800</v>
      </c>
      <c r="L2854">
        <v>0</v>
      </c>
      <c r="M2854">
        <v>20400</v>
      </c>
      <c r="N2854">
        <v>14100</v>
      </c>
      <c r="O2854">
        <v>6300</v>
      </c>
    </row>
    <row r="2855" spans="1:15" x14ac:dyDescent="0.25">
      <c r="A2855" t="s">
        <v>3920</v>
      </c>
      <c r="B2855" s="2">
        <v>48511</v>
      </c>
      <c r="C2855" t="s">
        <v>983</v>
      </c>
      <c r="D2855" t="s">
        <v>984</v>
      </c>
      <c r="E2855" t="s">
        <v>26</v>
      </c>
      <c r="F2855" t="s">
        <v>128</v>
      </c>
      <c r="G2855" t="s">
        <v>51</v>
      </c>
      <c r="H2855" t="s">
        <v>52</v>
      </c>
      <c r="I2855" t="s">
        <v>53</v>
      </c>
      <c r="J2855">
        <v>3</v>
      </c>
      <c r="K2855">
        <v>2200</v>
      </c>
      <c r="L2855">
        <v>0.1</v>
      </c>
      <c r="M2855">
        <v>5940</v>
      </c>
      <c r="N2855">
        <v>4350</v>
      </c>
      <c r="O2855">
        <v>1590</v>
      </c>
    </row>
    <row r="2856" spans="1:15" x14ac:dyDescent="0.25">
      <c r="A2856" t="s">
        <v>3921</v>
      </c>
      <c r="B2856" s="2">
        <v>48512</v>
      </c>
      <c r="C2856" t="s">
        <v>343</v>
      </c>
      <c r="D2856" t="s">
        <v>344</v>
      </c>
      <c r="E2856" t="s">
        <v>26</v>
      </c>
      <c r="F2856" t="s">
        <v>204</v>
      </c>
      <c r="G2856" t="s">
        <v>51</v>
      </c>
      <c r="H2856" t="s">
        <v>52</v>
      </c>
      <c r="I2856" t="s">
        <v>208</v>
      </c>
      <c r="J2856">
        <v>1</v>
      </c>
      <c r="K2856">
        <v>2800</v>
      </c>
      <c r="L2856">
        <v>0.1</v>
      </c>
      <c r="M2856">
        <v>2520</v>
      </c>
      <c r="N2856">
        <v>1800</v>
      </c>
      <c r="O2856">
        <v>720</v>
      </c>
    </row>
    <row r="2857" spans="1:15" x14ac:dyDescent="0.25">
      <c r="A2857" t="s">
        <v>3922</v>
      </c>
      <c r="B2857" s="2">
        <v>48513</v>
      </c>
      <c r="C2857" t="s">
        <v>102</v>
      </c>
      <c r="D2857" t="s">
        <v>103</v>
      </c>
      <c r="E2857" t="s">
        <v>96</v>
      </c>
      <c r="F2857" t="s">
        <v>97</v>
      </c>
      <c r="G2857" t="s">
        <v>20</v>
      </c>
      <c r="H2857" t="s">
        <v>21</v>
      </c>
      <c r="I2857" t="s">
        <v>22</v>
      </c>
      <c r="J2857">
        <v>5</v>
      </c>
      <c r="K2857">
        <v>650</v>
      </c>
      <c r="L2857">
        <v>0.05</v>
      </c>
      <c r="M2857">
        <v>3087.5</v>
      </c>
      <c r="N2857">
        <v>1950</v>
      </c>
      <c r="O2857">
        <v>1137.5</v>
      </c>
    </row>
    <row r="2858" spans="1:15" x14ac:dyDescent="0.25">
      <c r="A2858" t="s">
        <v>3923</v>
      </c>
      <c r="B2858" s="2">
        <v>48514</v>
      </c>
      <c r="C2858" t="s">
        <v>633</v>
      </c>
      <c r="D2858" t="s">
        <v>634</v>
      </c>
      <c r="E2858" t="s">
        <v>96</v>
      </c>
      <c r="F2858" t="s">
        <v>120</v>
      </c>
      <c r="G2858" t="s">
        <v>57</v>
      </c>
      <c r="H2858" t="s">
        <v>58</v>
      </c>
      <c r="I2858" t="s">
        <v>59</v>
      </c>
      <c r="J2858">
        <v>4</v>
      </c>
      <c r="K2858">
        <v>5600</v>
      </c>
      <c r="L2858">
        <v>0.1</v>
      </c>
      <c r="M2858">
        <v>20160</v>
      </c>
      <c r="N2858">
        <v>15600</v>
      </c>
      <c r="O2858">
        <v>4560</v>
      </c>
    </row>
    <row r="2859" spans="1:15" x14ac:dyDescent="0.25">
      <c r="A2859" t="s">
        <v>3924</v>
      </c>
      <c r="B2859" s="2">
        <v>48515</v>
      </c>
      <c r="C2859" t="s">
        <v>1897</v>
      </c>
      <c r="D2859" t="s">
        <v>1898</v>
      </c>
      <c r="E2859" t="s">
        <v>26</v>
      </c>
      <c r="F2859" t="s">
        <v>34</v>
      </c>
      <c r="G2859" t="s">
        <v>28</v>
      </c>
      <c r="H2859" t="s">
        <v>29</v>
      </c>
      <c r="I2859" t="s">
        <v>30</v>
      </c>
      <c r="J2859">
        <v>1</v>
      </c>
      <c r="K2859">
        <v>1900</v>
      </c>
      <c r="L2859">
        <v>0.25</v>
      </c>
      <c r="M2859">
        <v>1425</v>
      </c>
      <c r="N2859">
        <v>1250</v>
      </c>
      <c r="O2859">
        <v>175</v>
      </c>
    </row>
    <row r="2860" spans="1:15" x14ac:dyDescent="0.25">
      <c r="A2860" t="s">
        <v>3925</v>
      </c>
      <c r="B2860" s="2">
        <v>48516</v>
      </c>
      <c r="C2860" t="s">
        <v>527</v>
      </c>
      <c r="D2860" t="s">
        <v>528</v>
      </c>
      <c r="E2860" t="s">
        <v>18</v>
      </c>
      <c r="F2860" t="s">
        <v>227</v>
      </c>
      <c r="G2860" t="s">
        <v>28</v>
      </c>
      <c r="H2860" t="s">
        <v>29</v>
      </c>
      <c r="I2860" t="s">
        <v>35</v>
      </c>
      <c r="J2860">
        <v>1</v>
      </c>
      <c r="K2860">
        <v>4200</v>
      </c>
      <c r="L2860">
        <v>0</v>
      </c>
      <c r="M2860">
        <v>4200</v>
      </c>
      <c r="N2860">
        <v>2900</v>
      </c>
      <c r="O2860">
        <v>1300</v>
      </c>
    </row>
    <row r="2861" spans="1:15" x14ac:dyDescent="0.25">
      <c r="A2861" t="s">
        <v>3926</v>
      </c>
      <c r="B2861" s="2">
        <v>48517</v>
      </c>
      <c r="C2861" t="s">
        <v>853</v>
      </c>
      <c r="D2861" t="s">
        <v>854</v>
      </c>
      <c r="E2861" t="s">
        <v>96</v>
      </c>
      <c r="F2861" t="s">
        <v>196</v>
      </c>
      <c r="G2861" t="s">
        <v>28</v>
      </c>
      <c r="H2861" t="s">
        <v>63</v>
      </c>
      <c r="I2861" t="s">
        <v>64</v>
      </c>
      <c r="J2861">
        <v>4</v>
      </c>
      <c r="K2861">
        <v>2400</v>
      </c>
      <c r="L2861">
        <v>0.05</v>
      </c>
      <c r="M2861">
        <v>9120</v>
      </c>
      <c r="N2861">
        <v>6600</v>
      </c>
      <c r="O2861">
        <v>2520</v>
      </c>
    </row>
    <row r="2862" spans="1:15" x14ac:dyDescent="0.25">
      <c r="A2862" t="s">
        <v>3927</v>
      </c>
      <c r="B2862" s="2">
        <v>48518</v>
      </c>
      <c r="C2862" t="s">
        <v>174</v>
      </c>
      <c r="D2862" t="s">
        <v>175</v>
      </c>
      <c r="E2862" t="s">
        <v>96</v>
      </c>
      <c r="F2862" t="s">
        <v>97</v>
      </c>
      <c r="G2862" t="s">
        <v>57</v>
      </c>
      <c r="H2862" t="s">
        <v>58</v>
      </c>
      <c r="I2862" t="s">
        <v>59</v>
      </c>
      <c r="J2862">
        <v>3</v>
      </c>
      <c r="K2862">
        <v>5600</v>
      </c>
      <c r="L2862">
        <v>0.2</v>
      </c>
      <c r="M2862">
        <v>13440</v>
      </c>
      <c r="N2862">
        <v>11700</v>
      </c>
      <c r="O2862">
        <v>1740</v>
      </c>
    </row>
    <row r="2863" spans="1:15" x14ac:dyDescent="0.25">
      <c r="A2863" t="s">
        <v>3928</v>
      </c>
      <c r="B2863" s="2">
        <v>48519</v>
      </c>
      <c r="C2863" t="s">
        <v>647</v>
      </c>
      <c r="D2863" t="s">
        <v>648</v>
      </c>
      <c r="E2863" t="s">
        <v>39</v>
      </c>
      <c r="F2863" t="s">
        <v>124</v>
      </c>
      <c r="G2863" t="s">
        <v>57</v>
      </c>
      <c r="H2863" t="s">
        <v>104</v>
      </c>
      <c r="I2863" t="s">
        <v>105</v>
      </c>
      <c r="J2863">
        <v>1</v>
      </c>
      <c r="K2863">
        <v>7500</v>
      </c>
      <c r="L2863">
        <v>0.05</v>
      </c>
      <c r="M2863">
        <v>7125</v>
      </c>
      <c r="N2863">
        <v>5200</v>
      </c>
      <c r="O2863">
        <v>1925</v>
      </c>
    </row>
    <row r="2864" spans="1:15" x14ac:dyDescent="0.25">
      <c r="A2864" t="s">
        <v>3929</v>
      </c>
      <c r="B2864" s="2">
        <v>48520</v>
      </c>
      <c r="C2864" t="s">
        <v>700</v>
      </c>
      <c r="D2864" t="s">
        <v>701</v>
      </c>
      <c r="E2864" t="s">
        <v>39</v>
      </c>
      <c r="F2864" t="s">
        <v>71</v>
      </c>
      <c r="G2864" t="s">
        <v>28</v>
      </c>
      <c r="H2864" t="s">
        <v>63</v>
      </c>
      <c r="I2864" t="s">
        <v>64</v>
      </c>
      <c r="J2864">
        <v>2</v>
      </c>
      <c r="K2864">
        <v>2400</v>
      </c>
      <c r="L2864">
        <v>0.1</v>
      </c>
      <c r="M2864">
        <v>4320</v>
      </c>
      <c r="N2864">
        <v>3300</v>
      </c>
      <c r="O2864">
        <v>1020</v>
      </c>
    </row>
    <row r="2865" spans="1:15" x14ac:dyDescent="0.25">
      <c r="A2865" t="s">
        <v>3930</v>
      </c>
      <c r="B2865" s="2">
        <v>48521</v>
      </c>
      <c r="C2865" t="s">
        <v>408</v>
      </c>
      <c r="D2865" t="s">
        <v>409</v>
      </c>
      <c r="E2865" t="s">
        <v>26</v>
      </c>
      <c r="F2865" t="s">
        <v>34</v>
      </c>
      <c r="G2865" t="s">
        <v>20</v>
      </c>
      <c r="H2865" t="s">
        <v>84</v>
      </c>
      <c r="I2865" t="s">
        <v>210</v>
      </c>
      <c r="J2865">
        <v>4</v>
      </c>
      <c r="K2865">
        <v>300</v>
      </c>
      <c r="L2865">
        <v>0.1</v>
      </c>
      <c r="M2865">
        <v>1080</v>
      </c>
      <c r="N2865">
        <v>680</v>
      </c>
      <c r="O2865">
        <v>400</v>
      </c>
    </row>
    <row r="2866" spans="1:15" x14ac:dyDescent="0.25">
      <c r="A2866" t="s">
        <v>3931</v>
      </c>
      <c r="B2866" s="2">
        <v>48522</v>
      </c>
      <c r="C2866" t="s">
        <v>2648</v>
      </c>
      <c r="D2866" t="s">
        <v>2649</v>
      </c>
      <c r="E2866" t="s">
        <v>26</v>
      </c>
      <c r="F2866" t="s">
        <v>46</v>
      </c>
      <c r="G2866" t="s">
        <v>51</v>
      </c>
      <c r="H2866" t="s">
        <v>21</v>
      </c>
      <c r="I2866" t="s">
        <v>116</v>
      </c>
      <c r="J2866">
        <v>5</v>
      </c>
      <c r="K2866">
        <v>1400</v>
      </c>
      <c r="L2866">
        <v>0.1</v>
      </c>
      <c r="M2866">
        <v>6300</v>
      </c>
      <c r="N2866">
        <v>4500</v>
      </c>
      <c r="O2866">
        <v>1800</v>
      </c>
    </row>
    <row r="2867" spans="1:15" x14ac:dyDescent="0.25">
      <c r="A2867" t="s">
        <v>3932</v>
      </c>
      <c r="B2867" s="2">
        <v>48523</v>
      </c>
      <c r="C2867" t="s">
        <v>547</v>
      </c>
      <c r="D2867" t="s">
        <v>548</v>
      </c>
      <c r="E2867" t="s">
        <v>26</v>
      </c>
      <c r="F2867" t="s">
        <v>204</v>
      </c>
      <c r="G2867" t="s">
        <v>20</v>
      </c>
      <c r="H2867" t="s">
        <v>84</v>
      </c>
      <c r="I2867" t="s">
        <v>210</v>
      </c>
      <c r="J2867">
        <v>3</v>
      </c>
      <c r="K2867">
        <v>300</v>
      </c>
      <c r="L2867">
        <v>0.2</v>
      </c>
      <c r="M2867">
        <v>720</v>
      </c>
      <c r="N2867">
        <v>510</v>
      </c>
      <c r="O2867">
        <v>210</v>
      </c>
    </row>
    <row r="2868" spans="1:15" x14ac:dyDescent="0.25">
      <c r="A2868" t="s">
        <v>3933</v>
      </c>
      <c r="B2868" s="2">
        <v>48524</v>
      </c>
      <c r="C2868" t="s">
        <v>1193</v>
      </c>
      <c r="D2868" t="s">
        <v>1194</v>
      </c>
      <c r="E2868" t="s">
        <v>39</v>
      </c>
      <c r="F2868" t="s">
        <v>71</v>
      </c>
      <c r="G2868" t="s">
        <v>57</v>
      </c>
      <c r="H2868" t="s">
        <v>58</v>
      </c>
      <c r="I2868" t="s">
        <v>59</v>
      </c>
      <c r="J2868">
        <v>3</v>
      </c>
      <c r="K2868">
        <v>5600</v>
      </c>
      <c r="L2868">
        <v>0.05</v>
      </c>
      <c r="M2868">
        <v>15960</v>
      </c>
      <c r="N2868">
        <v>11700</v>
      </c>
      <c r="O2868">
        <v>4260</v>
      </c>
    </row>
    <row r="2869" spans="1:15" x14ac:dyDescent="0.25">
      <c r="A2869" t="s">
        <v>3934</v>
      </c>
      <c r="B2869" s="2">
        <v>48525</v>
      </c>
      <c r="C2869" t="s">
        <v>1445</v>
      </c>
      <c r="D2869" t="s">
        <v>1446</v>
      </c>
      <c r="E2869" t="s">
        <v>26</v>
      </c>
      <c r="F2869" t="s">
        <v>34</v>
      </c>
      <c r="G2869" t="s">
        <v>20</v>
      </c>
      <c r="H2869" t="s">
        <v>21</v>
      </c>
      <c r="I2869" t="s">
        <v>22</v>
      </c>
      <c r="J2869">
        <v>3</v>
      </c>
      <c r="K2869">
        <v>650</v>
      </c>
      <c r="L2869">
        <v>0.1</v>
      </c>
      <c r="M2869">
        <v>1755</v>
      </c>
      <c r="N2869">
        <v>1170</v>
      </c>
      <c r="O2869">
        <v>585</v>
      </c>
    </row>
    <row r="2870" spans="1:15" x14ac:dyDescent="0.25">
      <c r="A2870" t="s">
        <v>3935</v>
      </c>
      <c r="B2870" s="2">
        <v>48526</v>
      </c>
      <c r="C2870" t="s">
        <v>1231</v>
      </c>
      <c r="D2870" t="s">
        <v>1232</v>
      </c>
      <c r="E2870" t="s">
        <v>18</v>
      </c>
      <c r="F2870" t="s">
        <v>227</v>
      </c>
      <c r="G2870" t="s">
        <v>20</v>
      </c>
      <c r="H2870" t="s">
        <v>41</v>
      </c>
      <c r="I2870" t="s">
        <v>42</v>
      </c>
      <c r="J2870">
        <v>5</v>
      </c>
      <c r="K2870">
        <v>520</v>
      </c>
      <c r="L2870">
        <v>0.15</v>
      </c>
      <c r="M2870">
        <v>2210</v>
      </c>
      <c r="N2870">
        <v>1650</v>
      </c>
      <c r="O2870">
        <v>560</v>
      </c>
    </row>
    <row r="2871" spans="1:15" x14ac:dyDescent="0.25">
      <c r="A2871" t="s">
        <v>3936</v>
      </c>
      <c r="B2871" s="2">
        <v>48527</v>
      </c>
      <c r="C2871" t="s">
        <v>143</v>
      </c>
      <c r="D2871" t="s">
        <v>144</v>
      </c>
      <c r="E2871" t="s">
        <v>39</v>
      </c>
      <c r="F2871" t="s">
        <v>40</v>
      </c>
      <c r="G2871" t="s">
        <v>51</v>
      </c>
      <c r="H2871" t="s">
        <v>52</v>
      </c>
      <c r="I2871" t="s">
        <v>53</v>
      </c>
      <c r="J2871">
        <v>2</v>
      </c>
      <c r="K2871">
        <v>2200</v>
      </c>
      <c r="L2871">
        <v>0.1</v>
      </c>
      <c r="M2871">
        <v>3960</v>
      </c>
      <c r="N2871">
        <v>2900</v>
      </c>
      <c r="O2871">
        <v>1060</v>
      </c>
    </row>
    <row r="2872" spans="1:15" x14ac:dyDescent="0.25">
      <c r="A2872" t="s">
        <v>3937</v>
      </c>
      <c r="B2872" s="2">
        <v>48528</v>
      </c>
      <c r="C2872" t="s">
        <v>1358</v>
      </c>
      <c r="D2872" t="s">
        <v>1359</v>
      </c>
      <c r="E2872" t="s">
        <v>39</v>
      </c>
      <c r="F2872" t="s">
        <v>76</v>
      </c>
      <c r="G2872" t="s">
        <v>20</v>
      </c>
      <c r="H2872" t="s">
        <v>84</v>
      </c>
      <c r="I2872" t="s">
        <v>85</v>
      </c>
      <c r="J2872">
        <v>5</v>
      </c>
      <c r="K2872">
        <v>280</v>
      </c>
      <c r="L2872">
        <v>0.05</v>
      </c>
      <c r="M2872">
        <v>1330</v>
      </c>
      <c r="N2872">
        <v>800</v>
      </c>
      <c r="O2872">
        <v>530</v>
      </c>
    </row>
    <row r="2873" spans="1:15" x14ac:dyDescent="0.25">
      <c r="A2873" t="s">
        <v>3938</v>
      </c>
      <c r="B2873" s="2">
        <v>48529</v>
      </c>
      <c r="C2873" t="s">
        <v>1595</v>
      </c>
      <c r="D2873" t="s">
        <v>1596</v>
      </c>
      <c r="E2873" t="s">
        <v>39</v>
      </c>
      <c r="F2873" t="s">
        <v>124</v>
      </c>
      <c r="G2873" t="s">
        <v>20</v>
      </c>
      <c r="H2873" t="s">
        <v>21</v>
      </c>
      <c r="I2873" t="s">
        <v>22</v>
      </c>
      <c r="J2873">
        <v>4</v>
      </c>
      <c r="K2873">
        <v>650</v>
      </c>
      <c r="L2873">
        <v>0.1</v>
      </c>
      <c r="M2873">
        <v>2340</v>
      </c>
      <c r="N2873">
        <v>1560</v>
      </c>
      <c r="O2873">
        <v>780</v>
      </c>
    </row>
    <row r="2874" spans="1:15" x14ac:dyDescent="0.25">
      <c r="A2874" t="s">
        <v>3939</v>
      </c>
      <c r="B2874" s="2">
        <v>48530</v>
      </c>
      <c r="C2874" t="s">
        <v>478</v>
      </c>
      <c r="D2874" t="s">
        <v>479</v>
      </c>
      <c r="E2874" t="s">
        <v>96</v>
      </c>
      <c r="F2874" t="s">
        <v>97</v>
      </c>
      <c r="G2874" t="s">
        <v>20</v>
      </c>
      <c r="H2874" t="s">
        <v>84</v>
      </c>
      <c r="I2874" t="s">
        <v>210</v>
      </c>
      <c r="J2874">
        <v>5</v>
      </c>
      <c r="K2874">
        <v>300</v>
      </c>
      <c r="L2874">
        <v>0</v>
      </c>
      <c r="M2874">
        <v>1500</v>
      </c>
      <c r="N2874">
        <v>850</v>
      </c>
      <c r="O2874">
        <v>650</v>
      </c>
    </row>
    <row r="2875" spans="1:15" x14ac:dyDescent="0.25">
      <c r="A2875" t="s">
        <v>3940</v>
      </c>
      <c r="B2875" s="2">
        <v>48531</v>
      </c>
      <c r="C2875" t="s">
        <v>314</v>
      </c>
      <c r="D2875" t="s">
        <v>315</v>
      </c>
      <c r="E2875" t="s">
        <v>96</v>
      </c>
      <c r="F2875" t="s">
        <v>200</v>
      </c>
      <c r="G2875" t="s">
        <v>57</v>
      </c>
      <c r="H2875" t="s">
        <v>58</v>
      </c>
      <c r="I2875" t="s">
        <v>129</v>
      </c>
      <c r="J2875">
        <v>1</v>
      </c>
      <c r="K2875">
        <v>4800</v>
      </c>
      <c r="L2875">
        <v>0.1</v>
      </c>
      <c r="M2875">
        <v>4320</v>
      </c>
      <c r="N2875">
        <v>3300</v>
      </c>
      <c r="O2875">
        <v>1020</v>
      </c>
    </row>
    <row r="2876" spans="1:15" x14ac:dyDescent="0.25">
      <c r="A2876" t="s">
        <v>3941</v>
      </c>
      <c r="B2876" s="2">
        <v>48532</v>
      </c>
      <c r="C2876" t="s">
        <v>541</v>
      </c>
      <c r="D2876" t="s">
        <v>542</v>
      </c>
      <c r="E2876" t="s">
        <v>26</v>
      </c>
      <c r="F2876" t="s">
        <v>27</v>
      </c>
      <c r="G2876" t="s">
        <v>28</v>
      </c>
      <c r="H2876" t="s">
        <v>63</v>
      </c>
      <c r="I2876" t="s">
        <v>64</v>
      </c>
      <c r="J2876">
        <v>3</v>
      </c>
      <c r="K2876">
        <v>2400</v>
      </c>
      <c r="L2876">
        <v>0.2</v>
      </c>
      <c r="M2876">
        <v>5760</v>
      </c>
      <c r="N2876">
        <v>4950</v>
      </c>
      <c r="O2876">
        <v>810</v>
      </c>
    </row>
    <row r="2877" spans="1:15" x14ac:dyDescent="0.25">
      <c r="A2877" t="s">
        <v>3942</v>
      </c>
      <c r="B2877" s="2">
        <v>48533</v>
      </c>
      <c r="C2877" t="s">
        <v>1471</v>
      </c>
      <c r="D2877" t="s">
        <v>1472</v>
      </c>
      <c r="E2877" t="s">
        <v>18</v>
      </c>
      <c r="F2877" t="s">
        <v>94</v>
      </c>
      <c r="G2877" t="s">
        <v>51</v>
      </c>
      <c r="H2877" t="s">
        <v>21</v>
      </c>
      <c r="I2877" t="s">
        <v>80</v>
      </c>
      <c r="J2877">
        <v>4</v>
      </c>
      <c r="K2877">
        <v>850</v>
      </c>
      <c r="L2877">
        <v>0.05</v>
      </c>
      <c r="M2877">
        <v>3230</v>
      </c>
      <c r="N2877">
        <v>2240</v>
      </c>
      <c r="O2877">
        <v>990</v>
      </c>
    </row>
    <row r="2878" spans="1:15" x14ac:dyDescent="0.25">
      <c r="A2878" t="s">
        <v>3943</v>
      </c>
      <c r="B2878" s="2">
        <v>48534</v>
      </c>
      <c r="C2878" t="s">
        <v>1780</v>
      </c>
      <c r="D2878" t="s">
        <v>1781</v>
      </c>
      <c r="E2878" t="s">
        <v>39</v>
      </c>
      <c r="F2878" t="s">
        <v>40</v>
      </c>
      <c r="G2878" t="s">
        <v>51</v>
      </c>
      <c r="H2878" t="s">
        <v>52</v>
      </c>
      <c r="I2878" t="s">
        <v>53</v>
      </c>
      <c r="J2878">
        <v>4</v>
      </c>
      <c r="K2878">
        <v>2200</v>
      </c>
      <c r="L2878">
        <v>0.1</v>
      </c>
      <c r="M2878">
        <v>7920</v>
      </c>
      <c r="N2878">
        <v>5800</v>
      </c>
      <c r="O2878">
        <v>2120</v>
      </c>
    </row>
    <row r="2879" spans="1:15" x14ac:dyDescent="0.25">
      <c r="A2879" t="s">
        <v>3944</v>
      </c>
      <c r="B2879" s="2">
        <v>48535</v>
      </c>
      <c r="C2879" t="s">
        <v>408</v>
      </c>
      <c r="D2879" t="s">
        <v>409</v>
      </c>
      <c r="E2879" t="s">
        <v>26</v>
      </c>
      <c r="F2879" t="s">
        <v>27</v>
      </c>
      <c r="G2879" t="s">
        <v>20</v>
      </c>
      <c r="H2879" t="s">
        <v>41</v>
      </c>
      <c r="I2879" t="s">
        <v>42</v>
      </c>
      <c r="J2879">
        <v>5</v>
      </c>
      <c r="K2879">
        <v>520</v>
      </c>
      <c r="L2879">
        <v>0.15</v>
      </c>
      <c r="M2879">
        <v>2210</v>
      </c>
      <c r="N2879">
        <v>1650</v>
      </c>
      <c r="O2879">
        <v>560</v>
      </c>
    </row>
    <row r="2880" spans="1:15" x14ac:dyDescent="0.25">
      <c r="A2880" t="s">
        <v>3945</v>
      </c>
      <c r="B2880" s="2">
        <v>48536</v>
      </c>
      <c r="C2880" t="s">
        <v>909</v>
      </c>
      <c r="D2880" t="s">
        <v>910</v>
      </c>
      <c r="E2880" t="s">
        <v>39</v>
      </c>
      <c r="F2880" t="s">
        <v>124</v>
      </c>
      <c r="G2880" t="s">
        <v>51</v>
      </c>
      <c r="H2880" t="s">
        <v>52</v>
      </c>
      <c r="I2880" t="s">
        <v>53</v>
      </c>
      <c r="J2880">
        <v>4</v>
      </c>
      <c r="K2880">
        <v>2200</v>
      </c>
      <c r="L2880">
        <v>0.1</v>
      </c>
      <c r="M2880">
        <v>7920</v>
      </c>
      <c r="N2880">
        <v>5800</v>
      </c>
      <c r="O2880">
        <v>2120</v>
      </c>
    </row>
    <row r="2881" spans="1:15" x14ac:dyDescent="0.25">
      <c r="A2881" t="s">
        <v>3946</v>
      </c>
      <c r="B2881" s="2">
        <v>48537</v>
      </c>
      <c r="C2881" t="s">
        <v>1948</v>
      </c>
      <c r="D2881" t="s">
        <v>1949</v>
      </c>
      <c r="E2881" t="s">
        <v>39</v>
      </c>
      <c r="F2881" t="s">
        <v>76</v>
      </c>
      <c r="G2881" t="s">
        <v>57</v>
      </c>
      <c r="H2881" t="s">
        <v>58</v>
      </c>
      <c r="I2881" t="s">
        <v>59</v>
      </c>
      <c r="J2881">
        <v>5</v>
      </c>
      <c r="K2881">
        <v>5600</v>
      </c>
      <c r="L2881">
        <v>0.25</v>
      </c>
      <c r="M2881">
        <v>21000</v>
      </c>
      <c r="N2881">
        <v>19500</v>
      </c>
      <c r="O2881">
        <v>1500</v>
      </c>
    </row>
    <row r="2882" spans="1:15" x14ac:dyDescent="0.25">
      <c r="A2882" t="s">
        <v>3947</v>
      </c>
      <c r="B2882" s="2">
        <v>48538</v>
      </c>
      <c r="C2882" t="s">
        <v>1442</v>
      </c>
      <c r="D2882" t="s">
        <v>1443</v>
      </c>
      <c r="E2882" t="s">
        <v>96</v>
      </c>
      <c r="F2882" t="s">
        <v>120</v>
      </c>
      <c r="G2882" t="s">
        <v>20</v>
      </c>
      <c r="H2882" t="s">
        <v>84</v>
      </c>
      <c r="I2882" t="s">
        <v>210</v>
      </c>
      <c r="J2882">
        <v>2</v>
      </c>
      <c r="K2882">
        <v>300</v>
      </c>
      <c r="L2882">
        <v>0.1</v>
      </c>
      <c r="M2882">
        <v>540</v>
      </c>
      <c r="N2882">
        <v>340</v>
      </c>
      <c r="O2882">
        <v>200</v>
      </c>
    </row>
    <row r="2883" spans="1:15" x14ac:dyDescent="0.25">
      <c r="A2883" t="s">
        <v>3948</v>
      </c>
      <c r="B2883" s="2">
        <v>48539</v>
      </c>
      <c r="C2883" t="s">
        <v>2580</v>
      </c>
      <c r="D2883" t="s">
        <v>2581</v>
      </c>
      <c r="E2883" t="s">
        <v>39</v>
      </c>
      <c r="F2883" t="s">
        <v>40</v>
      </c>
      <c r="G2883" t="s">
        <v>57</v>
      </c>
      <c r="H2883" t="s">
        <v>58</v>
      </c>
      <c r="I2883" t="s">
        <v>59</v>
      </c>
      <c r="J2883">
        <v>5</v>
      </c>
      <c r="K2883">
        <v>5600</v>
      </c>
      <c r="L2883">
        <v>0</v>
      </c>
      <c r="M2883">
        <v>28000</v>
      </c>
      <c r="N2883">
        <v>19500</v>
      </c>
      <c r="O2883">
        <v>8500</v>
      </c>
    </row>
    <row r="2884" spans="1:15" x14ac:dyDescent="0.25">
      <c r="A2884" t="s">
        <v>3949</v>
      </c>
      <c r="B2884" s="2">
        <v>48540</v>
      </c>
      <c r="C2884" t="s">
        <v>2311</v>
      </c>
      <c r="D2884" t="s">
        <v>2312</v>
      </c>
      <c r="E2884" t="s">
        <v>18</v>
      </c>
      <c r="F2884" t="s">
        <v>115</v>
      </c>
      <c r="G2884" t="s">
        <v>51</v>
      </c>
      <c r="H2884" t="s">
        <v>89</v>
      </c>
      <c r="I2884" t="s">
        <v>90</v>
      </c>
      <c r="J2884">
        <v>2</v>
      </c>
      <c r="K2884">
        <v>10500</v>
      </c>
      <c r="L2884">
        <v>0.1</v>
      </c>
      <c r="M2884">
        <v>18900</v>
      </c>
      <c r="N2884">
        <v>15200</v>
      </c>
      <c r="O2884">
        <v>3700</v>
      </c>
    </row>
    <row r="2885" spans="1:15" x14ac:dyDescent="0.25">
      <c r="A2885" t="s">
        <v>3950</v>
      </c>
      <c r="B2885" s="2">
        <v>48541</v>
      </c>
      <c r="C2885" t="s">
        <v>2084</v>
      </c>
      <c r="D2885" t="s">
        <v>2085</v>
      </c>
      <c r="E2885" t="s">
        <v>26</v>
      </c>
      <c r="F2885" t="s">
        <v>46</v>
      </c>
      <c r="G2885" t="s">
        <v>51</v>
      </c>
      <c r="H2885" t="s">
        <v>89</v>
      </c>
      <c r="I2885" t="s">
        <v>90</v>
      </c>
      <c r="J2885">
        <v>2</v>
      </c>
      <c r="K2885">
        <v>10500</v>
      </c>
      <c r="L2885">
        <v>0.05</v>
      </c>
      <c r="M2885">
        <v>19950</v>
      </c>
      <c r="N2885">
        <v>15200</v>
      </c>
      <c r="O2885">
        <v>4750</v>
      </c>
    </row>
    <row r="2886" spans="1:15" x14ac:dyDescent="0.25">
      <c r="A2886" t="s">
        <v>3951</v>
      </c>
      <c r="B2886" s="2">
        <v>48542</v>
      </c>
      <c r="C2886" t="s">
        <v>1556</v>
      </c>
      <c r="D2886" t="s">
        <v>1557</v>
      </c>
      <c r="E2886" t="s">
        <v>26</v>
      </c>
      <c r="F2886" t="s">
        <v>128</v>
      </c>
      <c r="G2886" t="s">
        <v>28</v>
      </c>
      <c r="H2886" t="s">
        <v>29</v>
      </c>
      <c r="I2886" t="s">
        <v>35</v>
      </c>
      <c r="J2886">
        <v>5</v>
      </c>
      <c r="K2886">
        <v>4200</v>
      </c>
      <c r="L2886">
        <v>0.15</v>
      </c>
      <c r="M2886">
        <v>17850</v>
      </c>
      <c r="N2886">
        <v>14500</v>
      </c>
      <c r="O2886">
        <v>3350</v>
      </c>
    </row>
    <row r="2887" spans="1:15" x14ac:dyDescent="0.25">
      <c r="A2887" t="s">
        <v>3952</v>
      </c>
      <c r="B2887" s="2">
        <v>48543</v>
      </c>
      <c r="C2887" t="s">
        <v>444</v>
      </c>
      <c r="D2887" t="s">
        <v>445</v>
      </c>
      <c r="E2887" t="s">
        <v>96</v>
      </c>
      <c r="F2887" t="s">
        <v>120</v>
      </c>
      <c r="G2887" t="s">
        <v>20</v>
      </c>
      <c r="H2887" t="s">
        <v>21</v>
      </c>
      <c r="I2887" t="s">
        <v>22</v>
      </c>
      <c r="J2887">
        <v>5</v>
      </c>
      <c r="K2887">
        <v>650</v>
      </c>
      <c r="L2887">
        <v>0.1</v>
      </c>
      <c r="M2887">
        <v>2925</v>
      </c>
      <c r="N2887">
        <v>1950</v>
      </c>
      <c r="O2887">
        <v>975</v>
      </c>
    </row>
    <row r="2888" spans="1:15" x14ac:dyDescent="0.25">
      <c r="A2888" t="s">
        <v>3953</v>
      </c>
      <c r="B2888" s="2">
        <v>48544</v>
      </c>
      <c r="C2888" t="s">
        <v>1281</v>
      </c>
      <c r="D2888" t="s">
        <v>1282</v>
      </c>
      <c r="E2888" t="s">
        <v>96</v>
      </c>
      <c r="F2888" t="s">
        <v>97</v>
      </c>
      <c r="G2888" t="s">
        <v>51</v>
      </c>
      <c r="H2888" t="s">
        <v>21</v>
      </c>
      <c r="I2888" t="s">
        <v>80</v>
      </c>
      <c r="J2888">
        <v>3</v>
      </c>
      <c r="K2888">
        <v>850</v>
      </c>
      <c r="L2888">
        <v>0</v>
      </c>
      <c r="M2888">
        <v>2550</v>
      </c>
      <c r="N2888">
        <v>1680</v>
      </c>
      <c r="O2888">
        <v>870</v>
      </c>
    </row>
    <row r="2889" spans="1:15" x14ac:dyDescent="0.25">
      <c r="A2889" t="s">
        <v>3954</v>
      </c>
      <c r="B2889" s="2">
        <v>48545</v>
      </c>
      <c r="C2889" t="s">
        <v>1471</v>
      </c>
      <c r="D2889" t="s">
        <v>1472</v>
      </c>
      <c r="E2889" t="s">
        <v>26</v>
      </c>
      <c r="F2889" t="s">
        <v>128</v>
      </c>
      <c r="G2889" t="s">
        <v>57</v>
      </c>
      <c r="H2889" t="s">
        <v>104</v>
      </c>
      <c r="I2889" t="s">
        <v>105</v>
      </c>
      <c r="J2889">
        <v>2</v>
      </c>
      <c r="K2889">
        <v>7500</v>
      </c>
      <c r="L2889">
        <v>0.15</v>
      </c>
      <c r="M2889">
        <v>12750</v>
      </c>
      <c r="N2889">
        <v>10400</v>
      </c>
      <c r="O2889">
        <v>2350</v>
      </c>
    </row>
    <row r="2890" spans="1:15" x14ac:dyDescent="0.25">
      <c r="A2890" t="s">
        <v>3955</v>
      </c>
      <c r="B2890" s="2">
        <v>48546</v>
      </c>
      <c r="C2890" t="s">
        <v>1598</v>
      </c>
      <c r="D2890" t="s">
        <v>1599</v>
      </c>
      <c r="E2890" t="s">
        <v>26</v>
      </c>
      <c r="F2890" t="s">
        <v>204</v>
      </c>
      <c r="G2890" t="s">
        <v>20</v>
      </c>
      <c r="H2890" t="s">
        <v>41</v>
      </c>
      <c r="I2890" t="s">
        <v>42</v>
      </c>
      <c r="J2890">
        <v>4</v>
      </c>
      <c r="K2890">
        <v>520</v>
      </c>
      <c r="L2890">
        <v>0.2</v>
      </c>
      <c r="M2890">
        <v>1664</v>
      </c>
      <c r="N2890">
        <v>1320</v>
      </c>
      <c r="O2890">
        <v>344</v>
      </c>
    </row>
    <row r="2891" spans="1:15" x14ac:dyDescent="0.25">
      <c r="A2891" t="s">
        <v>3956</v>
      </c>
      <c r="B2891" s="2">
        <v>48547</v>
      </c>
      <c r="C2891" t="s">
        <v>2230</v>
      </c>
      <c r="D2891" t="s">
        <v>2231</v>
      </c>
      <c r="E2891" t="s">
        <v>18</v>
      </c>
      <c r="F2891" t="s">
        <v>227</v>
      </c>
      <c r="G2891" t="s">
        <v>51</v>
      </c>
      <c r="H2891" t="s">
        <v>21</v>
      </c>
      <c r="I2891" t="s">
        <v>72</v>
      </c>
      <c r="J2891">
        <v>1</v>
      </c>
      <c r="K2891">
        <v>1800</v>
      </c>
      <c r="L2891">
        <v>0.15</v>
      </c>
      <c r="M2891">
        <v>1530</v>
      </c>
      <c r="N2891">
        <v>1100</v>
      </c>
      <c r="O2891">
        <v>430</v>
      </c>
    </row>
    <row r="2892" spans="1:15" x14ac:dyDescent="0.25">
      <c r="A2892" t="s">
        <v>3957</v>
      </c>
      <c r="B2892" s="2">
        <v>48548</v>
      </c>
      <c r="C2892" t="s">
        <v>281</v>
      </c>
      <c r="D2892" t="s">
        <v>282</v>
      </c>
      <c r="E2892" t="s">
        <v>18</v>
      </c>
      <c r="F2892" t="s">
        <v>227</v>
      </c>
      <c r="G2892" t="s">
        <v>28</v>
      </c>
      <c r="H2892" t="s">
        <v>29</v>
      </c>
      <c r="I2892" t="s">
        <v>30</v>
      </c>
      <c r="J2892">
        <v>4</v>
      </c>
      <c r="K2892">
        <v>1900</v>
      </c>
      <c r="L2892">
        <v>0</v>
      </c>
      <c r="M2892">
        <v>7600</v>
      </c>
      <c r="N2892">
        <v>5000</v>
      </c>
      <c r="O2892">
        <v>2600</v>
      </c>
    </row>
    <row r="2893" spans="1:15" x14ac:dyDescent="0.25">
      <c r="A2893" t="s">
        <v>3958</v>
      </c>
      <c r="B2893" s="2">
        <v>48549</v>
      </c>
      <c r="C2893" t="s">
        <v>275</v>
      </c>
      <c r="D2893" t="s">
        <v>276</v>
      </c>
      <c r="E2893" t="s">
        <v>26</v>
      </c>
      <c r="F2893" t="s">
        <v>34</v>
      </c>
      <c r="G2893" t="s">
        <v>51</v>
      </c>
      <c r="H2893" t="s">
        <v>89</v>
      </c>
      <c r="I2893" t="s">
        <v>90</v>
      </c>
      <c r="J2893">
        <v>2</v>
      </c>
      <c r="K2893">
        <v>10500</v>
      </c>
      <c r="L2893">
        <v>0.15</v>
      </c>
      <c r="M2893">
        <v>17850</v>
      </c>
      <c r="N2893">
        <v>15200</v>
      </c>
      <c r="O2893">
        <v>2650</v>
      </c>
    </row>
    <row r="2894" spans="1:15" x14ac:dyDescent="0.25">
      <c r="A2894" t="s">
        <v>3959</v>
      </c>
      <c r="B2894" s="2">
        <v>48550</v>
      </c>
      <c r="C2894" t="s">
        <v>1793</v>
      </c>
      <c r="D2894" t="s">
        <v>1794</v>
      </c>
      <c r="E2894" t="s">
        <v>39</v>
      </c>
      <c r="F2894" t="s">
        <v>124</v>
      </c>
      <c r="G2894" t="s">
        <v>57</v>
      </c>
      <c r="H2894" t="s">
        <v>58</v>
      </c>
      <c r="I2894" t="s">
        <v>129</v>
      </c>
      <c r="J2894">
        <v>1</v>
      </c>
      <c r="K2894">
        <v>4800</v>
      </c>
      <c r="L2894">
        <v>0</v>
      </c>
      <c r="M2894">
        <v>4800</v>
      </c>
      <c r="N2894">
        <v>3300</v>
      </c>
      <c r="O2894">
        <v>1500</v>
      </c>
    </row>
    <row r="2895" spans="1:15" x14ac:dyDescent="0.25">
      <c r="A2895" t="s">
        <v>3960</v>
      </c>
      <c r="B2895" s="2">
        <v>48551</v>
      </c>
      <c r="C2895" t="s">
        <v>378</v>
      </c>
      <c r="D2895" t="s">
        <v>379</v>
      </c>
      <c r="E2895" t="s">
        <v>26</v>
      </c>
      <c r="F2895" t="s">
        <v>34</v>
      </c>
      <c r="G2895" t="s">
        <v>28</v>
      </c>
      <c r="H2895" t="s">
        <v>29</v>
      </c>
      <c r="I2895" t="s">
        <v>35</v>
      </c>
      <c r="J2895">
        <v>1</v>
      </c>
      <c r="K2895">
        <v>4200</v>
      </c>
      <c r="L2895">
        <v>0.15</v>
      </c>
      <c r="M2895">
        <v>3570</v>
      </c>
      <c r="N2895">
        <v>2900</v>
      </c>
      <c r="O2895">
        <v>670</v>
      </c>
    </row>
    <row r="2896" spans="1:15" x14ac:dyDescent="0.25">
      <c r="A2896" t="s">
        <v>3961</v>
      </c>
      <c r="B2896" s="2">
        <v>48552</v>
      </c>
      <c r="C2896" t="s">
        <v>1865</v>
      </c>
      <c r="D2896" t="s">
        <v>1866</v>
      </c>
      <c r="E2896" t="s">
        <v>26</v>
      </c>
      <c r="F2896" t="s">
        <v>46</v>
      </c>
      <c r="G2896" t="s">
        <v>20</v>
      </c>
      <c r="H2896" t="s">
        <v>41</v>
      </c>
      <c r="I2896" t="s">
        <v>42</v>
      </c>
      <c r="J2896">
        <v>2</v>
      </c>
      <c r="K2896">
        <v>520</v>
      </c>
      <c r="L2896">
        <v>0.25</v>
      </c>
      <c r="M2896">
        <v>780</v>
      </c>
      <c r="N2896">
        <v>660</v>
      </c>
      <c r="O2896">
        <v>120</v>
      </c>
    </row>
    <row r="2897" spans="1:15" x14ac:dyDescent="0.25">
      <c r="A2897" t="s">
        <v>3962</v>
      </c>
      <c r="B2897" s="2">
        <v>48553</v>
      </c>
      <c r="C2897" t="s">
        <v>472</v>
      </c>
      <c r="D2897" t="s">
        <v>473</v>
      </c>
      <c r="E2897" t="s">
        <v>39</v>
      </c>
      <c r="F2897" t="s">
        <v>76</v>
      </c>
      <c r="G2897" t="s">
        <v>20</v>
      </c>
      <c r="H2897" t="s">
        <v>84</v>
      </c>
      <c r="I2897" t="s">
        <v>210</v>
      </c>
      <c r="J2897">
        <v>4</v>
      </c>
      <c r="K2897">
        <v>300</v>
      </c>
      <c r="L2897">
        <v>0.2</v>
      </c>
      <c r="M2897">
        <v>960</v>
      </c>
      <c r="N2897">
        <v>680</v>
      </c>
      <c r="O2897">
        <v>280</v>
      </c>
    </row>
    <row r="2898" spans="1:15" x14ac:dyDescent="0.25">
      <c r="A2898" t="s">
        <v>3963</v>
      </c>
      <c r="B2898" s="2">
        <v>48554</v>
      </c>
      <c r="C2898" t="s">
        <v>647</v>
      </c>
      <c r="D2898" t="s">
        <v>648</v>
      </c>
      <c r="E2898" t="s">
        <v>96</v>
      </c>
      <c r="F2898" t="s">
        <v>120</v>
      </c>
      <c r="G2898" t="s">
        <v>51</v>
      </c>
      <c r="H2898" t="s">
        <v>52</v>
      </c>
      <c r="I2898" t="s">
        <v>208</v>
      </c>
      <c r="J2898">
        <v>1</v>
      </c>
      <c r="K2898">
        <v>2800</v>
      </c>
      <c r="L2898">
        <v>0.25</v>
      </c>
      <c r="M2898">
        <v>2100</v>
      </c>
      <c r="N2898">
        <v>1800</v>
      </c>
      <c r="O2898">
        <v>300</v>
      </c>
    </row>
    <row r="2899" spans="1:15" x14ac:dyDescent="0.25">
      <c r="A2899" t="s">
        <v>3964</v>
      </c>
      <c r="B2899" s="2">
        <v>48555</v>
      </c>
      <c r="C2899" t="s">
        <v>1049</v>
      </c>
      <c r="D2899" t="s">
        <v>1050</v>
      </c>
      <c r="E2899" t="s">
        <v>18</v>
      </c>
      <c r="F2899" t="s">
        <v>115</v>
      </c>
      <c r="G2899" t="s">
        <v>51</v>
      </c>
      <c r="H2899" t="s">
        <v>52</v>
      </c>
      <c r="I2899" t="s">
        <v>53</v>
      </c>
      <c r="J2899">
        <v>1</v>
      </c>
      <c r="K2899">
        <v>2200</v>
      </c>
      <c r="L2899">
        <v>0.05</v>
      </c>
      <c r="M2899">
        <v>2090</v>
      </c>
      <c r="N2899">
        <v>1450</v>
      </c>
      <c r="O2899">
        <v>640</v>
      </c>
    </row>
    <row r="2900" spans="1:15" x14ac:dyDescent="0.25">
      <c r="A2900" t="s">
        <v>3965</v>
      </c>
      <c r="B2900" s="2">
        <v>48556</v>
      </c>
      <c r="C2900" t="s">
        <v>420</v>
      </c>
      <c r="D2900" t="s">
        <v>421</v>
      </c>
      <c r="E2900" t="s">
        <v>39</v>
      </c>
      <c r="F2900" t="s">
        <v>124</v>
      </c>
      <c r="G2900" t="s">
        <v>28</v>
      </c>
      <c r="H2900" t="s">
        <v>29</v>
      </c>
      <c r="I2900" t="s">
        <v>30</v>
      </c>
      <c r="J2900">
        <v>5</v>
      </c>
      <c r="K2900">
        <v>1900</v>
      </c>
      <c r="L2900">
        <v>0.1</v>
      </c>
      <c r="M2900">
        <v>8550</v>
      </c>
      <c r="N2900">
        <v>6250</v>
      </c>
      <c r="O2900">
        <v>2300</v>
      </c>
    </row>
    <row r="2901" spans="1:15" x14ac:dyDescent="0.25">
      <c r="A2901" t="s">
        <v>3966</v>
      </c>
      <c r="B2901" s="2">
        <v>48557</v>
      </c>
      <c r="C2901" t="s">
        <v>757</v>
      </c>
      <c r="D2901" t="s">
        <v>758</v>
      </c>
      <c r="E2901" t="s">
        <v>26</v>
      </c>
      <c r="F2901" t="s">
        <v>34</v>
      </c>
      <c r="G2901" t="s">
        <v>57</v>
      </c>
      <c r="H2901" t="s">
        <v>188</v>
      </c>
      <c r="I2901" t="s">
        <v>189</v>
      </c>
      <c r="J2901">
        <v>2</v>
      </c>
      <c r="K2901">
        <v>6200</v>
      </c>
      <c r="L2901">
        <v>0.2</v>
      </c>
      <c r="M2901">
        <v>9920</v>
      </c>
      <c r="N2901">
        <v>8600</v>
      </c>
      <c r="O2901">
        <v>1320</v>
      </c>
    </row>
    <row r="2902" spans="1:15" x14ac:dyDescent="0.25">
      <c r="A2902" t="s">
        <v>3967</v>
      </c>
      <c r="B2902" s="2">
        <v>48558</v>
      </c>
      <c r="C2902" t="s">
        <v>314</v>
      </c>
      <c r="D2902" t="s">
        <v>315</v>
      </c>
      <c r="E2902" t="s">
        <v>26</v>
      </c>
      <c r="F2902" t="s">
        <v>34</v>
      </c>
      <c r="G2902" t="s">
        <v>51</v>
      </c>
      <c r="H2902" t="s">
        <v>21</v>
      </c>
      <c r="I2902" t="s">
        <v>72</v>
      </c>
      <c r="J2902">
        <v>1</v>
      </c>
      <c r="K2902">
        <v>1800</v>
      </c>
      <c r="L2902">
        <v>0.05</v>
      </c>
      <c r="M2902">
        <v>1710</v>
      </c>
      <c r="N2902">
        <v>1100</v>
      </c>
      <c r="O2902">
        <v>610</v>
      </c>
    </row>
    <row r="2903" spans="1:15" x14ac:dyDescent="0.25">
      <c r="A2903" t="s">
        <v>3968</v>
      </c>
      <c r="B2903" s="2">
        <v>48559</v>
      </c>
      <c r="C2903" t="s">
        <v>1213</v>
      </c>
      <c r="D2903" t="s">
        <v>1214</v>
      </c>
      <c r="E2903" t="s">
        <v>18</v>
      </c>
      <c r="F2903" t="s">
        <v>115</v>
      </c>
      <c r="G2903" t="s">
        <v>51</v>
      </c>
      <c r="H2903" t="s">
        <v>21</v>
      </c>
      <c r="I2903" t="s">
        <v>116</v>
      </c>
      <c r="J2903">
        <v>3</v>
      </c>
      <c r="K2903">
        <v>1400</v>
      </c>
      <c r="L2903">
        <v>0.1</v>
      </c>
      <c r="M2903">
        <v>3780</v>
      </c>
      <c r="N2903">
        <v>2700</v>
      </c>
      <c r="O2903">
        <v>1080</v>
      </c>
    </row>
    <row r="2904" spans="1:15" x14ac:dyDescent="0.25">
      <c r="A2904" t="s">
        <v>3969</v>
      </c>
      <c r="B2904" s="2">
        <v>48560</v>
      </c>
      <c r="C2904" t="s">
        <v>1180</v>
      </c>
      <c r="D2904" t="s">
        <v>1181</v>
      </c>
      <c r="E2904" t="s">
        <v>96</v>
      </c>
      <c r="F2904" t="s">
        <v>200</v>
      </c>
      <c r="G2904" t="s">
        <v>51</v>
      </c>
      <c r="H2904" t="s">
        <v>52</v>
      </c>
      <c r="I2904" t="s">
        <v>208</v>
      </c>
      <c r="J2904">
        <v>1</v>
      </c>
      <c r="K2904">
        <v>2800</v>
      </c>
      <c r="L2904">
        <v>0.1</v>
      </c>
      <c r="M2904">
        <v>2520</v>
      </c>
      <c r="N2904">
        <v>1800</v>
      </c>
      <c r="O2904">
        <v>720</v>
      </c>
    </row>
    <row r="2905" spans="1:15" x14ac:dyDescent="0.25">
      <c r="A2905" t="s">
        <v>3970</v>
      </c>
      <c r="B2905" s="2">
        <v>48561</v>
      </c>
      <c r="C2905" t="s">
        <v>724</v>
      </c>
      <c r="D2905" t="s">
        <v>725</v>
      </c>
      <c r="E2905" t="s">
        <v>26</v>
      </c>
      <c r="F2905" t="s">
        <v>27</v>
      </c>
      <c r="G2905" t="s">
        <v>20</v>
      </c>
      <c r="H2905" t="s">
        <v>84</v>
      </c>
      <c r="I2905" t="s">
        <v>169</v>
      </c>
      <c r="J2905">
        <v>1</v>
      </c>
      <c r="K2905">
        <v>450</v>
      </c>
      <c r="L2905">
        <v>0.2</v>
      </c>
      <c r="M2905">
        <v>360</v>
      </c>
      <c r="N2905">
        <v>260</v>
      </c>
      <c r="O2905">
        <v>100</v>
      </c>
    </row>
    <row r="2906" spans="1:15" x14ac:dyDescent="0.25">
      <c r="A2906" t="s">
        <v>3971</v>
      </c>
      <c r="B2906" s="2">
        <v>48562</v>
      </c>
      <c r="C2906" t="s">
        <v>1180</v>
      </c>
      <c r="D2906" t="s">
        <v>1181</v>
      </c>
      <c r="E2906" t="s">
        <v>96</v>
      </c>
      <c r="F2906" t="s">
        <v>200</v>
      </c>
      <c r="G2906" t="s">
        <v>20</v>
      </c>
      <c r="H2906" t="s">
        <v>84</v>
      </c>
      <c r="I2906" t="s">
        <v>169</v>
      </c>
      <c r="J2906">
        <v>5</v>
      </c>
      <c r="K2906">
        <v>450</v>
      </c>
      <c r="L2906">
        <v>0.05</v>
      </c>
      <c r="M2906">
        <v>2137.5</v>
      </c>
      <c r="N2906">
        <v>1300</v>
      </c>
      <c r="O2906">
        <v>837.5</v>
      </c>
    </row>
    <row r="2907" spans="1:15" x14ac:dyDescent="0.25">
      <c r="A2907" t="s">
        <v>3972</v>
      </c>
      <c r="B2907" s="2">
        <v>48563</v>
      </c>
      <c r="C2907" t="s">
        <v>2102</v>
      </c>
      <c r="D2907" t="s">
        <v>2103</v>
      </c>
      <c r="E2907" t="s">
        <v>26</v>
      </c>
      <c r="F2907" t="s">
        <v>27</v>
      </c>
      <c r="G2907" t="s">
        <v>51</v>
      </c>
      <c r="H2907" t="s">
        <v>89</v>
      </c>
      <c r="I2907" t="s">
        <v>90</v>
      </c>
      <c r="J2907">
        <v>5</v>
      </c>
      <c r="K2907">
        <v>10500</v>
      </c>
      <c r="L2907">
        <v>0.25</v>
      </c>
      <c r="M2907">
        <v>39375</v>
      </c>
      <c r="N2907">
        <v>38000</v>
      </c>
      <c r="O2907">
        <v>1375</v>
      </c>
    </row>
    <row r="2908" spans="1:15" x14ac:dyDescent="0.25">
      <c r="A2908" t="s">
        <v>3973</v>
      </c>
      <c r="B2908" s="2">
        <v>48564</v>
      </c>
      <c r="C2908" t="s">
        <v>1461</v>
      </c>
      <c r="D2908" t="s">
        <v>1462</v>
      </c>
      <c r="E2908" t="s">
        <v>96</v>
      </c>
      <c r="F2908" t="s">
        <v>120</v>
      </c>
      <c r="G2908" t="s">
        <v>51</v>
      </c>
      <c r="H2908" t="s">
        <v>52</v>
      </c>
      <c r="I2908" t="s">
        <v>53</v>
      </c>
      <c r="J2908">
        <v>4</v>
      </c>
      <c r="K2908">
        <v>2200</v>
      </c>
      <c r="L2908">
        <v>0</v>
      </c>
      <c r="M2908">
        <v>8800</v>
      </c>
      <c r="N2908">
        <v>5800</v>
      </c>
      <c r="O2908">
        <v>3000</v>
      </c>
    </row>
    <row r="2909" spans="1:15" x14ac:dyDescent="0.25">
      <c r="A2909" t="s">
        <v>3974</v>
      </c>
      <c r="B2909" s="2">
        <v>48565</v>
      </c>
      <c r="C2909" t="s">
        <v>16</v>
      </c>
      <c r="D2909" t="s">
        <v>17</v>
      </c>
      <c r="E2909" t="s">
        <v>96</v>
      </c>
      <c r="F2909" t="s">
        <v>97</v>
      </c>
      <c r="G2909" t="s">
        <v>20</v>
      </c>
      <c r="H2909" t="s">
        <v>84</v>
      </c>
      <c r="I2909" t="s">
        <v>169</v>
      </c>
      <c r="J2909">
        <v>1</v>
      </c>
      <c r="K2909">
        <v>450</v>
      </c>
      <c r="L2909">
        <v>0.15</v>
      </c>
      <c r="M2909">
        <v>382.5</v>
      </c>
      <c r="N2909">
        <v>260</v>
      </c>
      <c r="O2909">
        <v>122.5</v>
      </c>
    </row>
    <row r="2910" spans="1:15" x14ac:dyDescent="0.25">
      <c r="A2910" t="s">
        <v>3975</v>
      </c>
      <c r="B2910" s="2">
        <v>48566</v>
      </c>
      <c r="C2910" t="s">
        <v>1025</v>
      </c>
      <c r="D2910" t="s">
        <v>1026</v>
      </c>
      <c r="E2910" t="s">
        <v>96</v>
      </c>
      <c r="F2910" t="s">
        <v>196</v>
      </c>
      <c r="G2910" t="s">
        <v>20</v>
      </c>
      <c r="H2910" t="s">
        <v>41</v>
      </c>
      <c r="I2910" t="s">
        <v>42</v>
      </c>
      <c r="J2910">
        <v>3</v>
      </c>
      <c r="K2910">
        <v>520</v>
      </c>
      <c r="L2910">
        <v>0</v>
      </c>
      <c r="M2910">
        <v>1560</v>
      </c>
      <c r="N2910">
        <v>990</v>
      </c>
      <c r="O2910">
        <v>570</v>
      </c>
    </row>
    <row r="2911" spans="1:15" x14ac:dyDescent="0.25">
      <c r="A2911" t="s">
        <v>3976</v>
      </c>
      <c r="B2911" s="2">
        <v>48567</v>
      </c>
      <c r="C2911" t="s">
        <v>728</v>
      </c>
      <c r="D2911" t="s">
        <v>729</v>
      </c>
      <c r="E2911" t="s">
        <v>26</v>
      </c>
      <c r="F2911" t="s">
        <v>34</v>
      </c>
      <c r="G2911" t="s">
        <v>51</v>
      </c>
      <c r="H2911" t="s">
        <v>21</v>
      </c>
      <c r="I2911" t="s">
        <v>72</v>
      </c>
      <c r="J2911">
        <v>4</v>
      </c>
      <c r="K2911">
        <v>1800</v>
      </c>
      <c r="L2911">
        <v>0.1</v>
      </c>
      <c r="M2911">
        <v>6480</v>
      </c>
      <c r="N2911">
        <v>4400</v>
      </c>
      <c r="O2911">
        <v>2080</v>
      </c>
    </row>
    <row r="2912" spans="1:15" x14ac:dyDescent="0.25">
      <c r="A2912" t="s">
        <v>3977</v>
      </c>
      <c r="B2912" s="2">
        <v>48568</v>
      </c>
      <c r="C2912" t="s">
        <v>152</v>
      </c>
      <c r="D2912" t="s">
        <v>153</v>
      </c>
      <c r="E2912" t="s">
        <v>26</v>
      </c>
      <c r="F2912" t="s">
        <v>128</v>
      </c>
      <c r="G2912" t="s">
        <v>51</v>
      </c>
      <c r="H2912" t="s">
        <v>21</v>
      </c>
      <c r="I2912" t="s">
        <v>72</v>
      </c>
      <c r="J2912">
        <v>3</v>
      </c>
      <c r="K2912">
        <v>1800</v>
      </c>
      <c r="L2912">
        <v>0.15</v>
      </c>
      <c r="M2912">
        <v>4590</v>
      </c>
      <c r="N2912">
        <v>3300</v>
      </c>
      <c r="O2912">
        <v>1290</v>
      </c>
    </row>
    <row r="2913" spans="1:15" x14ac:dyDescent="0.25">
      <c r="A2913" t="s">
        <v>3978</v>
      </c>
      <c r="B2913" s="2">
        <v>48569</v>
      </c>
      <c r="C2913" t="s">
        <v>582</v>
      </c>
      <c r="D2913" t="s">
        <v>583</v>
      </c>
      <c r="E2913" t="s">
        <v>96</v>
      </c>
      <c r="F2913" t="s">
        <v>200</v>
      </c>
      <c r="G2913" t="s">
        <v>28</v>
      </c>
      <c r="H2913" t="s">
        <v>29</v>
      </c>
      <c r="I2913" t="s">
        <v>30</v>
      </c>
      <c r="J2913">
        <v>5</v>
      </c>
      <c r="K2913">
        <v>1900</v>
      </c>
      <c r="L2913">
        <v>0.25</v>
      </c>
      <c r="M2913">
        <v>7125</v>
      </c>
      <c r="N2913">
        <v>6250</v>
      </c>
      <c r="O2913">
        <v>875</v>
      </c>
    </row>
    <row r="2914" spans="1:15" x14ac:dyDescent="0.25">
      <c r="A2914" t="s">
        <v>3979</v>
      </c>
      <c r="B2914" s="2">
        <v>48570</v>
      </c>
      <c r="C2914" t="s">
        <v>1660</v>
      </c>
      <c r="D2914" t="s">
        <v>1661</v>
      </c>
      <c r="E2914" t="s">
        <v>39</v>
      </c>
      <c r="F2914" t="s">
        <v>40</v>
      </c>
      <c r="G2914" t="s">
        <v>57</v>
      </c>
      <c r="H2914" t="s">
        <v>58</v>
      </c>
      <c r="I2914" t="s">
        <v>129</v>
      </c>
      <c r="J2914">
        <v>2</v>
      </c>
      <c r="K2914">
        <v>4800</v>
      </c>
      <c r="L2914">
        <v>0.15</v>
      </c>
      <c r="M2914">
        <v>8160</v>
      </c>
      <c r="N2914">
        <v>6600</v>
      </c>
      <c r="O2914">
        <v>1560</v>
      </c>
    </row>
    <row r="2915" spans="1:15" x14ac:dyDescent="0.25">
      <c r="A2915" t="s">
        <v>3980</v>
      </c>
      <c r="B2915" s="2">
        <v>48571</v>
      </c>
      <c r="C2915" t="s">
        <v>772</v>
      </c>
      <c r="D2915" t="s">
        <v>773</v>
      </c>
      <c r="E2915" t="s">
        <v>26</v>
      </c>
      <c r="F2915" t="s">
        <v>34</v>
      </c>
      <c r="G2915" t="s">
        <v>57</v>
      </c>
      <c r="H2915" t="s">
        <v>58</v>
      </c>
      <c r="I2915" t="s">
        <v>59</v>
      </c>
      <c r="J2915">
        <v>4</v>
      </c>
      <c r="K2915">
        <v>5600</v>
      </c>
      <c r="L2915">
        <v>0.1</v>
      </c>
      <c r="M2915">
        <v>20160</v>
      </c>
      <c r="N2915">
        <v>15600</v>
      </c>
      <c r="O2915">
        <v>4560</v>
      </c>
    </row>
    <row r="2916" spans="1:15" x14ac:dyDescent="0.25">
      <c r="A2916" t="s">
        <v>3981</v>
      </c>
      <c r="B2916" s="2">
        <v>48572</v>
      </c>
      <c r="C2916" t="s">
        <v>757</v>
      </c>
      <c r="D2916" t="s">
        <v>758</v>
      </c>
      <c r="E2916" t="s">
        <v>26</v>
      </c>
      <c r="F2916" t="s">
        <v>128</v>
      </c>
      <c r="G2916" t="s">
        <v>57</v>
      </c>
      <c r="H2916" t="s">
        <v>58</v>
      </c>
      <c r="I2916" t="s">
        <v>129</v>
      </c>
      <c r="J2916">
        <v>3</v>
      </c>
      <c r="K2916">
        <v>4800</v>
      </c>
      <c r="L2916">
        <v>0.15</v>
      </c>
      <c r="M2916">
        <v>12240</v>
      </c>
      <c r="N2916">
        <v>9900</v>
      </c>
      <c r="O2916">
        <v>2340</v>
      </c>
    </row>
    <row r="2917" spans="1:15" x14ac:dyDescent="0.25">
      <c r="A2917" t="s">
        <v>3982</v>
      </c>
      <c r="B2917" s="2">
        <v>48573</v>
      </c>
      <c r="C2917" t="s">
        <v>369</v>
      </c>
      <c r="D2917" t="s">
        <v>370</v>
      </c>
      <c r="E2917" t="s">
        <v>39</v>
      </c>
      <c r="F2917" t="s">
        <v>71</v>
      </c>
      <c r="G2917" t="s">
        <v>51</v>
      </c>
      <c r="H2917" t="s">
        <v>21</v>
      </c>
      <c r="I2917" t="s">
        <v>80</v>
      </c>
      <c r="J2917">
        <v>3</v>
      </c>
      <c r="K2917">
        <v>850</v>
      </c>
      <c r="L2917">
        <v>0</v>
      </c>
      <c r="M2917">
        <v>2550</v>
      </c>
      <c r="N2917">
        <v>1680</v>
      </c>
      <c r="O2917">
        <v>870</v>
      </c>
    </row>
    <row r="2918" spans="1:15" x14ac:dyDescent="0.25">
      <c r="A2918" t="s">
        <v>3983</v>
      </c>
      <c r="B2918" s="2">
        <v>48574</v>
      </c>
      <c r="C2918" t="s">
        <v>781</v>
      </c>
      <c r="D2918" t="s">
        <v>782</v>
      </c>
      <c r="E2918" t="s">
        <v>96</v>
      </c>
      <c r="F2918" t="s">
        <v>120</v>
      </c>
      <c r="G2918" t="s">
        <v>57</v>
      </c>
      <c r="H2918" t="s">
        <v>58</v>
      </c>
      <c r="I2918" t="s">
        <v>59</v>
      </c>
      <c r="J2918">
        <v>4</v>
      </c>
      <c r="K2918">
        <v>5600</v>
      </c>
      <c r="L2918">
        <v>0.15</v>
      </c>
      <c r="M2918">
        <v>19040</v>
      </c>
      <c r="N2918">
        <v>15600</v>
      </c>
      <c r="O2918">
        <v>3440</v>
      </c>
    </row>
    <row r="2919" spans="1:15" x14ac:dyDescent="0.25">
      <c r="A2919" t="s">
        <v>3984</v>
      </c>
      <c r="B2919" s="2">
        <v>48575</v>
      </c>
      <c r="C2919" t="s">
        <v>809</v>
      </c>
      <c r="D2919" t="s">
        <v>810</v>
      </c>
      <c r="E2919" t="s">
        <v>39</v>
      </c>
      <c r="F2919" t="s">
        <v>76</v>
      </c>
      <c r="G2919" t="s">
        <v>51</v>
      </c>
      <c r="H2919" t="s">
        <v>21</v>
      </c>
      <c r="I2919" t="s">
        <v>80</v>
      </c>
      <c r="J2919">
        <v>4</v>
      </c>
      <c r="K2919">
        <v>850</v>
      </c>
      <c r="L2919">
        <v>0.15</v>
      </c>
      <c r="M2919">
        <v>2890</v>
      </c>
      <c r="N2919">
        <v>2240</v>
      </c>
      <c r="O2919">
        <v>650</v>
      </c>
    </row>
    <row r="2920" spans="1:15" x14ac:dyDescent="0.25">
      <c r="A2920" t="s">
        <v>3985</v>
      </c>
      <c r="B2920" s="2">
        <v>48576</v>
      </c>
      <c r="C2920" t="s">
        <v>524</v>
      </c>
      <c r="D2920" t="s">
        <v>525</v>
      </c>
      <c r="E2920" t="s">
        <v>39</v>
      </c>
      <c r="F2920" t="s">
        <v>124</v>
      </c>
      <c r="G2920" t="s">
        <v>51</v>
      </c>
      <c r="H2920" t="s">
        <v>89</v>
      </c>
      <c r="I2920" t="s">
        <v>90</v>
      </c>
      <c r="J2920">
        <v>3</v>
      </c>
      <c r="K2920">
        <v>10500</v>
      </c>
      <c r="L2920">
        <v>0.15</v>
      </c>
      <c r="M2920">
        <v>26775</v>
      </c>
      <c r="N2920">
        <v>22800</v>
      </c>
      <c r="O2920">
        <v>3975</v>
      </c>
    </row>
    <row r="2921" spans="1:15" x14ac:dyDescent="0.25">
      <c r="A2921" t="s">
        <v>3986</v>
      </c>
      <c r="B2921" s="2">
        <v>48577</v>
      </c>
      <c r="C2921" t="s">
        <v>177</v>
      </c>
      <c r="D2921" t="s">
        <v>178</v>
      </c>
      <c r="E2921" t="s">
        <v>26</v>
      </c>
      <c r="F2921" t="s">
        <v>204</v>
      </c>
      <c r="G2921" t="s">
        <v>20</v>
      </c>
      <c r="H2921" t="s">
        <v>84</v>
      </c>
      <c r="I2921" t="s">
        <v>210</v>
      </c>
      <c r="J2921">
        <v>2</v>
      </c>
      <c r="K2921">
        <v>300</v>
      </c>
      <c r="L2921">
        <v>0.15</v>
      </c>
      <c r="M2921">
        <v>510</v>
      </c>
      <c r="N2921">
        <v>340</v>
      </c>
      <c r="O2921">
        <v>170</v>
      </c>
    </row>
    <row r="2922" spans="1:15" x14ac:dyDescent="0.25">
      <c r="A2922" t="s">
        <v>3987</v>
      </c>
      <c r="B2922" s="2">
        <v>48578</v>
      </c>
      <c r="C2922" t="s">
        <v>1636</v>
      </c>
      <c r="D2922" t="s">
        <v>1637</v>
      </c>
      <c r="E2922" t="s">
        <v>18</v>
      </c>
      <c r="F2922" t="s">
        <v>227</v>
      </c>
      <c r="G2922" t="s">
        <v>57</v>
      </c>
      <c r="H2922" t="s">
        <v>104</v>
      </c>
      <c r="I2922" t="s">
        <v>105</v>
      </c>
      <c r="J2922">
        <v>2</v>
      </c>
      <c r="K2922">
        <v>7500</v>
      </c>
      <c r="L2922">
        <v>0.15</v>
      </c>
      <c r="M2922">
        <v>12750</v>
      </c>
      <c r="N2922">
        <v>10400</v>
      </c>
      <c r="O2922">
        <v>2350</v>
      </c>
    </row>
    <row r="2923" spans="1:15" x14ac:dyDescent="0.25">
      <c r="A2923" t="s">
        <v>3988</v>
      </c>
      <c r="B2923" s="2">
        <v>48579</v>
      </c>
      <c r="C2923" t="s">
        <v>118</v>
      </c>
      <c r="D2923" t="s">
        <v>119</v>
      </c>
      <c r="E2923" t="s">
        <v>26</v>
      </c>
      <c r="F2923" t="s">
        <v>27</v>
      </c>
      <c r="G2923" t="s">
        <v>20</v>
      </c>
      <c r="H2923" t="s">
        <v>84</v>
      </c>
      <c r="I2923" t="s">
        <v>210</v>
      </c>
      <c r="J2923">
        <v>3</v>
      </c>
      <c r="K2923">
        <v>300</v>
      </c>
      <c r="L2923">
        <v>0.25</v>
      </c>
      <c r="M2923">
        <v>675</v>
      </c>
      <c r="N2923">
        <v>510</v>
      </c>
      <c r="O2923">
        <v>165</v>
      </c>
    </row>
    <row r="2924" spans="1:15" x14ac:dyDescent="0.25">
      <c r="A2924" t="s">
        <v>3989</v>
      </c>
      <c r="B2924" s="2">
        <v>48580</v>
      </c>
      <c r="C2924" t="s">
        <v>268</v>
      </c>
      <c r="D2924" t="s">
        <v>269</v>
      </c>
      <c r="E2924" t="s">
        <v>26</v>
      </c>
      <c r="F2924" t="s">
        <v>204</v>
      </c>
      <c r="G2924" t="s">
        <v>51</v>
      </c>
      <c r="H2924" t="s">
        <v>52</v>
      </c>
      <c r="I2924" t="s">
        <v>53</v>
      </c>
      <c r="J2924">
        <v>1</v>
      </c>
      <c r="K2924">
        <v>2200</v>
      </c>
      <c r="L2924">
        <v>0.2</v>
      </c>
      <c r="M2924">
        <v>1760</v>
      </c>
      <c r="N2924">
        <v>1450</v>
      </c>
      <c r="O2924">
        <v>310</v>
      </c>
    </row>
    <row r="2925" spans="1:15" x14ac:dyDescent="0.25">
      <c r="A2925" t="s">
        <v>3990</v>
      </c>
      <c r="B2925" s="2">
        <v>48581</v>
      </c>
      <c r="C2925" t="s">
        <v>340</v>
      </c>
      <c r="D2925" t="s">
        <v>341</v>
      </c>
      <c r="E2925" t="s">
        <v>39</v>
      </c>
      <c r="F2925" t="s">
        <v>71</v>
      </c>
      <c r="G2925" t="s">
        <v>57</v>
      </c>
      <c r="H2925" t="s">
        <v>58</v>
      </c>
      <c r="I2925" t="s">
        <v>129</v>
      </c>
      <c r="J2925">
        <v>5</v>
      </c>
      <c r="K2925">
        <v>4800</v>
      </c>
      <c r="L2925">
        <v>0.15</v>
      </c>
      <c r="M2925">
        <v>20400</v>
      </c>
      <c r="N2925">
        <v>16500</v>
      </c>
      <c r="O2925">
        <v>3900</v>
      </c>
    </row>
    <row r="2926" spans="1:15" x14ac:dyDescent="0.25">
      <c r="A2926" t="s">
        <v>3991</v>
      </c>
      <c r="B2926" s="2">
        <v>48582</v>
      </c>
      <c r="C2926" t="s">
        <v>232</v>
      </c>
      <c r="D2926" t="s">
        <v>233</v>
      </c>
      <c r="E2926" t="s">
        <v>18</v>
      </c>
      <c r="F2926" t="s">
        <v>227</v>
      </c>
      <c r="G2926" t="s">
        <v>57</v>
      </c>
      <c r="H2926" t="s">
        <v>188</v>
      </c>
      <c r="I2926" t="s">
        <v>189</v>
      </c>
      <c r="J2926">
        <v>4</v>
      </c>
      <c r="K2926">
        <v>6200</v>
      </c>
      <c r="L2926">
        <v>0.1</v>
      </c>
      <c r="M2926">
        <v>22320</v>
      </c>
      <c r="N2926">
        <v>17200</v>
      </c>
      <c r="O2926">
        <v>5120</v>
      </c>
    </row>
    <row r="2927" spans="1:15" x14ac:dyDescent="0.25">
      <c r="A2927" t="s">
        <v>3992</v>
      </c>
      <c r="B2927" s="2">
        <v>48583</v>
      </c>
      <c r="C2927" t="s">
        <v>1336</v>
      </c>
      <c r="D2927" t="s">
        <v>1337</v>
      </c>
      <c r="E2927" t="s">
        <v>26</v>
      </c>
      <c r="F2927" t="s">
        <v>27</v>
      </c>
      <c r="G2927" t="s">
        <v>51</v>
      </c>
      <c r="H2927" t="s">
        <v>21</v>
      </c>
      <c r="I2927" t="s">
        <v>80</v>
      </c>
      <c r="J2927">
        <v>4</v>
      </c>
      <c r="K2927">
        <v>850</v>
      </c>
      <c r="L2927">
        <v>0.15</v>
      </c>
      <c r="M2927">
        <v>2890</v>
      </c>
      <c r="N2927">
        <v>2240</v>
      </c>
      <c r="O2927">
        <v>650</v>
      </c>
    </row>
    <row r="2928" spans="1:15" x14ac:dyDescent="0.25">
      <c r="A2928" t="s">
        <v>3993</v>
      </c>
      <c r="B2928" s="2">
        <v>48584</v>
      </c>
      <c r="C2928" t="s">
        <v>544</v>
      </c>
      <c r="D2928" t="s">
        <v>545</v>
      </c>
      <c r="E2928" t="s">
        <v>96</v>
      </c>
      <c r="F2928" t="s">
        <v>196</v>
      </c>
      <c r="G2928" t="s">
        <v>20</v>
      </c>
      <c r="H2928" t="s">
        <v>84</v>
      </c>
      <c r="I2928" t="s">
        <v>169</v>
      </c>
      <c r="J2928">
        <v>2</v>
      </c>
      <c r="K2928">
        <v>450</v>
      </c>
      <c r="L2928">
        <v>0.1</v>
      </c>
      <c r="M2928">
        <v>810</v>
      </c>
      <c r="N2928">
        <v>520</v>
      </c>
      <c r="O2928">
        <v>290</v>
      </c>
    </row>
    <row r="2929" spans="1:15" x14ac:dyDescent="0.25">
      <c r="A2929" t="s">
        <v>3994</v>
      </c>
      <c r="B2929" s="2">
        <v>48585</v>
      </c>
      <c r="C2929" t="s">
        <v>703</v>
      </c>
      <c r="D2929" t="s">
        <v>704</v>
      </c>
      <c r="E2929" t="s">
        <v>26</v>
      </c>
      <c r="F2929" t="s">
        <v>128</v>
      </c>
      <c r="G2929" t="s">
        <v>51</v>
      </c>
      <c r="H2929" t="s">
        <v>21</v>
      </c>
      <c r="I2929" t="s">
        <v>116</v>
      </c>
      <c r="J2929">
        <v>5</v>
      </c>
      <c r="K2929">
        <v>1400</v>
      </c>
      <c r="L2929">
        <v>0.2</v>
      </c>
      <c r="M2929">
        <v>5600</v>
      </c>
      <c r="N2929">
        <v>4500</v>
      </c>
      <c r="O2929">
        <v>1100</v>
      </c>
    </row>
    <row r="2930" spans="1:15" x14ac:dyDescent="0.25">
      <c r="A2930" t="s">
        <v>3995</v>
      </c>
      <c r="B2930" s="2">
        <v>48586</v>
      </c>
      <c r="C2930" t="s">
        <v>161</v>
      </c>
      <c r="D2930" t="s">
        <v>162</v>
      </c>
      <c r="E2930" t="s">
        <v>26</v>
      </c>
      <c r="F2930" t="s">
        <v>34</v>
      </c>
      <c r="G2930" t="s">
        <v>28</v>
      </c>
      <c r="H2930" t="s">
        <v>63</v>
      </c>
      <c r="I2930" t="s">
        <v>64</v>
      </c>
      <c r="J2930">
        <v>1</v>
      </c>
      <c r="K2930">
        <v>2400</v>
      </c>
      <c r="L2930">
        <v>0.15</v>
      </c>
      <c r="M2930">
        <v>2040</v>
      </c>
      <c r="N2930">
        <v>1650</v>
      </c>
      <c r="O2930">
        <v>390</v>
      </c>
    </row>
    <row r="2931" spans="1:15" x14ac:dyDescent="0.25">
      <c r="A2931" t="s">
        <v>3996</v>
      </c>
      <c r="B2931" s="2">
        <v>48587</v>
      </c>
      <c r="C2931" t="s">
        <v>2008</v>
      </c>
      <c r="D2931" t="s">
        <v>2009</v>
      </c>
      <c r="E2931" t="s">
        <v>39</v>
      </c>
      <c r="F2931" t="s">
        <v>71</v>
      </c>
      <c r="G2931" t="s">
        <v>51</v>
      </c>
      <c r="H2931" t="s">
        <v>21</v>
      </c>
      <c r="I2931" t="s">
        <v>80</v>
      </c>
      <c r="J2931">
        <v>3</v>
      </c>
      <c r="K2931">
        <v>850</v>
      </c>
      <c r="L2931">
        <v>0.2</v>
      </c>
      <c r="M2931">
        <v>2040</v>
      </c>
      <c r="N2931">
        <v>1680</v>
      </c>
      <c r="O2931">
        <v>360</v>
      </c>
    </row>
    <row r="2932" spans="1:15" x14ac:dyDescent="0.25">
      <c r="A2932" t="s">
        <v>3997</v>
      </c>
      <c r="B2932" s="2">
        <v>48588</v>
      </c>
      <c r="C2932" t="s">
        <v>1413</v>
      </c>
      <c r="D2932" t="s">
        <v>1414</v>
      </c>
      <c r="E2932" t="s">
        <v>26</v>
      </c>
      <c r="F2932" t="s">
        <v>27</v>
      </c>
      <c r="G2932" t="s">
        <v>20</v>
      </c>
      <c r="H2932" t="s">
        <v>84</v>
      </c>
      <c r="I2932" t="s">
        <v>85</v>
      </c>
      <c r="J2932">
        <v>1</v>
      </c>
      <c r="K2932">
        <v>280</v>
      </c>
      <c r="L2932">
        <v>0.2</v>
      </c>
      <c r="M2932">
        <v>224</v>
      </c>
      <c r="N2932">
        <v>160</v>
      </c>
      <c r="O2932">
        <v>64</v>
      </c>
    </row>
    <row r="2933" spans="1:15" x14ac:dyDescent="0.25">
      <c r="A2933" t="s">
        <v>3998</v>
      </c>
      <c r="B2933" s="2">
        <v>48589</v>
      </c>
      <c r="C2933" t="s">
        <v>2111</v>
      </c>
      <c r="D2933" t="s">
        <v>2112</v>
      </c>
      <c r="E2933" t="s">
        <v>26</v>
      </c>
      <c r="F2933" t="s">
        <v>46</v>
      </c>
      <c r="G2933" t="s">
        <v>28</v>
      </c>
      <c r="H2933" t="s">
        <v>29</v>
      </c>
      <c r="I2933" t="s">
        <v>47</v>
      </c>
      <c r="J2933">
        <v>3</v>
      </c>
      <c r="K2933">
        <v>6800</v>
      </c>
      <c r="L2933">
        <v>0.2</v>
      </c>
      <c r="M2933">
        <v>16320</v>
      </c>
      <c r="N2933">
        <v>14100</v>
      </c>
      <c r="O2933">
        <v>2220</v>
      </c>
    </row>
    <row r="2934" spans="1:15" x14ac:dyDescent="0.25">
      <c r="A2934" t="s">
        <v>3999</v>
      </c>
      <c r="B2934" s="2">
        <v>48590</v>
      </c>
      <c r="C2934" t="s">
        <v>1679</v>
      </c>
      <c r="D2934" t="s">
        <v>1680</v>
      </c>
      <c r="E2934" t="s">
        <v>96</v>
      </c>
      <c r="F2934" t="s">
        <v>97</v>
      </c>
      <c r="G2934" t="s">
        <v>51</v>
      </c>
      <c r="H2934" t="s">
        <v>21</v>
      </c>
      <c r="I2934" t="s">
        <v>72</v>
      </c>
      <c r="J2934">
        <v>1</v>
      </c>
      <c r="K2934">
        <v>1800</v>
      </c>
      <c r="L2934">
        <v>0.15</v>
      </c>
      <c r="M2934">
        <v>1530</v>
      </c>
      <c r="N2934">
        <v>1100</v>
      </c>
      <c r="O2934">
        <v>430</v>
      </c>
    </row>
    <row r="2935" spans="1:15" x14ac:dyDescent="0.25">
      <c r="A2935" t="s">
        <v>4000</v>
      </c>
      <c r="B2935" s="2">
        <v>48591</v>
      </c>
      <c r="C2935" t="s">
        <v>876</v>
      </c>
      <c r="D2935" t="s">
        <v>877</v>
      </c>
      <c r="E2935" t="s">
        <v>96</v>
      </c>
      <c r="F2935" t="s">
        <v>120</v>
      </c>
      <c r="G2935" t="s">
        <v>51</v>
      </c>
      <c r="H2935" t="s">
        <v>21</v>
      </c>
      <c r="I2935" t="s">
        <v>72</v>
      </c>
      <c r="J2935">
        <v>3</v>
      </c>
      <c r="K2935">
        <v>1800</v>
      </c>
      <c r="L2935">
        <v>0</v>
      </c>
      <c r="M2935">
        <v>5400</v>
      </c>
      <c r="N2935">
        <v>3300</v>
      </c>
      <c r="O2935">
        <v>2100</v>
      </c>
    </row>
    <row r="2936" spans="1:15" x14ac:dyDescent="0.25">
      <c r="A2936" t="s">
        <v>4001</v>
      </c>
      <c r="B2936" s="2">
        <v>48592</v>
      </c>
      <c r="C2936" t="s">
        <v>757</v>
      </c>
      <c r="D2936" t="s">
        <v>758</v>
      </c>
      <c r="E2936" t="s">
        <v>26</v>
      </c>
      <c r="F2936" t="s">
        <v>128</v>
      </c>
      <c r="G2936" t="s">
        <v>51</v>
      </c>
      <c r="H2936" t="s">
        <v>21</v>
      </c>
      <c r="I2936" t="s">
        <v>72</v>
      </c>
      <c r="J2936">
        <v>2</v>
      </c>
      <c r="K2936">
        <v>1800</v>
      </c>
      <c r="L2936">
        <v>0.05</v>
      </c>
      <c r="M2936">
        <v>3420</v>
      </c>
      <c r="N2936">
        <v>2200</v>
      </c>
      <c r="O2936">
        <v>1220</v>
      </c>
    </row>
    <row r="2937" spans="1:15" x14ac:dyDescent="0.25">
      <c r="A2937" t="s">
        <v>4002</v>
      </c>
      <c r="B2937" s="2">
        <v>48593</v>
      </c>
      <c r="C2937" t="s">
        <v>2207</v>
      </c>
      <c r="D2937" t="s">
        <v>2208</v>
      </c>
      <c r="E2937" t="s">
        <v>26</v>
      </c>
      <c r="F2937" t="s">
        <v>46</v>
      </c>
      <c r="G2937" t="s">
        <v>57</v>
      </c>
      <c r="H2937" t="s">
        <v>58</v>
      </c>
      <c r="I2937" t="s">
        <v>59</v>
      </c>
      <c r="J2937">
        <v>2</v>
      </c>
      <c r="K2937">
        <v>5600</v>
      </c>
      <c r="L2937">
        <v>0.15</v>
      </c>
      <c r="M2937">
        <v>9520</v>
      </c>
      <c r="N2937">
        <v>7800</v>
      </c>
      <c r="O2937">
        <v>1720</v>
      </c>
    </row>
    <row r="2938" spans="1:15" x14ac:dyDescent="0.25">
      <c r="A2938" t="s">
        <v>4003</v>
      </c>
      <c r="B2938" s="2">
        <v>48594</v>
      </c>
      <c r="C2938" t="s">
        <v>733</v>
      </c>
      <c r="D2938" t="s">
        <v>734</v>
      </c>
      <c r="E2938" t="s">
        <v>96</v>
      </c>
      <c r="F2938" t="s">
        <v>196</v>
      </c>
      <c r="G2938" t="s">
        <v>20</v>
      </c>
      <c r="H2938" t="s">
        <v>84</v>
      </c>
      <c r="I2938" t="s">
        <v>85</v>
      </c>
      <c r="J2938">
        <v>5</v>
      </c>
      <c r="K2938">
        <v>280</v>
      </c>
      <c r="L2938">
        <v>0.15</v>
      </c>
      <c r="M2938">
        <v>1190</v>
      </c>
      <c r="N2938">
        <v>800</v>
      </c>
      <c r="O2938">
        <v>390</v>
      </c>
    </row>
    <row r="2939" spans="1:15" x14ac:dyDescent="0.25">
      <c r="A2939" t="s">
        <v>4004</v>
      </c>
      <c r="B2939" s="2">
        <v>48595</v>
      </c>
      <c r="C2939" t="s">
        <v>417</v>
      </c>
      <c r="D2939" t="s">
        <v>418</v>
      </c>
      <c r="E2939" t="s">
        <v>26</v>
      </c>
      <c r="F2939" t="s">
        <v>46</v>
      </c>
      <c r="G2939" t="s">
        <v>20</v>
      </c>
      <c r="H2939" t="s">
        <v>84</v>
      </c>
      <c r="I2939" t="s">
        <v>85</v>
      </c>
      <c r="J2939">
        <v>3</v>
      </c>
      <c r="K2939">
        <v>280</v>
      </c>
      <c r="L2939">
        <v>0.15</v>
      </c>
      <c r="M2939">
        <v>714</v>
      </c>
      <c r="N2939">
        <v>480</v>
      </c>
      <c r="O2939">
        <v>234</v>
      </c>
    </row>
    <row r="2940" spans="1:15" x14ac:dyDescent="0.25">
      <c r="A2940" t="s">
        <v>4005</v>
      </c>
      <c r="B2940" s="2">
        <v>48596</v>
      </c>
      <c r="C2940" t="s">
        <v>2247</v>
      </c>
      <c r="D2940" t="s">
        <v>2248</v>
      </c>
      <c r="E2940" t="s">
        <v>96</v>
      </c>
      <c r="F2940" t="s">
        <v>200</v>
      </c>
      <c r="G2940" t="s">
        <v>51</v>
      </c>
      <c r="H2940" t="s">
        <v>52</v>
      </c>
      <c r="I2940" t="s">
        <v>208</v>
      </c>
      <c r="J2940">
        <v>1</v>
      </c>
      <c r="K2940">
        <v>2800</v>
      </c>
      <c r="L2940">
        <v>0.05</v>
      </c>
      <c r="M2940">
        <v>2660</v>
      </c>
      <c r="N2940">
        <v>1800</v>
      </c>
      <c r="O2940">
        <v>860</v>
      </c>
    </row>
    <row r="2941" spans="1:15" x14ac:dyDescent="0.25">
      <c r="A2941" t="s">
        <v>4006</v>
      </c>
      <c r="B2941" s="2">
        <v>48597</v>
      </c>
      <c r="C2941" t="s">
        <v>327</v>
      </c>
      <c r="D2941" t="s">
        <v>328</v>
      </c>
      <c r="E2941" t="s">
        <v>26</v>
      </c>
      <c r="F2941" t="s">
        <v>34</v>
      </c>
      <c r="G2941" t="s">
        <v>51</v>
      </c>
      <c r="H2941" t="s">
        <v>21</v>
      </c>
      <c r="I2941" t="s">
        <v>116</v>
      </c>
      <c r="J2941">
        <v>4</v>
      </c>
      <c r="K2941">
        <v>1400</v>
      </c>
      <c r="L2941">
        <v>0</v>
      </c>
      <c r="M2941">
        <v>5600</v>
      </c>
      <c r="N2941">
        <v>3600</v>
      </c>
      <c r="O2941">
        <v>2000</v>
      </c>
    </row>
    <row r="2942" spans="1:15" x14ac:dyDescent="0.25">
      <c r="A2942" t="s">
        <v>4007</v>
      </c>
      <c r="B2942" s="2">
        <v>48598</v>
      </c>
      <c r="C2942" t="s">
        <v>281</v>
      </c>
      <c r="D2942" t="s">
        <v>282</v>
      </c>
      <c r="E2942" t="s">
        <v>26</v>
      </c>
      <c r="F2942" t="s">
        <v>204</v>
      </c>
      <c r="G2942" t="s">
        <v>28</v>
      </c>
      <c r="H2942" t="s">
        <v>29</v>
      </c>
      <c r="I2942" t="s">
        <v>30</v>
      </c>
      <c r="J2942">
        <v>4</v>
      </c>
      <c r="K2942">
        <v>1900</v>
      </c>
      <c r="L2942">
        <v>0.25</v>
      </c>
      <c r="M2942">
        <v>5700</v>
      </c>
      <c r="N2942">
        <v>5000</v>
      </c>
      <c r="O2942">
        <v>700</v>
      </c>
    </row>
    <row r="2943" spans="1:15" x14ac:dyDescent="0.25">
      <c r="A2943" t="s">
        <v>4008</v>
      </c>
      <c r="B2943" s="2">
        <v>48599</v>
      </c>
      <c r="C2943" t="s">
        <v>2618</v>
      </c>
      <c r="D2943" t="s">
        <v>2619</v>
      </c>
      <c r="E2943" t="s">
        <v>26</v>
      </c>
      <c r="F2943" t="s">
        <v>204</v>
      </c>
      <c r="G2943" t="s">
        <v>28</v>
      </c>
      <c r="H2943" t="s">
        <v>29</v>
      </c>
      <c r="I2943" t="s">
        <v>47</v>
      </c>
      <c r="J2943">
        <v>4</v>
      </c>
      <c r="K2943">
        <v>6800</v>
      </c>
      <c r="L2943">
        <v>0.15</v>
      </c>
      <c r="M2943">
        <v>23120</v>
      </c>
      <c r="N2943">
        <v>18800</v>
      </c>
      <c r="O2943">
        <v>4320</v>
      </c>
    </row>
    <row r="2944" spans="1:15" x14ac:dyDescent="0.25">
      <c r="A2944" t="s">
        <v>4009</v>
      </c>
      <c r="B2944" s="2">
        <v>48600</v>
      </c>
      <c r="C2944" t="s">
        <v>3218</v>
      </c>
      <c r="D2944" t="s">
        <v>3219</v>
      </c>
      <c r="E2944" t="s">
        <v>39</v>
      </c>
      <c r="F2944" t="s">
        <v>76</v>
      </c>
      <c r="G2944" t="s">
        <v>57</v>
      </c>
      <c r="H2944" t="s">
        <v>58</v>
      </c>
      <c r="I2944" t="s">
        <v>59</v>
      </c>
      <c r="J2944">
        <v>1</v>
      </c>
      <c r="K2944">
        <v>5600</v>
      </c>
      <c r="L2944">
        <v>0.05</v>
      </c>
      <c r="M2944">
        <v>5320</v>
      </c>
      <c r="N2944">
        <v>3900</v>
      </c>
      <c r="O2944">
        <v>1420</v>
      </c>
    </row>
    <row r="2945" spans="1:15" x14ac:dyDescent="0.25">
      <c r="A2945" t="s">
        <v>4010</v>
      </c>
      <c r="B2945" s="2">
        <v>48601</v>
      </c>
      <c r="C2945" t="s">
        <v>1964</v>
      </c>
      <c r="D2945" t="s">
        <v>1965</v>
      </c>
      <c r="E2945" t="s">
        <v>96</v>
      </c>
      <c r="F2945" t="s">
        <v>120</v>
      </c>
      <c r="G2945" t="s">
        <v>57</v>
      </c>
      <c r="H2945" t="s">
        <v>58</v>
      </c>
      <c r="I2945" t="s">
        <v>129</v>
      </c>
      <c r="J2945">
        <v>4</v>
      </c>
      <c r="K2945">
        <v>4800</v>
      </c>
      <c r="L2945">
        <v>0.1</v>
      </c>
      <c r="M2945">
        <v>17280</v>
      </c>
      <c r="N2945">
        <v>13200</v>
      </c>
      <c r="O2945">
        <v>4080</v>
      </c>
    </row>
    <row r="2946" spans="1:15" x14ac:dyDescent="0.25">
      <c r="A2946" t="s">
        <v>4011</v>
      </c>
      <c r="B2946" s="2">
        <v>48602</v>
      </c>
      <c r="C2946" t="s">
        <v>343</v>
      </c>
      <c r="D2946" t="s">
        <v>344</v>
      </c>
      <c r="E2946" t="s">
        <v>96</v>
      </c>
      <c r="F2946" t="s">
        <v>97</v>
      </c>
      <c r="G2946" t="s">
        <v>51</v>
      </c>
      <c r="H2946" t="s">
        <v>52</v>
      </c>
      <c r="I2946" t="s">
        <v>208</v>
      </c>
      <c r="J2946">
        <v>4</v>
      </c>
      <c r="K2946">
        <v>2800</v>
      </c>
      <c r="L2946">
        <v>0.25</v>
      </c>
      <c r="M2946">
        <v>8400</v>
      </c>
      <c r="N2946">
        <v>7200</v>
      </c>
      <c r="O2946">
        <v>1200</v>
      </c>
    </row>
    <row r="2947" spans="1:15" x14ac:dyDescent="0.25">
      <c r="A2947" t="s">
        <v>4012</v>
      </c>
      <c r="B2947" s="2">
        <v>48603</v>
      </c>
      <c r="C2947" t="s">
        <v>1679</v>
      </c>
      <c r="D2947" t="s">
        <v>1680</v>
      </c>
      <c r="E2947" t="s">
        <v>39</v>
      </c>
      <c r="F2947" t="s">
        <v>76</v>
      </c>
      <c r="G2947" t="s">
        <v>20</v>
      </c>
      <c r="H2947" t="s">
        <v>41</v>
      </c>
      <c r="I2947" t="s">
        <v>42</v>
      </c>
      <c r="J2947">
        <v>3</v>
      </c>
      <c r="K2947">
        <v>520</v>
      </c>
      <c r="L2947">
        <v>0.1</v>
      </c>
      <c r="M2947">
        <v>1404</v>
      </c>
      <c r="N2947">
        <v>990</v>
      </c>
      <c r="O2947">
        <v>414</v>
      </c>
    </row>
    <row r="2948" spans="1:15" x14ac:dyDescent="0.25">
      <c r="A2948" t="s">
        <v>4013</v>
      </c>
      <c r="B2948" s="2">
        <v>48604</v>
      </c>
      <c r="C2948" t="s">
        <v>630</v>
      </c>
      <c r="D2948" t="s">
        <v>631</v>
      </c>
      <c r="E2948" t="s">
        <v>39</v>
      </c>
      <c r="F2948" t="s">
        <v>124</v>
      </c>
      <c r="G2948" t="s">
        <v>20</v>
      </c>
      <c r="H2948" t="s">
        <v>84</v>
      </c>
      <c r="I2948" t="s">
        <v>169</v>
      </c>
      <c r="J2948">
        <v>2</v>
      </c>
      <c r="K2948">
        <v>450</v>
      </c>
      <c r="L2948">
        <v>0.2</v>
      </c>
      <c r="M2948">
        <v>720</v>
      </c>
      <c r="N2948">
        <v>520</v>
      </c>
      <c r="O2948">
        <v>200</v>
      </c>
    </row>
    <row r="2949" spans="1:15" x14ac:dyDescent="0.25">
      <c r="A2949" t="s">
        <v>4014</v>
      </c>
      <c r="B2949" s="2">
        <v>48605</v>
      </c>
      <c r="C2949" t="s">
        <v>824</v>
      </c>
      <c r="D2949" t="s">
        <v>825</v>
      </c>
      <c r="E2949" t="s">
        <v>96</v>
      </c>
      <c r="F2949" t="s">
        <v>200</v>
      </c>
      <c r="G2949" t="s">
        <v>57</v>
      </c>
      <c r="H2949" t="s">
        <v>104</v>
      </c>
      <c r="I2949" t="s">
        <v>105</v>
      </c>
      <c r="J2949">
        <v>5</v>
      </c>
      <c r="K2949">
        <v>7500</v>
      </c>
      <c r="L2949">
        <v>0.1</v>
      </c>
      <c r="M2949">
        <v>33750</v>
      </c>
      <c r="N2949">
        <v>26000</v>
      </c>
      <c r="O2949">
        <v>7750</v>
      </c>
    </row>
    <row r="2950" spans="1:15" x14ac:dyDescent="0.25">
      <c r="A2950" t="s">
        <v>4015</v>
      </c>
      <c r="B2950" s="2">
        <v>48606</v>
      </c>
      <c r="C2950" t="s">
        <v>945</v>
      </c>
      <c r="D2950" t="s">
        <v>946</v>
      </c>
      <c r="E2950" t="s">
        <v>39</v>
      </c>
      <c r="F2950" t="s">
        <v>124</v>
      </c>
      <c r="G2950" t="s">
        <v>51</v>
      </c>
      <c r="H2950" t="s">
        <v>52</v>
      </c>
      <c r="I2950" t="s">
        <v>208</v>
      </c>
      <c r="J2950">
        <v>1</v>
      </c>
      <c r="K2950">
        <v>2800</v>
      </c>
      <c r="L2950">
        <v>0.1</v>
      </c>
      <c r="M2950">
        <v>2520</v>
      </c>
      <c r="N2950">
        <v>1800</v>
      </c>
      <c r="O2950">
        <v>720</v>
      </c>
    </row>
    <row r="2951" spans="1:15" x14ac:dyDescent="0.25">
      <c r="A2951" t="s">
        <v>4016</v>
      </c>
      <c r="B2951" s="2">
        <v>48607</v>
      </c>
      <c r="C2951" t="s">
        <v>753</v>
      </c>
      <c r="D2951" t="s">
        <v>754</v>
      </c>
      <c r="E2951" t="s">
        <v>39</v>
      </c>
      <c r="F2951" t="s">
        <v>76</v>
      </c>
      <c r="G2951" t="s">
        <v>51</v>
      </c>
      <c r="H2951" t="s">
        <v>89</v>
      </c>
      <c r="I2951" t="s">
        <v>90</v>
      </c>
      <c r="J2951">
        <v>2</v>
      </c>
      <c r="K2951">
        <v>10500</v>
      </c>
      <c r="L2951">
        <v>0.2</v>
      </c>
      <c r="M2951">
        <v>16800</v>
      </c>
      <c r="N2951">
        <v>15200</v>
      </c>
      <c r="O2951">
        <v>1600</v>
      </c>
    </row>
    <row r="2952" spans="1:15" x14ac:dyDescent="0.25">
      <c r="A2952" t="s">
        <v>4017</v>
      </c>
      <c r="B2952" s="2">
        <v>48608</v>
      </c>
      <c r="C2952" t="s">
        <v>387</v>
      </c>
      <c r="D2952" t="s">
        <v>388</v>
      </c>
      <c r="E2952" t="s">
        <v>26</v>
      </c>
      <c r="F2952" t="s">
        <v>128</v>
      </c>
      <c r="G2952" t="s">
        <v>57</v>
      </c>
      <c r="H2952" t="s">
        <v>188</v>
      </c>
      <c r="I2952" t="s">
        <v>189</v>
      </c>
      <c r="J2952">
        <v>2</v>
      </c>
      <c r="K2952">
        <v>6200</v>
      </c>
      <c r="L2952">
        <v>0.2</v>
      </c>
      <c r="M2952">
        <v>9920</v>
      </c>
      <c r="N2952">
        <v>8600</v>
      </c>
      <c r="O2952">
        <v>1320</v>
      </c>
    </row>
    <row r="2953" spans="1:15" x14ac:dyDescent="0.25">
      <c r="A2953" t="s">
        <v>4018</v>
      </c>
      <c r="B2953" s="2">
        <v>48609</v>
      </c>
      <c r="C2953" t="s">
        <v>948</v>
      </c>
      <c r="D2953" t="s">
        <v>949</v>
      </c>
      <c r="E2953" t="s">
        <v>96</v>
      </c>
      <c r="F2953" t="s">
        <v>200</v>
      </c>
      <c r="G2953" t="s">
        <v>28</v>
      </c>
      <c r="H2953" t="s">
        <v>29</v>
      </c>
      <c r="I2953" t="s">
        <v>47</v>
      </c>
      <c r="J2953">
        <v>5</v>
      </c>
      <c r="K2953">
        <v>6800</v>
      </c>
      <c r="L2953">
        <v>0.1</v>
      </c>
      <c r="M2953">
        <v>30600</v>
      </c>
      <c r="N2953">
        <v>23500</v>
      </c>
      <c r="O2953">
        <v>7100</v>
      </c>
    </row>
    <row r="2954" spans="1:15" x14ac:dyDescent="0.25">
      <c r="A2954" t="s">
        <v>4019</v>
      </c>
      <c r="B2954" s="2">
        <v>48610</v>
      </c>
      <c r="C2954" t="s">
        <v>2470</v>
      </c>
      <c r="D2954" t="s">
        <v>2471</v>
      </c>
      <c r="E2954" t="s">
        <v>96</v>
      </c>
      <c r="F2954" t="s">
        <v>97</v>
      </c>
      <c r="G2954" t="s">
        <v>57</v>
      </c>
      <c r="H2954" t="s">
        <v>58</v>
      </c>
      <c r="I2954" t="s">
        <v>129</v>
      </c>
      <c r="J2954">
        <v>3</v>
      </c>
      <c r="K2954">
        <v>4800</v>
      </c>
      <c r="L2954">
        <v>0.05</v>
      </c>
      <c r="M2954">
        <v>13680</v>
      </c>
      <c r="N2954">
        <v>9900</v>
      </c>
      <c r="O2954">
        <v>3780</v>
      </c>
    </row>
    <row r="2955" spans="1:15" x14ac:dyDescent="0.25">
      <c r="A2955" t="s">
        <v>4020</v>
      </c>
      <c r="B2955" s="2">
        <v>48611</v>
      </c>
      <c r="C2955" t="s">
        <v>2833</v>
      </c>
      <c r="D2955" t="s">
        <v>2834</v>
      </c>
      <c r="E2955" t="s">
        <v>39</v>
      </c>
      <c r="F2955" t="s">
        <v>40</v>
      </c>
      <c r="G2955" t="s">
        <v>20</v>
      </c>
      <c r="H2955" t="s">
        <v>21</v>
      </c>
      <c r="I2955" t="s">
        <v>22</v>
      </c>
      <c r="J2955">
        <v>3</v>
      </c>
      <c r="K2955">
        <v>650</v>
      </c>
      <c r="L2955">
        <v>0.15</v>
      </c>
      <c r="M2955">
        <v>1657.5</v>
      </c>
      <c r="N2955">
        <v>1170</v>
      </c>
      <c r="O2955">
        <v>487.5</v>
      </c>
    </row>
    <row r="2956" spans="1:15" x14ac:dyDescent="0.25">
      <c r="A2956" t="s">
        <v>4021</v>
      </c>
      <c r="B2956" s="2">
        <v>48612</v>
      </c>
      <c r="C2956" t="s">
        <v>363</v>
      </c>
      <c r="D2956" t="s">
        <v>364</v>
      </c>
      <c r="E2956" t="s">
        <v>96</v>
      </c>
      <c r="F2956" t="s">
        <v>200</v>
      </c>
      <c r="G2956" t="s">
        <v>28</v>
      </c>
      <c r="H2956" t="s">
        <v>63</v>
      </c>
      <c r="I2956" t="s">
        <v>64</v>
      </c>
      <c r="J2956">
        <v>3</v>
      </c>
      <c r="K2956">
        <v>2400</v>
      </c>
      <c r="L2956">
        <v>0.15</v>
      </c>
      <c r="M2956">
        <v>6120</v>
      </c>
      <c r="N2956">
        <v>4950</v>
      </c>
      <c r="O2956">
        <v>1170</v>
      </c>
    </row>
    <row r="2957" spans="1:15" x14ac:dyDescent="0.25">
      <c r="A2957" t="s">
        <v>4022</v>
      </c>
      <c r="B2957" s="2">
        <v>48613</v>
      </c>
      <c r="C2957" t="s">
        <v>3602</v>
      </c>
      <c r="D2957" t="s">
        <v>3603</v>
      </c>
      <c r="E2957" t="s">
        <v>18</v>
      </c>
      <c r="F2957" t="s">
        <v>19</v>
      </c>
      <c r="G2957" t="s">
        <v>28</v>
      </c>
      <c r="H2957" t="s">
        <v>29</v>
      </c>
      <c r="I2957" t="s">
        <v>30</v>
      </c>
      <c r="J2957">
        <v>4</v>
      </c>
      <c r="K2957">
        <v>1900</v>
      </c>
      <c r="L2957">
        <v>0.05</v>
      </c>
      <c r="M2957">
        <v>7220</v>
      </c>
      <c r="N2957">
        <v>5000</v>
      </c>
      <c r="O2957">
        <v>2220</v>
      </c>
    </row>
    <row r="2958" spans="1:15" x14ac:dyDescent="0.25">
      <c r="A2958" t="s">
        <v>4023</v>
      </c>
      <c r="B2958" s="2">
        <v>48614</v>
      </c>
      <c r="C2958" t="s">
        <v>87</v>
      </c>
      <c r="D2958" t="s">
        <v>88</v>
      </c>
      <c r="E2958" t="s">
        <v>39</v>
      </c>
      <c r="F2958" t="s">
        <v>40</v>
      </c>
      <c r="G2958" t="s">
        <v>57</v>
      </c>
      <c r="H2958" t="s">
        <v>104</v>
      </c>
      <c r="I2958" t="s">
        <v>105</v>
      </c>
      <c r="J2958">
        <v>1</v>
      </c>
      <c r="K2958">
        <v>7500</v>
      </c>
      <c r="L2958">
        <v>0</v>
      </c>
      <c r="M2958">
        <v>7500</v>
      </c>
      <c r="N2958">
        <v>5200</v>
      </c>
      <c r="O2958">
        <v>2300</v>
      </c>
    </row>
    <row r="2959" spans="1:15" x14ac:dyDescent="0.25">
      <c r="A2959" t="s">
        <v>4024</v>
      </c>
      <c r="B2959" s="2">
        <v>48615</v>
      </c>
      <c r="C2959" t="s">
        <v>643</v>
      </c>
      <c r="D2959" t="s">
        <v>644</v>
      </c>
      <c r="E2959" t="s">
        <v>26</v>
      </c>
      <c r="F2959" t="s">
        <v>204</v>
      </c>
      <c r="G2959" t="s">
        <v>51</v>
      </c>
      <c r="H2959" t="s">
        <v>89</v>
      </c>
      <c r="I2959" t="s">
        <v>90</v>
      </c>
      <c r="J2959">
        <v>2</v>
      </c>
      <c r="K2959">
        <v>10500</v>
      </c>
      <c r="L2959">
        <v>0</v>
      </c>
      <c r="M2959">
        <v>21000</v>
      </c>
      <c r="N2959">
        <v>15200</v>
      </c>
      <c r="O2959">
        <v>5800</v>
      </c>
    </row>
    <row r="2960" spans="1:15" x14ac:dyDescent="0.25">
      <c r="A2960" t="s">
        <v>4025</v>
      </c>
      <c r="B2960" s="2">
        <v>48616</v>
      </c>
      <c r="C2960" t="s">
        <v>1581</v>
      </c>
      <c r="D2960" t="s">
        <v>1582</v>
      </c>
      <c r="E2960" t="s">
        <v>39</v>
      </c>
      <c r="F2960" t="s">
        <v>71</v>
      </c>
      <c r="G2960" t="s">
        <v>57</v>
      </c>
      <c r="H2960" t="s">
        <v>58</v>
      </c>
      <c r="I2960" t="s">
        <v>59</v>
      </c>
      <c r="J2960">
        <v>4</v>
      </c>
      <c r="K2960">
        <v>5600</v>
      </c>
      <c r="L2960">
        <v>0.15</v>
      </c>
      <c r="M2960">
        <v>19040</v>
      </c>
      <c r="N2960">
        <v>15600</v>
      </c>
      <c r="O2960">
        <v>3440</v>
      </c>
    </row>
    <row r="2961" spans="1:15" x14ac:dyDescent="0.25">
      <c r="A2961" t="s">
        <v>4026</v>
      </c>
      <c r="B2961" s="2">
        <v>48617</v>
      </c>
      <c r="C2961" t="s">
        <v>1000</v>
      </c>
      <c r="D2961" t="s">
        <v>1001</v>
      </c>
      <c r="E2961" t="s">
        <v>26</v>
      </c>
      <c r="F2961" t="s">
        <v>46</v>
      </c>
      <c r="G2961" t="s">
        <v>20</v>
      </c>
      <c r="H2961" t="s">
        <v>84</v>
      </c>
      <c r="I2961" t="s">
        <v>210</v>
      </c>
      <c r="J2961">
        <v>2</v>
      </c>
      <c r="K2961">
        <v>300</v>
      </c>
      <c r="L2961">
        <v>0</v>
      </c>
      <c r="M2961">
        <v>600</v>
      </c>
      <c r="N2961">
        <v>340</v>
      </c>
      <c r="O2961">
        <v>260</v>
      </c>
    </row>
    <row r="2962" spans="1:15" x14ac:dyDescent="0.25">
      <c r="A2962" t="s">
        <v>4027</v>
      </c>
      <c r="B2962" s="2">
        <v>48618</v>
      </c>
      <c r="C2962" t="s">
        <v>535</v>
      </c>
      <c r="D2962" t="s">
        <v>536</v>
      </c>
      <c r="E2962" t="s">
        <v>39</v>
      </c>
      <c r="F2962" t="s">
        <v>124</v>
      </c>
      <c r="G2962" t="s">
        <v>20</v>
      </c>
      <c r="H2962" t="s">
        <v>84</v>
      </c>
      <c r="I2962" t="s">
        <v>210</v>
      </c>
      <c r="J2962">
        <v>4</v>
      </c>
      <c r="K2962">
        <v>300</v>
      </c>
      <c r="L2962">
        <v>0.2</v>
      </c>
      <c r="M2962">
        <v>960</v>
      </c>
      <c r="N2962">
        <v>680</v>
      </c>
      <c r="O2962">
        <v>280</v>
      </c>
    </row>
    <row r="2963" spans="1:15" x14ac:dyDescent="0.25">
      <c r="A2963" t="s">
        <v>4028</v>
      </c>
      <c r="B2963" s="2">
        <v>48619</v>
      </c>
      <c r="C2963" t="s">
        <v>1006</v>
      </c>
      <c r="D2963" t="s">
        <v>1007</v>
      </c>
      <c r="E2963" t="s">
        <v>18</v>
      </c>
      <c r="F2963" t="s">
        <v>94</v>
      </c>
      <c r="G2963" t="s">
        <v>28</v>
      </c>
      <c r="H2963" t="s">
        <v>29</v>
      </c>
      <c r="I2963" t="s">
        <v>30</v>
      </c>
      <c r="J2963">
        <v>1</v>
      </c>
      <c r="K2963">
        <v>1900</v>
      </c>
      <c r="L2963">
        <v>0.1</v>
      </c>
      <c r="M2963">
        <v>1710</v>
      </c>
      <c r="N2963">
        <v>1250</v>
      </c>
      <c r="O2963">
        <v>460</v>
      </c>
    </row>
    <row r="2964" spans="1:15" x14ac:dyDescent="0.25">
      <c r="A2964" t="s">
        <v>4029</v>
      </c>
      <c r="B2964" s="2">
        <v>48620</v>
      </c>
      <c r="C2964" t="s">
        <v>2268</v>
      </c>
      <c r="D2964" t="s">
        <v>2269</v>
      </c>
      <c r="E2964" t="s">
        <v>26</v>
      </c>
      <c r="F2964" t="s">
        <v>128</v>
      </c>
      <c r="G2964" t="s">
        <v>51</v>
      </c>
      <c r="H2964" t="s">
        <v>89</v>
      </c>
      <c r="I2964" t="s">
        <v>90</v>
      </c>
      <c r="J2964">
        <v>4</v>
      </c>
      <c r="K2964">
        <v>10500</v>
      </c>
      <c r="L2964">
        <v>0.1</v>
      </c>
      <c r="M2964">
        <v>37800</v>
      </c>
      <c r="N2964">
        <v>30400</v>
      </c>
      <c r="O2964">
        <v>7400</v>
      </c>
    </row>
    <row r="2965" spans="1:15" x14ac:dyDescent="0.25">
      <c r="A2965" t="s">
        <v>4030</v>
      </c>
      <c r="B2965" s="2">
        <v>48621</v>
      </c>
      <c r="C2965" t="s">
        <v>603</v>
      </c>
      <c r="D2965" t="s">
        <v>604</v>
      </c>
      <c r="E2965" t="s">
        <v>39</v>
      </c>
      <c r="F2965" t="s">
        <v>40</v>
      </c>
      <c r="G2965" t="s">
        <v>51</v>
      </c>
      <c r="H2965" t="s">
        <v>52</v>
      </c>
      <c r="I2965" t="s">
        <v>208</v>
      </c>
      <c r="J2965">
        <v>3</v>
      </c>
      <c r="K2965">
        <v>2800</v>
      </c>
      <c r="L2965">
        <v>0.05</v>
      </c>
      <c r="M2965">
        <v>7980</v>
      </c>
      <c r="N2965">
        <v>5400</v>
      </c>
      <c r="O2965">
        <v>2580</v>
      </c>
    </row>
    <row r="2966" spans="1:15" x14ac:dyDescent="0.25">
      <c r="A2966" t="s">
        <v>4031</v>
      </c>
      <c r="B2966" s="2">
        <v>48622</v>
      </c>
      <c r="C2966" t="s">
        <v>781</v>
      </c>
      <c r="D2966" t="s">
        <v>782</v>
      </c>
      <c r="E2966" t="s">
        <v>96</v>
      </c>
      <c r="F2966" t="s">
        <v>97</v>
      </c>
      <c r="G2966" t="s">
        <v>28</v>
      </c>
      <c r="H2966" t="s">
        <v>29</v>
      </c>
      <c r="I2966" t="s">
        <v>47</v>
      </c>
      <c r="J2966">
        <v>5</v>
      </c>
      <c r="K2966">
        <v>6800</v>
      </c>
      <c r="L2966">
        <v>0.2</v>
      </c>
      <c r="M2966">
        <v>27200</v>
      </c>
      <c r="N2966">
        <v>23500</v>
      </c>
      <c r="O2966">
        <v>3700</v>
      </c>
    </row>
    <row r="2967" spans="1:15" x14ac:dyDescent="0.25">
      <c r="A2967" t="s">
        <v>4032</v>
      </c>
      <c r="B2967" s="2">
        <v>48623</v>
      </c>
      <c r="C2967" t="s">
        <v>630</v>
      </c>
      <c r="D2967" t="s">
        <v>631</v>
      </c>
      <c r="E2967" t="s">
        <v>26</v>
      </c>
      <c r="F2967" t="s">
        <v>27</v>
      </c>
      <c r="G2967" t="s">
        <v>51</v>
      </c>
      <c r="H2967" t="s">
        <v>21</v>
      </c>
      <c r="I2967" t="s">
        <v>80</v>
      </c>
      <c r="J2967">
        <v>2</v>
      </c>
      <c r="K2967">
        <v>850</v>
      </c>
      <c r="L2967">
        <v>0.15</v>
      </c>
      <c r="M2967">
        <v>1445</v>
      </c>
      <c r="N2967">
        <v>1120</v>
      </c>
      <c r="O2967">
        <v>325</v>
      </c>
    </row>
    <row r="2968" spans="1:15" x14ac:dyDescent="0.25">
      <c r="A2968" t="s">
        <v>4033</v>
      </c>
      <c r="B2968" s="2">
        <v>48624</v>
      </c>
      <c r="C2968" t="s">
        <v>728</v>
      </c>
      <c r="D2968" t="s">
        <v>729</v>
      </c>
      <c r="E2968" t="s">
        <v>39</v>
      </c>
      <c r="F2968" t="s">
        <v>71</v>
      </c>
      <c r="G2968" t="s">
        <v>51</v>
      </c>
      <c r="H2968" t="s">
        <v>89</v>
      </c>
      <c r="I2968" t="s">
        <v>90</v>
      </c>
      <c r="J2968">
        <v>4</v>
      </c>
      <c r="K2968">
        <v>10500</v>
      </c>
      <c r="L2968">
        <v>0.1</v>
      </c>
      <c r="M2968">
        <v>37800</v>
      </c>
      <c r="N2968">
        <v>30400</v>
      </c>
      <c r="O2968">
        <v>7400</v>
      </c>
    </row>
    <row r="2969" spans="1:15" x14ac:dyDescent="0.25">
      <c r="A2969" t="s">
        <v>4034</v>
      </c>
      <c r="B2969" s="2">
        <v>48625</v>
      </c>
      <c r="C2969" t="s">
        <v>1598</v>
      </c>
      <c r="D2969" t="s">
        <v>1599</v>
      </c>
      <c r="E2969" t="s">
        <v>26</v>
      </c>
      <c r="F2969" t="s">
        <v>46</v>
      </c>
      <c r="G2969" t="s">
        <v>51</v>
      </c>
      <c r="H2969" t="s">
        <v>89</v>
      </c>
      <c r="I2969" t="s">
        <v>90</v>
      </c>
      <c r="J2969">
        <v>2</v>
      </c>
      <c r="K2969">
        <v>10500</v>
      </c>
      <c r="L2969">
        <v>0.15</v>
      </c>
      <c r="M2969">
        <v>17850</v>
      </c>
      <c r="N2969">
        <v>15200</v>
      </c>
      <c r="O2969">
        <v>2650</v>
      </c>
    </row>
    <row r="2970" spans="1:15" x14ac:dyDescent="0.25">
      <c r="A2970" t="s">
        <v>4035</v>
      </c>
      <c r="B2970" s="2">
        <v>48626</v>
      </c>
      <c r="C2970" t="s">
        <v>1210</v>
      </c>
      <c r="D2970" t="s">
        <v>1211</v>
      </c>
      <c r="E2970" t="s">
        <v>39</v>
      </c>
      <c r="F2970" t="s">
        <v>124</v>
      </c>
      <c r="G2970" t="s">
        <v>51</v>
      </c>
      <c r="H2970" t="s">
        <v>89</v>
      </c>
      <c r="I2970" t="s">
        <v>90</v>
      </c>
      <c r="J2970">
        <v>4</v>
      </c>
      <c r="K2970">
        <v>10500</v>
      </c>
      <c r="L2970">
        <v>0</v>
      </c>
      <c r="M2970">
        <v>42000</v>
      </c>
      <c r="N2970">
        <v>30400</v>
      </c>
      <c r="O2970">
        <v>11600</v>
      </c>
    </row>
    <row r="2971" spans="1:15" x14ac:dyDescent="0.25">
      <c r="A2971" t="s">
        <v>4036</v>
      </c>
      <c r="B2971" s="2">
        <v>48627</v>
      </c>
      <c r="C2971" t="s">
        <v>229</v>
      </c>
      <c r="D2971" t="s">
        <v>230</v>
      </c>
      <c r="E2971" t="s">
        <v>26</v>
      </c>
      <c r="F2971" t="s">
        <v>204</v>
      </c>
      <c r="G2971" t="s">
        <v>57</v>
      </c>
      <c r="H2971" t="s">
        <v>58</v>
      </c>
      <c r="I2971" t="s">
        <v>129</v>
      </c>
      <c r="J2971">
        <v>2</v>
      </c>
      <c r="K2971">
        <v>4800</v>
      </c>
      <c r="L2971">
        <v>0.2</v>
      </c>
      <c r="M2971">
        <v>7680</v>
      </c>
      <c r="N2971">
        <v>6600</v>
      </c>
      <c r="O2971">
        <v>1080</v>
      </c>
    </row>
    <row r="2972" spans="1:15" x14ac:dyDescent="0.25">
      <c r="A2972" t="s">
        <v>4037</v>
      </c>
      <c r="B2972" s="2">
        <v>48628</v>
      </c>
      <c r="C2972" t="s">
        <v>1734</v>
      </c>
      <c r="D2972" t="s">
        <v>1735</v>
      </c>
      <c r="E2972" t="s">
        <v>39</v>
      </c>
      <c r="F2972" t="s">
        <v>124</v>
      </c>
      <c r="G2972" t="s">
        <v>51</v>
      </c>
      <c r="H2972" t="s">
        <v>52</v>
      </c>
      <c r="I2972" t="s">
        <v>53</v>
      </c>
      <c r="J2972">
        <v>5</v>
      </c>
      <c r="K2972">
        <v>2200</v>
      </c>
      <c r="L2972">
        <v>0.15</v>
      </c>
      <c r="M2972">
        <v>9350</v>
      </c>
      <c r="N2972">
        <v>7250</v>
      </c>
      <c r="O2972">
        <v>2100</v>
      </c>
    </row>
    <row r="2973" spans="1:15" x14ac:dyDescent="0.25">
      <c r="A2973" t="s">
        <v>4038</v>
      </c>
      <c r="B2973" s="2">
        <v>48629</v>
      </c>
      <c r="C2973" t="s">
        <v>843</v>
      </c>
      <c r="D2973" t="s">
        <v>844</v>
      </c>
      <c r="E2973" t="s">
        <v>96</v>
      </c>
      <c r="F2973" t="s">
        <v>120</v>
      </c>
      <c r="G2973" t="s">
        <v>28</v>
      </c>
      <c r="H2973" t="s">
        <v>29</v>
      </c>
      <c r="I2973" t="s">
        <v>47</v>
      </c>
      <c r="J2973">
        <v>5</v>
      </c>
      <c r="K2973">
        <v>6800</v>
      </c>
      <c r="L2973">
        <v>0.05</v>
      </c>
      <c r="M2973">
        <v>32300</v>
      </c>
      <c r="N2973">
        <v>23500</v>
      </c>
      <c r="O2973">
        <v>8800</v>
      </c>
    </row>
    <row r="2974" spans="1:15" x14ac:dyDescent="0.25">
      <c r="A2974" t="s">
        <v>4039</v>
      </c>
      <c r="B2974" s="2">
        <v>48630</v>
      </c>
      <c r="C2974" t="s">
        <v>926</v>
      </c>
      <c r="D2974" t="s">
        <v>927</v>
      </c>
      <c r="E2974" t="s">
        <v>26</v>
      </c>
      <c r="F2974" t="s">
        <v>34</v>
      </c>
      <c r="G2974" t="s">
        <v>57</v>
      </c>
      <c r="H2974" t="s">
        <v>58</v>
      </c>
      <c r="I2974" t="s">
        <v>129</v>
      </c>
      <c r="J2974">
        <v>3</v>
      </c>
      <c r="K2974">
        <v>4800</v>
      </c>
      <c r="L2974">
        <v>0.1</v>
      </c>
      <c r="M2974">
        <v>12960</v>
      </c>
      <c r="N2974">
        <v>9900</v>
      </c>
      <c r="O2974">
        <v>3060</v>
      </c>
    </row>
    <row r="2975" spans="1:15" x14ac:dyDescent="0.25">
      <c r="A2975" t="s">
        <v>4040</v>
      </c>
      <c r="B2975" s="2">
        <v>48631</v>
      </c>
      <c r="C2975" t="s">
        <v>1287</v>
      </c>
      <c r="D2975" t="s">
        <v>1288</v>
      </c>
      <c r="E2975" t="s">
        <v>26</v>
      </c>
      <c r="F2975" t="s">
        <v>128</v>
      </c>
      <c r="G2975" t="s">
        <v>20</v>
      </c>
      <c r="H2975" t="s">
        <v>84</v>
      </c>
      <c r="I2975" t="s">
        <v>85</v>
      </c>
      <c r="J2975">
        <v>2</v>
      </c>
      <c r="K2975">
        <v>280</v>
      </c>
      <c r="L2975">
        <v>0.15</v>
      </c>
      <c r="M2975">
        <v>476</v>
      </c>
      <c r="N2975">
        <v>320</v>
      </c>
      <c r="O2975">
        <v>156</v>
      </c>
    </row>
    <row r="2976" spans="1:15" x14ac:dyDescent="0.25">
      <c r="A2976" t="s">
        <v>4041</v>
      </c>
      <c r="B2976" s="2">
        <v>48632</v>
      </c>
      <c r="C2976" t="s">
        <v>1176</v>
      </c>
      <c r="D2976" t="s">
        <v>1177</v>
      </c>
      <c r="E2976" t="s">
        <v>26</v>
      </c>
      <c r="F2976" t="s">
        <v>34</v>
      </c>
      <c r="G2976" t="s">
        <v>20</v>
      </c>
      <c r="H2976" t="s">
        <v>84</v>
      </c>
      <c r="I2976" t="s">
        <v>210</v>
      </c>
      <c r="J2976">
        <v>3</v>
      </c>
      <c r="K2976">
        <v>300</v>
      </c>
      <c r="L2976">
        <v>0.05</v>
      </c>
      <c r="M2976">
        <v>855</v>
      </c>
      <c r="N2976">
        <v>510</v>
      </c>
      <c r="O2976">
        <v>345</v>
      </c>
    </row>
    <row r="2977" spans="1:15" x14ac:dyDescent="0.25">
      <c r="A2977" t="s">
        <v>4042</v>
      </c>
      <c r="B2977" s="2">
        <v>48633</v>
      </c>
      <c r="C2977" t="s">
        <v>1227</v>
      </c>
      <c r="D2977" t="s">
        <v>1228</v>
      </c>
      <c r="E2977" t="s">
        <v>26</v>
      </c>
      <c r="F2977" t="s">
        <v>27</v>
      </c>
      <c r="G2977" t="s">
        <v>28</v>
      </c>
      <c r="H2977" t="s">
        <v>29</v>
      </c>
      <c r="I2977" t="s">
        <v>35</v>
      </c>
      <c r="J2977">
        <v>5</v>
      </c>
      <c r="K2977">
        <v>4200</v>
      </c>
      <c r="L2977">
        <v>0.25</v>
      </c>
      <c r="M2977">
        <v>15750</v>
      </c>
      <c r="N2977">
        <v>14500</v>
      </c>
      <c r="O2977">
        <v>1250</v>
      </c>
    </row>
    <row r="2978" spans="1:15" x14ac:dyDescent="0.25">
      <c r="A2978" t="s">
        <v>4043</v>
      </c>
      <c r="B2978" s="2">
        <v>48634</v>
      </c>
      <c r="C2978" t="s">
        <v>2580</v>
      </c>
      <c r="D2978" t="s">
        <v>2581</v>
      </c>
      <c r="E2978" t="s">
        <v>26</v>
      </c>
      <c r="F2978" t="s">
        <v>34</v>
      </c>
      <c r="G2978" t="s">
        <v>28</v>
      </c>
      <c r="H2978" t="s">
        <v>29</v>
      </c>
      <c r="I2978" t="s">
        <v>47</v>
      </c>
      <c r="J2978">
        <v>3</v>
      </c>
      <c r="K2978">
        <v>6800</v>
      </c>
      <c r="L2978">
        <v>0.2</v>
      </c>
      <c r="M2978">
        <v>16320</v>
      </c>
      <c r="N2978">
        <v>14100</v>
      </c>
      <c r="O2978">
        <v>2220</v>
      </c>
    </row>
    <row r="2979" spans="1:15" x14ac:dyDescent="0.25">
      <c r="A2979" t="s">
        <v>4044</v>
      </c>
      <c r="B2979" s="2">
        <v>48635</v>
      </c>
      <c r="C2979" t="s">
        <v>1750</v>
      </c>
      <c r="D2979" t="s">
        <v>1751</v>
      </c>
      <c r="E2979" t="s">
        <v>26</v>
      </c>
      <c r="F2979" t="s">
        <v>128</v>
      </c>
      <c r="G2979" t="s">
        <v>57</v>
      </c>
      <c r="H2979" t="s">
        <v>188</v>
      </c>
      <c r="I2979" t="s">
        <v>189</v>
      </c>
      <c r="J2979">
        <v>5</v>
      </c>
      <c r="K2979">
        <v>6200</v>
      </c>
      <c r="L2979">
        <v>0.15</v>
      </c>
      <c r="M2979">
        <v>26350</v>
      </c>
      <c r="N2979">
        <v>21500</v>
      </c>
      <c r="O2979">
        <v>4850</v>
      </c>
    </row>
    <row r="2980" spans="1:15" x14ac:dyDescent="0.25">
      <c r="A2980" t="s">
        <v>4045</v>
      </c>
      <c r="B2980" s="2">
        <v>48636</v>
      </c>
      <c r="C2980" t="s">
        <v>990</v>
      </c>
      <c r="D2980" t="s">
        <v>991</v>
      </c>
      <c r="E2980" t="s">
        <v>39</v>
      </c>
      <c r="F2980" t="s">
        <v>124</v>
      </c>
      <c r="G2980" t="s">
        <v>57</v>
      </c>
      <c r="H2980" t="s">
        <v>58</v>
      </c>
      <c r="I2980" t="s">
        <v>129</v>
      </c>
      <c r="J2980">
        <v>1</v>
      </c>
      <c r="K2980">
        <v>4800</v>
      </c>
      <c r="L2980">
        <v>0</v>
      </c>
      <c r="M2980">
        <v>4800</v>
      </c>
      <c r="N2980">
        <v>3300</v>
      </c>
      <c r="O2980">
        <v>1500</v>
      </c>
    </row>
    <row r="2981" spans="1:15" x14ac:dyDescent="0.25">
      <c r="A2981" t="s">
        <v>4046</v>
      </c>
      <c r="B2981" s="2">
        <v>48637</v>
      </c>
      <c r="C2981" t="s">
        <v>918</v>
      </c>
      <c r="D2981" t="s">
        <v>919</v>
      </c>
      <c r="E2981" t="s">
        <v>26</v>
      </c>
      <c r="F2981" t="s">
        <v>34</v>
      </c>
      <c r="G2981" t="s">
        <v>57</v>
      </c>
      <c r="H2981" t="s">
        <v>58</v>
      </c>
      <c r="I2981" t="s">
        <v>59</v>
      </c>
      <c r="J2981">
        <v>1</v>
      </c>
      <c r="K2981">
        <v>5600</v>
      </c>
      <c r="L2981">
        <v>0.1</v>
      </c>
      <c r="M2981">
        <v>5040</v>
      </c>
      <c r="N2981">
        <v>3900</v>
      </c>
      <c r="O2981">
        <v>1140</v>
      </c>
    </row>
    <row r="2982" spans="1:15" x14ac:dyDescent="0.25">
      <c r="A2982" t="s">
        <v>4047</v>
      </c>
      <c r="B2982" s="2">
        <v>48638</v>
      </c>
      <c r="C2982" t="s">
        <v>2084</v>
      </c>
      <c r="D2982" t="s">
        <v>2085</v>
      </c>
      <c r="E2982" t="s">
        <v>39</v>
      </c>
      <c r="F2982" t="s">
        <v>124</v>
      </c>
      <c r="G2982" t="s">
        <v>51</v>
      </c>
      <c r="H2982" t="s">
        <v>21</v>
      </c>
      <c r="I2982" t="s">
        <v>80</v>
      </c>
      <c r="J2982">
        <v>2</v>
      </c>
      <c r="K2982">
        <v>850</v>
      </c>
      <c r="L2982">
        <v>0.1</v>
      </c>
      <c r="M2982">
        <v>1530</v>
      </c>
      <c r="N2982">
        <v>1120</v>
      </c>
      <c r="O2982">
        <v>410</v>
      </c>
    </row>
    <row r="2983" spans="1:15" x14ac:dyDescent="0.25">
      <c r="A2983" t="s">
        <v>4048</v>
      </c>
      <c r="B2983" s="2">
        <v>48639</v>
      </c>
      <c r="C2983" t="s">
        <v>350</v>
      </c>
      <c r="D2983" t="s">
        <v>351</v>
      </c>
      <c r="E2983" t="s">
        <v>39</v>
      </c>
      <c r="F2983" t="s">
        <v>76</v>
      </c>
      <c r="G2983" t="s">
        <v>51</v>
      </c>
      <c r="H2983" t="s">
        <v>89</v>
      </c>
      <c r="I2983" t="s">
        <v>90</v>
      </c>
      <c r="J2983">
        <v>5</v>
      </c>
      <c r="K2983">
        <v>10500</v>
      </c>
      <c r="L2983">
        <v>0.05</v>
      </c>
      <c r="M2983">
        <v>49875</v>
      </c>
      <c r="N2983">
        <v>38000</v>
      </c>
      <c r="O2983">
        <v>11875</v>
      </c>
    </row>
    <row r="2984" spans="1:15" x14ac:dyDescent="0.25">
      <c r="A2984" t="s">
        <v>4049</v>
      </c>
      <c r="B2984" s="2">
        <v>48640</v>
      </c>
      <c r="C2984" t="s">
        <v>1865</v>
      </c>
      <c r="D2984" t="s">
        <v>1866</v>
      </c>
      <c r="E2984" t="s">
        <v>96</v>
      </c>
      <c r="F2984" t="s">
        <v>120</v>
      </c>
      <c r="G2984" t="s">
        <v>20</v>
      </c>
      <c r="H2984" t="s">
        <v>84</v>
      </c>
      <c r="I2984" t="s">
        <v>210</v>
      </c>
      <c r="J2984">
        <v>5</v>
      </c>
      <c r="K2984">
        <v>300</v>
      </c>
      <c r="L2984">
        <v>0.1</v>
      </c>
      <c r="M2984">
        <v>1350</v>
      </c>
      <c r="N2984">
        <v>850</v>
      </c>
      <c r="O2984">
        <v>500</v>
      </c>
    </row>
    <row r="2985" spans="1:15" x14ac:dyDescent="0.25">
      <c r="A2985" t="s">
        <v>4050</v>
      </c>
      <c r="B2985" s="2">
        <v>48641</v>
      </c>
      <c r="C2985" t="s">
        <v>513</v>
      </c>
      <c r="D2985" t="s">
        <v>514</v>
      </c>
      <c r="E2985" t="s">
        <v>96</v>
      </c>
      <c r="F2985" t="s">
        <v>196</v>
      </c>
      <c r="G2985" t="s">
        <v>57</v>
      </c>
      <c r="H2985" t="s">
        <v>188</v>
      </c>
      <c r="I2985" t="s">
        <v>189</v>
      </c>
      <c r="J2985">
        <v>3</v>
      </c>
      <c r="K2985">
        <v>6200</v>
      </c>
      <c r="L2985">
        <v>0.05</v>
      </c>
      <c r="M2985">
        <v>17670</v>
      </c>
      <c r="N2985">
        <v>12900</v>
      </c>
      <c r="O2985">
        <v>4770</v>
      </c>
    </row>
    <row r="2986" spans="1:15" x14ac:dyDescent="0.25">
      <c r="A2986" t="s">
        <v>4051</v>
      </c>
      <c r="B2986" s="2">
        <v>48642</v>
      </c>
      <c r="C2986" t="s">
        <v>905</v>
      </c>
      <c r="D2986" t="s">
        <v>906</v>
      </c>
      <c r="E2986" t="s">
        <v>26</v>
      </c>
      <c r="F2986" t="s">
        <v>46</v>
      </c>
      <c r="G2986" t="s">
        <v>57</v>
      </c>
      <c r="H2986" t="s">
        <v>104</v>
      </c>
      <c r="I2986" t="s">
        <v>105</v>
      </c>
      <c r="J2986">
        <v>5</v>
      </c>
      <c r="K2986">
        <v>7500</v>
      </c>
      <c r="L2986">
        <v>0.1</v>
      </c>
      <c r="M2986">
        <v>33750</v>
      </c>
      <c r="N2986">
        <v>26000</v>
      </c>
      <c r="O2986">
        <v>7750</v>
      </c>
    </row>
    <row r="2987" spans="1:15" x14ac:dyDescent="0.25">
      <c r="A2987" t="s">
        <v>4052</v>
      </c>
      <c r="B2987" s="2">
        <v>48643</v>
      </c>
      <c r="C2987" t="s">
        <v>137</v>
      </c>
      <c r="D2987" t="s">
        <v>138</v>
      </c>
      <c r="E2987" t="s">
        <v>39</v>
      </c>
      <c r="F2987" t="s">
        <v>40</v>
      </c>
      <c r="G2987" t="s">
        <v>51</v>
      </c>
      <c r="H2987" t="s">
        <v>21</v>
      </c>
      <c r="I2987" t="s">
        <v>80</v>
      </c>
      <c r="J2987">
        <v>1</v>
      </c>
      <c r="K2987">
        <v>850</v>
      </c>
      <c r="L2987">
        <v>0</v>
      </c>
      <c r="M2987">
        <v>850</v>
      </c>
      <c r="N2987">
        <v>560</v>
      </c>
      <c r="O2987">
        <v>290</v>
      </c>
    </row>
    <row r="2988" spans="1:15" x14ac:dyDescent="0.25">
      <c r="A2988" t="s">
        <v>4053</v>
      </c>
      <c r="B2988" s="2">
        <v>48644</v>
      </c>
      <c r="C2988" t="s">
        <v>1793</v>
      </c>
      <c r="D2988" t="s">
        <v>1794</v>
      </c>
      <c r="E2988" t="s">
        <v>39</v>
      </c>
      <c r="F2988" t="s">
        <v>76</v>
      </c>
      <c r="G2988" t="s">
        <v>57</v>
      </c>
      <c r="H2988" t="s">
        <v>58</v>
      </c>
      <c r="I2988" t="s">
        <v>59</v>
      </c>
      <c r="J2988">
        <v>5</v>
      </c>
      <c r="K2988">
        <v>5600</v>
      </c>
      <c r="L2988">
        <v>0.05</v>
      </c>
      <c r="M2988">
        <v>26600</v>
      </c>
      <c r="N2988">
        <v>19500</v>
      </c>
      <c r="O2988">
        <v>7100</v>
      </c>
    </row>
    <row r="2989" spans="1:15" x14ac:dyDescent="0.25">
      <c r="A2989" t="s">
        <v>4054</v>
      </c>
      <c r="B2989" s="2">
        <v>48645</v>
      </c>
      <c r="C2989" t="s">
        <v>186</v>
      </c>
      <c r="D2989" t="s">
        <v>187</v>
      </c>
      <c r="E2989" t="s">
        <v>39</v>
      </c>
      <c r="F2989" t="s">
        <v>40</v>
      </c>
      <c r="G2989" t="s">
        <v>57</v>
      </c>
      <c r="H2989" t="s">
        <v>188</v>
      </c>
      <c r="I2989" t="s">
        <v>189</v>
      </c>
      <c r="J2989">
        <v>4</v>
      </c>
      <c r="K2989">
        <v>6200</v>
      </c>
      <c r="L2989">
        <v>0.15</v>
      </c>
      <c r="M2989">
        <v>21080</v>
      </c>
      <c r="N2989">
        <v>17200</v>
      </c>
      <c r="O2989">
        <v>3880</v>
      </c>
    </row>
    <row r="2990" spans="1:15" x14ac:dyDescent="0.25">
      <c r="A2990" t="s">
        <v>4055</v>
      </c>
      <c r="B2990" s="2">
        <v>48646</v>
      </c>
      <c r="C2990" t="s">
        <v>556</v>
      </c>
      <c r="D2990" t="s">
        <v>557</v>
      </c>
      <c r="E2990" t="s">
        <v>39</v>
      </c>
      <c r="F2990" t="s">
        <v>40</v>
      </c>
      <c r="G2990" t="s">
        <v>20</v>
      </c>
      <c r="H2990" t="s">
        <v>84</v>
      </c>
      <c r="I2990" t="s">
        <v>85</v>
      </c>
      <c r="J2990">
        <v>2</v>
      </c>
      <c r="K2990">
        <v>280</v>
      </c>
      <c r="L2990">
        <v>0.05</v>
      </c>
      <c r="M2990">
        <v>532</v>
      </c>
      <c r="N2990">
        <v>320</v>
      </c>
      <c r="O2990">
        <v>212</v>
      </c>
    </row>
    <row r="2991" spans="1:15" x14ac:dyDescent="0.25">
      <c r="A2991" t="s">
        <v>4056</v>
      </c>
      <c r="B2991" s="2">
        <v>48647</v>
      </c>
      <c r="C2991" t="s">
        <v>1375</v>
      </c>
      <c r="D2991" t="s">
        <v>1376</v>
      </c>
      <c r="E2991" t="s">
        <v>26</v>
      </c>
      <c r="F2991" t="s">
        <v>204</v>
      </c>
      <c r="G2991" t="s">
        <v>51</v>
      </c>
      <c r="H2991" t="s">
        <v>52</v>
      </c>
      <c r="I2991" t="s">
        <v>53</v>
      </c>
      <c r="J2991">
        <v>4</v>
      </c>
      <c r="K2991">
        <v>2200</v>
      </c>
      <c r="L2991">
        <v>0.05</v>
      </c>
      <c r="M2991">
        <v>8360</v>
      </c>
      <c r="N2991">
        <v>5800</v>
      </c>
      <c r="O2991">
        <v>2560</v>
      </c>
    </row>
    <row r="2992" spans="1:15" x14ac:dyDescent="0.25">
      <c r="A2992" t="s">
        <v>4057</v>
      </c>
      <c r="B2992" s="2">
        <v>48648</v>
      </c>
      <c r="C2992" t="s">
        <v>611</v>
      </c>
      <c r="D2992" t="s">
        <v>612</v>
      </c>
      <c r="E2992" t="s">
        <v>39</v>
      </c>
      <c r="F2992" t="s">
        <v>71</v>
      </c>
      <c r="G2992" t="s">
        <v>51</v>
      </c>
      <c r="H2992" t="s">
        <v>52</v>
      </c>
      <c r="I2992" t="s">
        <v>53</v>
      </c>
      <c r="J2992">
        <v>5</v>
      </c>
      <c r="K2992">
        <v>2200</v>
      </c>
      <c r="L2992">
        <v>0</v>
      </c>
      <c r="M2992">
        <v>11000</v>
      </c>
      <c r="N2992">
        <v>7250</v>
      </c>
      <c r="O2992">
        <v>3750</v>
      </c>
    </row>
    <row r="2993" spans="1:15" x14ac:dyDescent="0.25">
      <c r="A2993" t="s">
        <v>4058</v>
      </c>
      <c r="B2993" s="2">
        <v>48649</v>
      </c>
      <c r="C2993" t="s">
        <v>682</v>
      </c>
      <c r="D2993" t="s">
        <v>683</v>
      </c>
      <c r="E2993" t="s">
        <v>18</v>
      </c>
      <c r="F2993" t="s">
        <v>19</v>
      </c>
      <c r="G2993" t="s">
        <v>57</v>
      </c>
      <c r="H2993" t="s">
        <v>58</v>
      </c>
      <c r="I2993" t="s">
        <v>129</v>
      </c>
      <c r="J2993">
        <v>1</v>
      </c>
      <c r="K2993">
        <v>4800</v>
      </c>
      <c r="L2993">
        <v>0.15</v>
      </c>
      <c r="M2993">
        <v>4080</v>
      </c>
      <c r="N2993">
        <v>3300</v>
      </c>
      <c r="O2993">
        <v>780</v>
      </c>
    </row>
    <row r="2994" spans="1:15" x14ac:dyDescent="0.25">
      <c r="A2994" t="s">
        <v>4059</v>
      </c>
      <c r="B2994" s="2">
        <v>48650</v>
      </c>
      <c r="C2994" t="s">
        <v>1514</v>
      </c>
      <c r="D2994" t="s">
        <v>1515</v>
      </c>
      <c r="E2994" t="s">
        <v>26</v>
      </c>
      <c r="F2994" t="s">
        <v>46</v>
      </c>
      <c r="G2994" t="s">
        <v>28</v>
      </c>
      <c r="H2994" t="s">
        <v>29</v>
      </c>
      <c r="I2994" t="s">
        <v>35</v>
      </c>
      <c r="J2994">
        <v>4</v>
      </c>
      <c r="K2994">
        <v>4200</v>
      </c>
      <c r="L2994">
        <v>0.25</v>
      </c>
      <c r="M2994">
        <v>12600</v>
      </c>
      <c r="N2994">
        <v>11600</v>
      </c>
      <c r="O2994">
        <v>1000</v>
      </c>
    </row>
    <row r="2995" spans="1:15" x14ac:dyDescent="0.25">
      <c r="A2995" t="s">
        <v>4060</v>
      </c>
      <c r="B2995" s="2">
        <v>48651</v>
      </c>
      <c r="C2995" t="s">
        <v>1616</v>
      </c>
      <c r="D2995" t="s">
        <v>1617</v>
      </c>
      <c r="E2995" t="s">
        <v>39</v>
      </c>
      <c r="F2995" t="s">
        <v>124</v>
      </c>
      <c r="G2995" t="s">
        <v>20</v>
      </c>
      <c r="H2995" t="s">
        <v>21</v>
      </c>
      <c r="I2995" t="s">
        <v>22</v>
      </c>
      <c r="J2995">
        <v>3</v>
      </c>
      <c r="K2995">
        <v>650</v>
      </c>
      <c r="L2995">
        <v>0.15</v>
      </c>
      <c r="M2995">
        <v>1657.5</v>
      </c>
      <c r="N2995">
        <v>1170</v>
      </c>
      <c r="O2995">
        <v>487.5</v>
      </c>
    </row>
    <row r="2996" spans="1:15" x14ac:dyDescent="0.25">
      <c r="A2996" t="s">
        <v>4061</v>
      </c>
      <c r="B2996" s="2">
        <v>48652</v>
      </c>
      <c r="C2996" t="s">
        <v>149</v>
      </c>
      <c r="D2996" t="s">
        <v>150</v>
      </c>
      <c r="E2996" t="s">
        <v>26</v>
      </c>
      <c r="F2996" t="s">
        <v>46</v>
      </c>
      <c r="G2996" t="s">
        <v>57</v>
      </c>
      <c r="H2996" t="s">
        <v>58</v>
      </c>
      <c r="I2996" t="s">
        <v>129</v>
      </c>
      <c r="J2996">
        <v>1</v>
      </c>
      <c r="K2996">
        <v>4800</v>
      </c>
      <c r="L2996">
        <v>0.15</v>
      </c>
      <c r="M2996">
        <v>4080</v>
      </c>
      <c r="N2996">
        <v>3300</v>
      </c>
      <c r="O2996">
        <v>780</v>
      </c>
    </row>
    <row r="2997" spans="1:15" x14ac:dyDescent="0.25">
      <c r="A2997" t="s">
        <v>4062</v>
      </c>
      <c r="B2997" s="2">
        <v>48653</v>
      </c>
      <c r="C2997" t="s">
        <v>87</v>
      </c>
      <c r="D2997" t="s">
        <v>88</v>
      </c>
      <c r="E2997" t="s">
        <v>96</v>
      </c>
      <c r="F2997" t="s">
        <v>200</v>
      </c>
      <c r="G2997" t="s">
        <v>57</v>
      </c>
      <c r="H2997" t="s">
        <v>58</v>
      </c>
      <c r="I2997" t="s">
        <v>59</v>
      </c>
      <c r="J2997">
        <v>4</v>
      </c>
      <c r="K2997">
        <v>5600</v>
      </c>
      <c r="L2997">
        <v>0.1</v>
      </c>
      <c r="M2997">
        <v>20160</v>
      </c>
      <c r="N2997">
        <v>15600</v>
      </c>
      <c r="O2997">
        <v>4560</v>
      </c>
    </row>
    <row r="2998" spans="1:15" x14ac:dyDescent="0.25">
      <c r="A2998" t="s">
        <v>4063</v>
      </c>
      <c r="B2998" s="2">
        <v>48654</v>
      </c>
      <c r="C2998" t="s">
        <v>353</v>
      </c>
      <c r="D2998" t="s">
        <v>354</v>
      </c>
      <c r="E2998" t="s">
        <v>26</v>
      </c>
      <c r="F2998" t="s">
        <v>27</v>
      </c>
      <c r="G2998" t="s">
        <v>51</v>
      </c>
      <c r="H2998" t="s">
        <v>21</v>
      </c>
      <c r="I2998" t="s">
        <v>72</v>
      </c>
      <c r="J2998">
        <v>5</v>
      </c>
      <c r="K2998">
        <v>1800</v>
      </c>
      <c r="L2998">
        <v>0.05</v>
      </c>
      <c r="M2998">
        <v>8550</v>
      </c>
      <c r="N2998">
        <v>5500</v>
      </c>
      <c r="O2998">
        <v>3050</v>
      </c>
    </row>
    <row r="2999" spans="1:15" x14ac:dyDescent="0.25">
      <c r="A2999" t="s">
        <v>4064</v>
      </c>
      <c r="B2999" s="2">
        <v>48655</v>
      </c>
      <c r="C2999" t="s">
        <v>459</v>
      </c>
      <c r="D2999" t="s">
        <v>460</v>
      </c>
      <c r="E2999" t="s">
        <v>96</v>
      </c>
      <c r="F2999" t="s">
        <v>196</v>
      </c>
      <c r="G2999" t="s">
        <v>51</v>
      </c>
      <c r="H2999" t="s">
        <v>52</v>
      </c>
      <c r="I2999" t="s">
        <v>53</v>
      </c>
      <c r="J2999">
        <v>5</v>
      </c>
      <c r="K2999">
        <v>2200</v>
      </c>
      <c r="L2999">
        <v>0.1</v>
      </c>
      <c r="M2999">
        <v>9900</v>
      </c>
      <c r="N2999">
        <v>7250</v>
      </c>
      <c r="O2999">
        <v>2650</v>
      </c>
    </row>
    <row r="3000" spans="1:15" x14ac:dyDescent="0.25">
      <c r="A3000" t="s">
        <v>4065</v>
      </c>
      <c r="B3000" s="2">
        <v>48656</v>
      </c>
      <c r="C3000" t="s">
        <v>647</v>
      </c>
      <c r="D3000" t="s">
        <v>648</v>
      </c>
      <c r="E3000" t="s">
        <v>39</v>
      </c>
      <c r="F3000" t="s">
        <v>76</v>
      </c>
      <c r="G3000" t="s">
        <v>57</v>
      </c>
      <c r="H3000" t="s">
        <v>58</v>
      </c>
      <c r="I3000" t="s">
        <v>59</v>
      </c>
      <c r="J3000">
        <v>5</v>
      </c>
      <c r="K3000">
        <v>5600</v>
      </c>
      <c r="L3000">
        <v>0.05</v>
      </c>
      <c r="M3000">
        <v>26600</v>
      </c>
      <c r="N3000">
        <v>19500</v>
      </c>
      <c r="O3000">
        <v>7100</v>
      </c>
    </row>
    <row r="3001" spans="1:15" x14ac:dyDescent="0.25">
      <c r="A3001" t="s">
        <v>4066</v>
      </c>
      <c r="B3001" s="2">
        <v>48657</v>
      </c>
      <c r="C3001" t="s">
        <v>202</v>
      </c>
      <c r="D3001" t="s">
        <v>203</v>
      </c>
      <c r="E3001" t="s">
        <v>26</v>
      </c>
      <c r="F3001" t="s">
        <v>46</v>
      </c>
      <c r="G3001" t="s">
        <v>28</v>
      </c>
      <c r="H3001" t="s">
        <v>29</v>
      </c>
      <c r="I3001" t="s">
        <v>47</v>
      </c>
      <c r="J3001">
        <v>5</v>
      </c>
      <c r="K3001">
        <v>6800</v>
      </c>
      <c r="L3001">
        <v>0.05</v>
      </c>
      <c r="M3001">
        <v>32300</v>
      </c>
      <c r="N3001">
        <v>23500</v>
      </c>
      <c r="O3001">
        <v>8800</v>
      </c>
    </row>
    <row r="3002" spans="1:15" x14ac:dyDescent="0.25">
      <c r="A3002" t="s">
        <v>4067</v>
      </c>
      <c r="B3002" s="2">
        <v>48658</v>
      </c>
      <c r="C3002" t="s">
        <v>1510</v>
      </c>
      <c r="D3002" t="s">
        <v>1511</v>
      </c>
      <c r="E3002" t="s">
        <v>39</v>
      </c>
      <c r="F3002" t="s">
        <v>124</v>
      </c>
      <c r="G3002" t="s">
        <v>20</v>
      </c>
      <c r="H3002" t="s">
        <v>84</v>
      </c>
      <c r="I3002" t="s">
        <v>85</v>
      </c>
      <c r="J3002">
        <v>2</v>
      </c>
      <c r="K3002">
        <v>280</v>
      </c>
      <c r="L3002">
        <v>0.1</v>
      </c>
      <c r="M3002">
        <v>504</v>
      </c>
      <c r="N3002">
        <v>320</v>
      </c>
      <c r="O3002">
        <v>184</v>
      </c>
    </row>
    <row r="3003" spans="1:15" x14ac:dyDescent="0.25">
      <c r="A3003" t="s">
        <v>4068</v>
      </c>
      <c r="B3003" s="2">
        <v>48659</v>
      </c>
      <c r="C3003" t="s">
        <v>741</v>
      </c>
      <c r="D3003" t="s">
        <v>742</v>
      </c>
      <c r="E3003" t="s">
        <v>26</v>
      </c>
      <c r="F3003" t="s">
        <v>128</v>
      </c>
      <c r="G3003" t="s">
        <v>51</v>
      </c>
      <c r="H3003" t="s">
        <v>52</v>
      </c>
      <c r="I3003" t="s">
        <v>208</v>
      </c>
      <c r="J3003">
        <v>4</v>
      </c>
      <c r="K3003">
        <v>2800</v>
      </c>
      <c r="L3003">
        <v>0.1</v>
      </c>
      <c r="M3003">
        <v>10080</v>
      </c>
      <c r="N3003">
        <v>7200</v>
      </c>
      <c r="O3003">
        <v>2880</v>
      </c>
    </row>
    <row r="3004" spans="1:15" x14ac:dyDescent="0.25">
      <c r="A3004" t="s">
        <v>4069</v>
      </c>
      <c r="B3004" s="2">
        <v>48660</v>
      </c>
      <c r="C3004" t="s">
        <v>241</v>
      </c>
      <c r="D3004" t="s">
        <v>242</v>
      </c>
      <c r="E3004" t="s">
        <v>18</v>
      </c>
      <c r="F3004" t="s">
        <v>115</v>
      </c>
      <c r="G3004" t="s">
        <v>28</v>
      </c>
      <c r="H3004" t="s">
        <v>63</v>
      </c>
      <c r="I3004" t="s">
        <v>64</v>
      </c>
      <c r="J3004">
        <v>3</v>
      </c>
      <c r="K3004">
        <v>2400</v>
      </c>
      <c r="L3004">
        <v>0</v>
      </c>
      <c r="M3004">
        <v>7200</v>
      </c>
      <c r="N3004">
        <v>4950</v>
      </c>
      <c r="O3004">
        <v>2250</v>
      </c>
    </row>
    <row r="3005" spans="1:15" x14ac:dyDescent="0.25">
      <c r="A3005" t="s">
        <v>4070</v>
      </c>
      <c r="B3005" s="2">
        <v>48661</v>
      </c>
      <c r="C3005" t="s">
        <v>1220</v>
      </c>
      <c r="D3005" t="s">
        <v>1221</v>
      </c>
      <c r="E3005" t="s">
        <v>96</v>
      </c>
      <c r="F3005" t="s">
        <v>97</v>
      </c>
      <c r="G3005" t="s">
        <v>57</v>
      </c>
      <c r="H3005" t="s">
        <v>58</v>
      </c>
      <c r="I3005" t="s">
        <v>59</v>
      </c>
      <c r="J3005">
        <v>2</v>
      </c>
      <c r="K3005">
        <v>5600</v>
      </c>
      <c r="L3005">
        <v>0.15</v>
      </c>
      <c r="M3005">
        <v>9520</v>
      </c>
      <c r="N3005">
        <v>7800</v>
      </c>
      <c r="O3005">
        <v>1720</v>
      </c>
    </row>
    <row r="3006" spans="1:15" x14ac:dyDescent="0.25">
      <c r="A3006" t="s">
        <v>4071</v>
      </c>
      <c r="B3006" s="2">
        <v>48662</v>
      </c>
      <c r="C3006" t="s">
        <v>330</v>
      </c>
      <c r="D3006" t="s">
        <v>331</v>
      </c>
      <c r="E3006" t="s">
        <v>96</v>
      </c>
      <c r="F3006" t="s">
        <v>120</v>
      </c>
      <c r="G3006" t="s">
        <v>51</v>
      </c>
      <c r="H3006" t="s">
        <v>52</v>
      </c>
      <c r="I3006" t="s">
        <v>208</v>
      </c>
      <c r="J3006">
        <v>4</v>
      </c>
      <c r="K3006">
        <v>2800</v>
      </c>
      <c r="L3006">
        <v>0.1</v>
      </c>
      <c r="M3006">
        <v>10080</v>
      </c>
      <c r="N3006">
        <v>7200</v>
      </c>
      <c r="O3006">
        <v>2880</v>
      </c>
    </row>
    <row r="3007" spans="1:15" x14ac:dyDescent="0.25">
      <c r="A3007" t="s">
        <v>4072</v>
      </c>
      <c r="B3007" s="2">
        <v>48663</v>
      </c>
      <c r="C3007" t="s">
        <v>305</v>
      </c>
      <c r="D3007" t="s">
        <v>306</v>
      </c>
      <c r="E3007" t="s">
        <v>39</v>
      </c>
      <c r="F3007" t="s">
        <v>40</v>
      </c>
      <c r="G3007" t="s">
        <v>51</v>
      </c>
      <c r="H3007" t="s">
        <v>52</v>
      </c>
      <c r="I3007" t="s">
        <v>53</v>
      </c>
      <c r="J3007">
        <v>1</v>
      </c>
      <c r="K3007">
        <v>2200</v>
      </c>
      <c r="L3007">
        <v>0.15</v>
      </c>
      <c r="M3007">
        <v>1870</v>
      </c>
      <c r="N3007">
        <v>1450</v>
      </c>
      <c r="O3007">
        <v>420</v>
      </c>
    </row>
    <row r="3008" spans="1:15" x14ac:dyDescent="0.25">
      <c r="A3008" t="s">
        <v>4073</v>
      </c>
      <c r="B3008" s="2">
        <v>48664</v>
      </c>
      <c r="C3008" t="s">
        <v>405</v>
      </c>
      <c r="D3008" t="s">
        <v>406</v>
      </c>
      <c r="E3008" t="s">
        <v>26</v>
      </c>
      <c r="F3008" t="s">
        <v>27</v>
      </c>
      <c r="G3008" t="s">
        <v>51</v>
      </c>
      <c r="H3008" t="s">
        <v>89</v>
      </c>
      <c r="I3008" t="s">
        <v>90</v>
      </c>
      <c r="J3008">
        <v>1</v>
      </c>
      <c r="K3008">
        <v>10500</v>
      </c>
      <c r="L3008">
        <v>0.2</v>
      </c>
      <c r="M3008">
        <v>8400</v>
      </c>
      <c r="N3008">
        <v>7600</v>
      </c>
      <c r="O3008">
        <v>800</v>
      </c>
    </row>
    <row r="3009" spans="1:15" x14ac:dyDescent="0.25">
      <c r="A3009" t="s">
        <v>4074</v>
      </c>
      <c r="B3009" s="2">
        <v>48665</v>
      </c>
      <c r="C3009" t="s">
        <v>1349</v>
      </c>
      <c r="D3009" t="s">
        <v>1350</v>
      </c>
      <c r="E3009" t="s">
        <v>39</v>
      </c>
      <c r="F3009" t="s">
        <v>124</v>
      </c>
      <c r="G3009" t="s">
        <v>51</v>
      </c>
      <c r="H3009" t="s">
        <v>52</v>
      </c>
      <c r="I3009" t="s">
        <v>208</v>
      </c>
      <c r="J3009">
        <v>4</v>
      </c>
      <c r="K3009">
        <v>2800</v>
      </c>
      <c r="L3009">
        <v>0.05</v>
      </c>
      <c r="M3009">
        <v>10640</v>
      </c>
      <c r="N3009">
        <v>7200</v>
      </c>
      <c r="O3009">
        <v>3440</v>
      </c>
    </row>
    <row r="3010" spans="1:15" x14ac:dyDescent="0.25">
      <c r="A3010" t="s">
        <v>4075</v>
      </c>
      <c r="B3010" s="2">
        <v>48666</v>
      </c>
      <c r="C3010" t="s">
        <v>1268</v>
      </c>
      <c r="D3010" t="s">
        <v>1269</v>
      </c>
      <c r="E3010" t="s">
        <v>26</v>
      </c>
      <c r="F3010" t="s">
        <v>204</v>
      </c>
      <c r="G3010" t="s">
        <v>28</v>
      </c>
      <c r="H3010" t="s">
        <v>29</v>
      </c>
      <c r="I3010" t="s">
        <v>35</v>
      </c>
      <c r="J3010">
        <v>5</v>
      </c>
      <c r="K3010">
        <v>4200</v>
      </c>
      <c r="L3010">
        <v>0.15</v>
      </c>
      <c r="M3010">
        <v>17850</v>
      </c>
      <c r="N3010">
        <v>14500</v>
      </c>
      <c r="O3010">
        <v>3350</v>
      </c>
    </row>
    <row r="3011" spans="1:15" x14ac:dyDescent="0.25">
      <c r="A3011" t="s">
        <v>4076</v>
      </c>
      <c r="B3011" s="2">
        <v>48667</v>
      </c>
      <c r="C3011" t="s">
        <v>2518</v>
      </c>
      <c r="D3011" t="s">
        <v>2519</v>
      </c>
      <c r="E3011" t="s">
        <v>26</v>
      </c>
      <c r="F3011" t="s">
        <v>128</v>
      </c>
      <c r="G3011" t="s">
        <v>20</v>
      </c>
      <c r="H3011" t="s">
        <v>84</v>
      </c>
      <c r="I3011" t="s">
        <v>210</v>
      </c>
      <c r="J3011">
        <v>3</v>
      </c>
      <c r="K3011">
        <v>300</v>
      </c>
      <c r="L3011">
        <v>0.05</v>
      </c>
      <c r="M3011">
        <v>855</v>
      </c>
      <c r="N3011">
        <v>510</v>
      </c>
      <c r="O3011">
        <v>345</v>
      </c>
    </row>
    <row r="3012" spans="1:15" x14ac:dyDescent="0.25">
      <c r="A3012" t="s">
        <v>4077</v>
      </c>
      <c r="B3012" s="2">
        <v>48668</v>
      </c>
      <c r="C3012" t="s">
        <v>507</v>
      </c>
      <c r="D3012" t="s">
        <v>508</v>
      </c>
      <c r="E3012" t="s">
        <v>26</v>
      </c>
      <c r="F3012" t="s">
        <v>46</v>
      </c>
      <c r="G3012" t="s">
        <v>51</v>
      </c>
      <c r="H3012" t="s">
        <v>21</v>
      </c>
      <c r="I3012" t="s">
        <v>80</v>
      </c>
      <c r="J3012">
        <v>3</v>
      </c>
      <c r="K3012">
        <v>850</v>
      </c>
      <c r="L3012">
        <v>0.15</v>
      </c>
      <c r="M3012">
        <v>2167.5</v>
      </c>
      <c r="N3012">
        <v>1680</v>
      </c>
      <c r="O3012">
        <v>487.5</v>
      </c>
    </row>
    <row r="3013" spans="1:15" x14ac:dyDescent="0.25">
      <c r="A3013" t="s">
        <v>4078</v>
      </c>
      <c r="B3013" s="2">
        <v>48669</v>
      </c>
      <c r="C3013" t="s">
        <v>2326</v>
      </c>
      <c r="D3013" t="s">
        <v>2327</v>
      </c>
      <c r="E3013" t="s">
        <v>39</v>
      </c>
      <c r="F3013" t="s">
        <v>40</v>
      </c>
      <c r="G3013" t="s">
        <v>57</v>
      </c>
      <c r="H3013" t="s">
        <v>104</v>
      </c>
      <c r="I3013" t="s">
        <v>105</v>
      </c>
      <c r="J3013">
        <v>1</v>
      </c>
      <c r="K3013">
        <v>7500</v>
      </c>
      <c r="L3013">
        <v>0.15</v>
      </c>
      <c r="M3013">
        <v>6375</v>
      </c>
      <c r="N3013">
        <v>5200</v>
      </c>
      <c r="O3013">
        <v>1175</v>
      </c>
    </row>
    <row r="3014" spans="1:15" x14ac:dyDescent="0.25">
      <c r="A3014" t="s">
        <v>4079</v>
      </c>
      <c r="B3014" s="2">
        <v>48670</v>
      </c>
      <c r="C3014" t="s">
        <v>2457</v>
      </c>
      <c r="D3014" t="s">
        <v>2458</v>
      </c>
      <c r="E3014" t="s">
        <v>26</v>
      </c>
      <c r="F3014" t="s">
        <v>46</v>
      </c>
      <c r="G3014" t="s">
        <v>57</v>
      </c>
      <c r="H3014" t="s">
        <v>58</v>
      </c>
      <c r="I3014" t="s">
        <v>129</v>
      </c>
      <c r="J3014">
        <v>1</v>
      </c>
      <c r="K3014">
        <v>4800</v>
      </c>
      <c r="L3014">
        <v>0.05</v>
      </c>
      <c r="M3014">
        <v>4560</v>
      </c>
      <c r="N3014">
        <v>3300</v>
      </c>
      <c r="O3014">
        <v>1260</v>
      </c>
    </row>
    <row r="3015" spans="1:15" x14ac:dyDescent="0.25">
      <c r="A3015" t="s">
        <v>4080</v>
      </c>
      <c r="B3015" s="2">
        <v>48671</v>
      </c>
      <c r="C3015" t="s">
        <v>1584</v>
      </c>
      <c r="D3015" t="s">
        <v>1585</v>
      </c>
      <c r="E3015" t="s">
        <v>26</v>
      </c>
      <c r="F3015" t="s">
        <v>46</v>
      </c>
      <c r="G3015" t="s">
        <v>20</v>
      </c>
      <c r="H3015" t="s">
        <v>84</v>
      </c>
      <c r="I3015" t="s">
        <v>169</v>
      </c>
      <c r="J3015">
        <v>3</v>
      </c>
      <c r="K3015">
        <v>450</v>
      </c>
      <c r="L3015">
        <v>0.1</v>
      </c>
      <c r="M3015">
        <v>1215</v>
      </c>
      <c r="N3015">
        <v>780</v>
      </c>
      <c r="O3015">
        <v>435</v>
      </c>
    </row>
    <row r="3016" spans="1:15" x14ac:dyDescent="0.25">
      <c r="A3016" t="s">
        <v>4081</v>
      </c>
      <c r="B3016" s="2">
        <v>48672</v>
      </c>
      <c r="C3016" t="s">
        <v>766</v>
      </c>
      <c r="D3016" t="s">
        <v>767</v>
      </c>
      <c r="E3016" t="s">
        <v>18</v>
      </c>
      <c r="F3016" t="s">
        <v>115</v>
      </c>
      <c r="G3016" t="s">
        <v>51</v>
      </c>
      <c r="H3016" t="s">
        <v>21</v>
      </c>
      <c r="I3016" t="s">
        <v>80</v>
      </c>
      <c r="J3016">
        <v>3</v>
      </c>
      <c r="K3016">
        <v>850</v>
      </c>
      <c r="L3016">
        <v>0.25</v>
      </c>
      <c r="M3016">
        <v>1912.5</v>
      </c>
      <c r="N3016">
        <v>1680</v>
      </c>
      <c r="O3016">
        <v>232.5</v>
      </c>
    </row>
    <row r="3017" spans="1:15" x14ac:dyDescent="0.25">
      <c r="A3017" t="s">
        <v>4082</v>
      </c>
      <c r="B3017" s="2">
        <v>48673</v>
      </c>
      <c r="C3017" t="s">
        <v>1731</v>
      </c>
      <c r="D3017" t="s">
        <v>1732</v>
      </c>
      <c r="E3017" t="s">
        <v>96</v>
      </c>
      <c r="F3017" t="s">
        <v>196</v>
      </c>
      <c r="G3017" t="s">
        <v>57</v>
      </c>
      <c r="H3017" t="s">
        <v>58</v>
      </c>
      <c r="I3017" t="s">
        <v>59</v>
      </c>
      <c r="J3017">
        <v>2</v>
      </c>
      <c r="K3017">
        <v>5600</v>
      </c>
      <c r="L3017">
        <v>0.1</v>
      </c>
      <c r="M3017">
        <v>10080</v>
      </c>
      <c r="N3017">
        <v>7800</v>
      </c>
      <c r="O3017">
        <v>2280</v>
      </c>
    </row>
    <row r="3018" spans="1:15" x14ac:dyDescent="0.25">
      <c r="A3018" t="s">
        <v>4083</v>
      </c>
      <c r="B3018" s="2">
        <v>48674</v>
      </c>
      <c r="C3018" t="s">
        <v>281</v>
      </c>
      <c r="D3018" t="s">
        <v>282</v>
      </c>
      <c r="E3018" t="s">
        <v>26</v>
      </c>
      <c r="F3018" t="s">
        <v>34</v>
      </c>
      <c r="G3018" t="s">
        <v>51</v>
      </c>
      <c r="H3018" t="s">
        <v>21</v>
      </c>
      <c r="I3018" t="s">
        <v>116</v>
      </c>
      <c r="J3018">
        <v>4</v>
      </c>
      <c r="K3018">
        <v>1400</v>
      </c>
      <c r="L3018">
        <v>0.1</v>
      </c>
      <c r="M3018">
        <v>5040</v>
      </c>
      <c r="N3018">
        <v>3600</v>
      </c>
      <c r="O3018">
        <v>1440</v>
      </c>
    </row>
    <row r="3019" spans="1:15" x14ac:dyDescent="0.25">
      <c r="A3019" t="s">
        <v>4084</v>
      </c>
      <c r="B3019" s="2">
        <v>48675</v>
      </c>
      <c r="C3019" t="s">
        <v>1049</v>
      </c>
      <c r="D3019" t="s">
        <v>1050</v>
      </c>
      <c r="E3019" t="s">
        <v>26</v>
      </c>
      <c r="F3019" t="s">
        <v>128</v>
      </c>
      <c r="G3019" t="s">
        <v>51</v>
      </c>
      <c r="H3019" t="s">
        <v>21</v>
      </c>
      <c r="I3019" t="s">
        <v>72</v>
      </c>
      <c r="J3019">
        <v>4</v>
      </c>
      <c r="K3019">
        <v>1800</v>
      </c>
      <c r="L3019">
        <v>0</v>
      </c>
      <c r="M3019">
        <v>7200</v>
      </c>
      <c r="N3019">
        <v>4400</v>
      </c>
      <c r="O3019">
        <v>2800</v>
      </c>
    </row>
    <row r="3020" spans="1:15" x14ac:dyDescent="0.25">
      <c r="A3020" t="s">
        <v>4085</v>
      </c>
      <c r="B3020" s="2">
        <v>48676</v>
      </c>
      <c r="C3020" t="s">
        <v>1682</v>
      </c>
      <c r="D3020" t="s">
        <v>1683</v>
      </c>
      <c r="E3020" t="s">
        <v>18</v>
      </c>
      <c r="F3020" t="s">
        <v>19</v>
      </c>
      <c r="G3020" t="s">
        <v>28</v>
      </c>
      <c r="H3020" t="s">
        <v>29</v>
      </c>
      <c r="I3020" t="s">
        <v>30</v>
      </c>
      <c r="J3020">
        <v>1</v>
      </c>
      <c r="K3020">
        <v>1900</v>
      </c>
      <c r="L3020">
        <v>0.15</v>
      </c>
      <c r="M3020">
        <v>1615</v>
      </c>
      <c r="N3020">
        <v>1250</v>
      </c>
      <c r="O3020">
        <v>365</v>
      </c>
    </row>
    <row r="3021" spans="1:15" x14ac:dyDescent="0.25">
      <c r="A3021" t="s">
        <v>4086</v>
      </c>
      <c r="B3021" s="2">
        <v>48677</v>
      </c>
      <c r="C3021" t="s">
        <v>700</v>
      </c>
      <c r="D3021" t="s">
        <v>701</v>
      </c>
      <c r="E3021" t="s">
        <v>39</v>
      </c>
      <c r="F3021" t="s">
        <v>71</v>
      </c>
      <c r="G3021" t="s">
        <v>51</v>
      </c>
      <c r="H3021" t="s">
        <v>21</v>
      </c>
      <c r="I3021" t="s">
        <v>116</v>
      </c>
      <c r="J3021">
        <v>4</v>
      </c>
      <c r="K3021">
        <v>1400</v>
      </c>
      <c r="L3021">
        <v>0.05</v>
      </c>
      <c r="M3021">
        <v>5320</v>
      </c>
      <c r="N3021">
        <v>3600</v>
      </c>
      <c r="O3021">
        <v>1720</v>
      </c>
    </row>
    <row r="3022" spans="1:15" x14ac:dyDescent="0.25">
      <c r="A3022" t="s">
        <v>4087</v>
      </c>
      <c r="B3022" s="2">
        <v>48678</v>
      </c>
      <c r="C3022" t="s">
        <v>241</v>
      </c>
      <c r="D3022" t="s">
        <v>242</v>
      </c>
      <c r="E3022" t="s">
        <v>26</v>
      </c>
      <c r="F3022" t="s">
        <v>34</v>
      </c>
      <c r="G3022" t="s">
        <v>57</v>
      </c>
      <c r="H3022" t="s">
        <v>104</v>
      </c>
      <c r="I3022" t="s">
        <v>105</v>
      </c>
      <c r="J3022">
        <v>4</v>
      </c>
      <c r="K3022">
        <v>7500</v>
      </c>
      <c r="L3022">
        <v>0</v>
      </c>
      <c r="M3022">
        <v>30000</v>
      </c>
      <c r="N3022">
        <v>20800</v>
      </c>
      <c r="O3022">
        <v>9200</v>
      </c>
    </row>
    <row r="3023" spans="1:15" x14ac:dyDescent="0.25">
      <c r="A3023" t="s">
        <v>4088</v>
      </c>
      <c r="B3023" s="2">
        <v>48679</v>
      </c>
      <c r="C3023" t="s">
        <v>1117</v>
      </c>
      <c r="D3023" t="s">
        <v>1118</v>
      </c>
      <c r="E3023" t="s">
        <v>26</v>
      </c>
      <c r="F3023" t="s">
        <v>46</v>
      </c>
      <c r="G3023" t="s">
        <v>20</v>
      </c>
      <c r="H3023" t="s">
        <v>41</v>
      </c>
      <c r="I3023" t="s">
        <v>42</v>
      </c>
      <c r="J3023">
        <v>3</v>
      </c>
      <c r="K3023">
        <v>520</v>
      </c>
      <c r="L3023">
        <v>0</v>
      </c>
      <c r="M3023">
        <v>1560</v>
      </c>
      <c r="N3023">
        <v>990</v>
      </c>
      <c r="O3023">
        <v>570</v>
      </c>
    </row>
    <row r="3024" spans="1:15" x14ac:dyDescent="0.25">
      <c r="A3024" t="s">
        <v>4089</v>
      </c>
      <c r="B3024" s="2">
        <v>48680</v>
      </c>
      <c r="C3024" t="s">
        <v>2102</v>
      </c>
      <c r="D3024" t="s">
        <v>2103</v>
      </c>
      <c r="E3024" t="s">
        <v>18</v>
      </c>
      <c r="F3024" t="s">
        <v>115</v>
      </c>
      <c r="G3024" t="s">
        <v>20</v>
      </c>
      <c r="H3024" t="s">
        <v>41</v>
      </c>
      <c r="I3024" t="s">
        <v>42</v>
      </c>
      <c r="J3024">
        <v>1</v>
      </c>
      <c r="K3024">
        <v>520</v>
      </c>
      <c r="L3024">
        <v>0.05</v>
      </c>
      <c r="M3024">
        <v>494</v>
      </c>
      <c r="N3024">
        <v>330</v>
      </c>
      <c r="O3024">
        <v>164</v>
      </c>
    </row>
    <row r="3025" spans="1:15" x14ac:dyDescent="0.25">
      <c r="A3025" t="s">
        <v>4090</v>
      </c>
      <c r="B3025" s="2">
        <v>48681</v>
      </c>
      <c r="C3025" t="s">
        <v>787</v>
      </c>
      <c r="D3025" t="s">
        <v>788</v>
      </c>
      <c r="E3025" t="s">
        <v>18</v>
      </c>
      <c r="F3025" t="s">
        <v>227</v>
      </c>
      <c r="G3025" t="s">
        <v>57</v>
      </c>
      <c r="H3025" t="s">
        <v>58</v>
      </c>
      <c r="I3025" t="s">
        <v>59</v>
      </c>
      <c r="J3025">
        <v>4</v>
      </c>
      <c r="K3025">
        <v>5600</v>
      </c>
      <c r="L3025">
        <v>0</v>
      </c>
      <c r="M3025">
        <v>22400</v>
      </c>
      <c r="N3025">
        <v>15600</v>
      </c>
      <c r="O3025">
        <v>6800</v>
      </c>
    </row>
    <row r="3026" spans="1:15" x14ac:dyDescent="0.25">
      <c r="A3026" t="s">
        <v>4091</v>
      </c>
      <c r="B3026" s="2">
        <v>48682</v>
      </c>
      <c r="C3026" t="s">
        <v>744</v>
      </c>
      <c r="D3026" t="s">
        <v>745</v>
      </c>
      <c r="E3026" t="s">
        <v>39</v>
      </c>
      <c r="F3026" t="s">
        <v>40</v>
      </c>
      <c r="G3026" t="s">
        <v>20</v>
      </c>
      <c r="H3026" t="s">
        <v>21</v>
      </c>
      <c r="I3026" t="s">
        <v>22</v>
      </c>
      <c r="J3026">
        <v>1</v>
      </c>
      <c r="K3026">
        <v>650</v>
      </c>
      <c r="L3026">
        <v>0.05</v>
      </c>
      <c r="M3026">
        <v>617.5</v>
      </c>
      <c r="N3026">
        <v>390</v>
      </c>
      <c r="O3026">
        <v>227.5</v>
      </c>
    </row>
    <row r="3027" spans="1:15" x14ac:dyDescent="0.25">
      <c r="A3027" t="s">
        <v>4092</v>
      </c>
      <c r="B3027" s="2">
        <v>48683</v>
      </c>
      <c r="C3027" t="s">
        <v>527</v>
      </c>
      <c r="D3027" t="s">
        <v>528</v>
      </c>
      <c r="E3027" t="s">
        <v>18</v>
      </c>
      <c r="F3027" t="s">
        <v>19</v>
      </c>
      <c r="G3027" t="s">
        <v>51</v>
      </c>
      <c r="H3027" t="s">
        <v>89</v>
      </c>
      <c r="I3027" t="s">
        <v>90</v>
      </c>
      <c r="J3027">
        <v>2</v>
      </c>
      <c r="K3027">
        <v>10500</v>
      </c>
      <c r="L3027">
        <v>0.1</v>
      </c>
      <c r="M3027">
        <v>18900</v>
      </c>
      <c r="N3027">
        <v>15200</v>
      </c>
      <c r="O3027">
        <v>3700</v>
      </c>
    </row>
    <row r="3028" spans="1:15" x14ac:dyDescent="0.25">
      <c r="A3028" t="s">
        <v>4093</v>
      </c>
      <c r="B3028" s="2">
        <v>48684</v>
      </c>
      <c r="C3028" t="s">
        <v>860</v>
      </c>
      <c r="D3028" t="s">
        <v>861</v>
      </c>
      <c r="E3028" t="s">
        <v>26</v>
      </c>
      <c r="F3028" t="s">
        <v>204</v>
      </c>
      <c r="G3028" t="s">
        <v>28</v>
      </c>
      <c r="H3028" t="s">
        <v>63</v>
      </c>
      <c r="I3028" t="s">
        <v>64</v>
      </c>
      <c r="J3028">
        <v>5</v>
      </c>
      <c r="K3028">
        <v>2400</v>
      </c>
      <c r="L3028">
        <v>0.1</v>
      </c>
      <c r="M3028">
        <v>10800</v>
      </c>
      <c r="N3028">
        <v>8250</v>
      </c>
      <c r="O3028">
        <v>2550</v>
      </c>
    </row>
    <row r="3029" spans="1:15" x14ac:dyDescent="0.25">
      <c r="A3029" t="s">
        <v>4094</v>
      </c>
      <c r="B3029" s="2">
        <v>48685</v>
      </c>
      <c r="C3029" t="s">
        <v>824</v>
      </c>
      <c r="D3029" t="s">
        <v>825</v>
      </c>
      <c r="E3029" t="s">
        <v>39</v>
      </c>
      <c r="F3029" t="s">
        <v>40</v>
      </c>
      <c r="G3029" t="s">
        <v>20</v>
      </c>
      <c r="H3029" t="s">
        <v>84</v>
      </c>
      <c r="I3029" t="s">
        <v>210</v>
      </c>
      <c r="J3029">
        <v>4</v>
      </c>
      <c r="K3029">
        <v>300</v>
      </c>
      <c r="L3029">
        <v>0.1</v>
      </c>
      <c r="M3029">
        <v>1080</v>
      </c>
      <c r="N3029">
        <v>680</v>
      </c>
      <c r="O3029">
        <v>400</v>
      </c>
    </row>
    <row r="3030" spans="1:15" x14ac:dyDescent="0.25">
      <c r="A3030" t="s">
        <v>4095</v>
      </c>
      <c r="B3030" s="2">
        <v>48686</v>
      </c>
      <c r="C3030" t="s">
        <v>1308</v>
      </c>
      <c r="D3030" t="s">
        <v>1309</v>
      </c>
      <c r="E3030" t="s">
        <v>39</v>
      </c>
      <c r="F3030" t="s">
        <v>71</v>
      </c>
      <c r="G3030" t="s">
        <v>20</v>
      </c>
      <c r="H3030" t="s">
        <v>84</v>
      </c>
      <c r="I3030" t="s">
        <v>169</v>
      </c>
      <c r="J3030">
        <v>2</v>
      </c>
      <c r="K3030">
        <v>450</v>
      </c>
      <c r="L3030">
        <v>0.2</v>
      </c>
      <c r="M3030">
        <v>720</v>
      </c>
      <c r="N3030">
        <v>520</v>
      </c>
      <c r="O3030">
        <v>200</v>
      </c>
    </row>
    <row r="3031" spans="1:15" x14ac:dyDescent="0.25">
      <c r="A3031" t="s">
        <v>4096</v>
      </c>
      <c r="B3031" s="2">
        <v>48687</v>
      </c>
      <c r="C3031" t="s">
        <v>453</v>
      </c>
      <c r="D3031" t="s">
        <v>454</v>
      </c>
      <c r="E3031" t="s">
        <v>18</v>
      </c>
      <c r="F3031" t="s">
        <v>115</v>
      </c>
      <c r="G3031" t="s">
        <v>51</v>
      </c>
      <c r="H3031" t="s">
        <v>89</v>
      </c>
      <c r="I3031" t="s">
        <v>90</v>
      </c>
      <c r="J3031">
        <v>2</v>
      </c>
      <c r="K3031">
        <v>10500</v>
      </c>
      <c r="L3031">
        <v>0.1</v>
      </c>
      <c r="M3031">
        <v>18900</v>
      </c>
      <c r="N3031">
        <v>15200</v>
      </c>
      <c r="O3031">
        <v>3700</v>
      </c>
    </row>
    <row r="3032" spans="1:15" x14ac:dyDescent="0.25">
      <c r="A3032" t="s">
        <v>4097</v>
      </c>
      <c r="B3032" s="2">
        <v>48688</v>
      </c>
      <c r="C3032" t="s">
        <v>360</v>
      </c>
      <c r="D3032" t="s">
        <v>361</v>
      </c>
      <c r="E3032" t="s">
        <v>18</v>
      </c>
      <c r="F3032" t="s">
        <v>115</v>
      </c>
      <c r="G3032" t="s">
        <v>20</v>
      </c>
      <c r="H3032" t="s">
        <v>84</v>
      </c>
      <c r="I3032" t="s">
        <v>169</v>
      </c>
      <c r="J3032">
        <v>5</v>
      </c>
      <c r="K3032">
        <v>450</v>
      </c>
      <c r="L3032">
        <v>0</v>
      </c>
      <c r="M3032">
        <v>2250</v>
      </c>
      <c r="N3032">
        <v>1300</v>
      </c>
      <c r="O3032">
        <v>950</v>
      </c>
    </row>
    <row r="3033" spans="1:15" x14ac:dyDescent="0.25">
      <c r="A3033" t="s">
        <v>4098</v>
      </c>
      <c r="B3033" s="2">
        <v>48689</v>
      </c>
      <c r="C3033" t="s">
        <v>1299</v>
      </c>
      <c r="D3033" t="s">
        <v>1300</v>
      </c>
      <c r="E3033" t="s">
        <v>96</v>
      </c>
      <c r="F3033" t="s">
        <v>97</v>
      </c>
      <c r="G3033" t="s">
        <v>20</v>
      </c>
      <c r="H3033" t="s">
        <v>21</v>
      </c>
      <c r="I3033" t="s">
        <v>22</v>
      </c>
      <c r="J3033">
        <v>4</v>
      </c>
      <c r="K3033">
        <v>650</v>
      </c>
      <c r="L3033">
        <v>0.2</v>
      </c>
      <c r="M3033">
        <v>2080</v>
      </c>
      <c r="N3033">
        <v>1560</v>
      </c>
      <c r="O3033">
        <v>520</v>
      </c>
    </row>
    <row r="3034" spans="1:15" x14ac:dyDescent="0.25">
      <c r="A3034" t="s">
        <v>4099</v>
      </c>
      <c r="B3034" s="2">
        <v>48690</v>
      </c>
      <c r="C3034" t="s">
        <v>177</v>
      </c>
      <c r="D3034" t="s">
        <v>178</v>
      </c>
      <c r="E3034" t="s">
        <v>26</v>
      </c>
      <c r="F3034" t="s">
        <v>34</v>
      </c>
      <c r="G3034" t="s">
        <v>51</v>
      </c>
      <c r="H3034" t="s">
        <v>21</v>
      </c>
      <c r="I3034" t="s">
        <v>80</v>
      </c>
      <c r="J3034">
        <v>2</v>
      </c>
      <c r="K3034">
        <v>850</v>
      </c>
      <c r="L3034">
        <v>0.25</v>
      </c>
      <c r="M3034">
        <v>1275</v>
      </c>
      <c r="N3034">
        <v>1120</v>
      </c>
      <c r="O3034">
        <v>155</v>
      </c>
    </row>
    <row r="3035" spans="1:15" x14ac:dyDescent="0.25">
      <c r="A3035" t="s">
        <v>4100</v>
      </c>
      <c r="B3035" s="2">
        <v>48691</v>
      </c>
      <c r="C3035" t="s">
        <v>472</v>
      </c>
      <c r="D3035" t="s">
        <v>473</v>
      </c>
      <c r="E3035" t="s">
        <v>96</v>
      </c>
      <c r="F3035" t="s">
        <v>196</v>
      </c>
      <c r="G3035" t="s">
        <v>51</v>
      </c>
      <c r="H3035" t="s">
        <v>21</v>
      </c>
      <c r="I3035" t="s">
        <v>72</v>
      </c>
      <c r="J3035">
        <v>4</v>
      </c>
      <c r="K3035">
        <v>1800</v>
      </c>
      <c r="L3035">
        <v>0.05</v>
      </c>
      <c r="M3035">
        <v>6840</v>
      </c>
      <c r="N3035">
        <v>4400</v>
      </c>
      <c r="O3035">
        <v>2440</v>
      </c>
    </row>
    <row r="3036" spans="1:15" x14ac:dyDescent="0.25">
      <c r="A3036" t="s">
        <v>4101</v>
      </c>
      <c r="B3036" s="2">
        <v>48692</v>
      </c>
      <c r="C3036" t="s">
        <v>1731</v>
      </c>
      <c r="D3036" t="s">
        <v>1732</v>
      </c>
      <c r="E3036" t="s">
        <v>39</v>
      </c>
      <c r="F3036" t="s">
        <v>71</v>
      </c>
      <c r="G3036" t="s">
        <v>51</v>
      </c>
      <c r="H3036" t="s">
        <v>52</v>
      </c>
      <c r="I3036" t="s">
        <v>53</v>
      </c>
      <c r="J3036">
        <v>5</v>
      </c>
      <c r="K3036">
        <v>2200</v>
      </c>
      <c r="L3036">
        <v>0.25</v>
      </c>
      <c r="M3036">
        <v>8250</v>
      </c>
      <c r="N3036">
        <v>7250</v>
      </c>
      <c r="O3036">
        <v>1000</v>
      </c>
    </row>
    <row r="3037" spans="1:15" x14ac:dyDescent="0.25">
      <c r="A3037" t="s">
        <v>4102</v>
      </c>
      <c r="B3037" s="2">
        <v>48693</v>
      </c>
      <c r="C3037" t="s">
        <v>456</v>
      </c>
      <c r="D3037" t="s">
        <v>457</v>
      </c>
      <c r="E3037" t="s">
        <v>26</v>
      </c>
      <c r="F3037" t="s">
        <v>128</v>
      </c>
      <c r="G3037" t="s">
        <v>28</v>
      </c>
      <c r="H3037" t="s">
        <v>63</v>
      </c>
      <c r="I3037" t="s">
        <v>64</v>
      </c>
      <c r="J3037">
        <v>1</v>
      </c>
      <c r="K3037">
        <v>2400</v>
      </c>
      <c r="L3037">
        <v>0.1</v>
      </c>
      <c r="M3037">
        <v>2160</v>
      </c>
      <c r="N3037">
        <v>1650</v>
      </c>
      <c r="O3037">
        <v>510</v>
      </c>
    </row>
    <row r="3038" spans="1:15" x14ac:dyDescent="0.25">
      <c r="A3038" t="s">
        <v>4103</v>
      </c>
      <c r="B3038" s="2">
        <v>48694</v>
      </c>
      <c r="C3038" t="s">
        <v>1745</v>
      </c>
      <c r="D3038" t="s">
        <v>1746</v>
      </c>
      <c r="E3038" t="s">
        <v>96</v>
      </c>
      <c r="F3038" t="s">
        <v>200</v>
      </c>
      <c r="G3038" t="s">
        <v>51</v>
      </c>
      <c r="H3038" t="s">
        <v>21</v>
      </c>
      <c r="I3038" t="s">
        <v>116</v>
      </c>
      <c r="J3038">
        <v>5</v>
      </c>
      <c r="K3038">
        <v>1400</v>
      </c>
      <c r="L3038">
        <v>0.2</v>
      </c>
      <c r="M3038">
        <v>5600</v>
      </c>
      <c r="N3038">
        <v>4500</v>
      </c>
      <c r="O3038">
        <v>1100</v>
      </c>
    </row>
    <row r="3039" spans="1:15" x14ac:dyDescent="0.25">
      <c r="A3039" t="s">
        <v>4104</v>
      </c>
      <c r="B3039" s="2">
        <v>48695</v>
      </c>
      <c r="C3039" t="s">
        <v>375</v>
      </c>
      <c r="D3039" t="s">
        <v>376</v>
      </c>
      <c r="E3039" t="s">
        <v>26</v>
      </c>
      <c r="F3039" t="s">
        <v>128</v>
      </c>
      <c r="G3039" t="s">
        <v>51</v>
      </c>
      <c r="H3039" t="s">
        <v>21</v>
      </c>
      <c r="I3039" t="s">
        <v>80</v>
      </c>
      <c r="J3039">
        <v>1</v>
      </c>
      <c r="K3039">
        <v>850</v>
      </c>
      <c r="L3039">
        <v>0.25</v>
      </c>
      <c r="M3039">
        <v>637.5</v>
      </c>
      <c r="N3039">
        <v>560</v>
      </c>
      <c r="O3039">
        <v>77.5</v>
      </c>
    </row>
    <row r="3040" spans="1:15" x14ac:dyDescent="0.25">
      <c r="A3040" t="s">
        <v>4105</v>
      </c>
      <c r="B3040" s="2">
        <v>48696</v>
      </c>
      <c r="C3040" t="s">
        <v>381</v>
      </c>
      <c r="D3040" t="s">
        <v>382</v>
      </c>
      <c r="E3040" t="s">
        <v>26</v>
      </c>
      <c r="F3040" t="s">
        <v>128</v>
      </c>
      <c r="G3040" t="s">
        <v>28</v>
      </c>
      <c r="H3040" t="s">
        <v>63</v>
      </c>
      <c r="I3040" t="s">
        <v>64</v>
      </c>
      <c r="J3040">
        <v>2</v>
      </c>
      <c r="K3040">
        <v>2400</v>
      </c>
      <c r="L3040">
        <v>0.15</v>
      </c>
      <c r="M3040">
        <v>4080</v>
      </c>
      <c r="N3040">
        <v>3300</v>
      </c>
      <c r="O3040">
        <v>780</v>
      </c>
    </row>
    <row r="3041" spans="1:15" x14ac:dyDescent="0.25">
      <c r="A3041" t="s">
        <v>4106</v>
      </c>
      <c r="B3041" s="2">
        <v>48697</v>
      </c>
      <c r="C3041" t="s">
        <v>1167</v>
      </c>
      <c r="D3041" t="s">
        <v>1168</v>
      </c>
      <c r="E3041" t="s">
        <v>96</v>
      </c>
      <c r="F3041" t="s">
        <v>97</v>
      </c>
      <c r="G3041" t="s">
        <v>51</v>
      </c>
      <c r="H3041" t="s">
        <v>89</v>
      </c>
      <c r="I3041" t="s">
        <v>90</v>
      </c>
      <c r="J3041">
        <v>2</v>
      </c>
      <c r="K3041">
        <v>10500</v>
      </c>
      <c r="L3041">
        <v>0.15</v>
      </c>
      <c r="M3041">
        <v>17850</v>
      </c>
      <c r="N3041">
        <v>15200</v>
      </c>
      <c r="O3041">
        <v>2650</v>
      </c>
    </row>
    <row r="3042" spans="1:15" x14ac:dyDescent="0.25">
      <c r="A3042" t="s">
        <v>4107</v>
      </c>
      <c r="B3042" s="2">
        <v>48698</v>
      </c>
      <c r="C3042" t="s">
        <v>1259</v>
      </c>
      <c r="D3042" t="s">
        <v>1260</v>
      </c>
      <c r="E3042" t="s">
        <v>26</v>
      </c>
      <c r="F3042" t="s">
        <v>128</v>
      </c>
      <c r="G3042" t="s">
        <v>51</v>
      </c>
      <c r="H3042" t="s">
        <v>52</v>
      </c>
      <c r="I3042" t="s">
        <v>208</v>
      </c>
      <c r="J3042">
        <v>2</v>
      </c>
      <c r="K3042">
        <v>2800</v>
      </c>
      <c r="L3042">
        <v>0</v>
      </c>
      <c r="M3042">
        <v>5600</v>
      </c>
      <c r="N3042">
        <v>3600</v>
      </c>
      <c r="O3042">
        <v>2000</v>
      </c>
    </row>
    <row r="3043" spans="1:15" x14ac:dyDescent="0.25">
      <c r="A3043" t="s">
        <v>4108</v>
      </c>
      <c r="B3043" s="2">
        <v>48699</v>
      </c>
      <c r="C3043" t="s">
        <v>126</v>
      </c>
      <c r="D3043" t="s">
        <v>127</v>
      </c>
      <c r="E3043" t="s">
        <v>39</v>
      </c>
      <c r="F3043" t="s">
        <v>76</v>
      </c>
      <c r="G3043" t="s">
        <v>57</v>
      </c>
      <c r="H3043" t="s">
        <v>188</v>
      </c>
      <c r="I3043" t="s">
        <v>189</v>
      </c>
      <c r="J3043">
        <v>5</v>
      </c>
      <c r="K3043">
        <v>6200</v>
      </c>
      <c r="L3043">
        <v>0.15</v>
      </c>
      <c r="M3043">
        <v>26350</v>
      </c>
      <c r="N3043">
        <v>21500</v>
      </c>
      <c r="O3043">
        <v>4850</v>
      </c>
    </row>
    <row r="3044" spans="1:15" x14ac:dyDescent="0.25">
      <c r="A3044" t="s">
        <v>4109</v>
      </c>
      <c r="B3044" s="2">
        <v>48700</v>
      </c>
      <c r="C3044" t="s">
        <v>122</v>
      </c>
      <c r="D3044" t="s">
        <v>123</v>
      </c>
      <c r="E3044" t="s">
        <v>39</v>
      </c>
      <c r="F3044" t="s">
        <v>71</v>
      </c>
      <c r="G3044" t="s">
        <v>28</v>
      </c>
      <c r="H3044" t="s">
        <v>29</v>
      </c>
      <c r="I3044" t="s">
        <v>47</v>
      </c>
      <c r="J3044">
        <v>4</v>
      </c>
      <c r="K3044">
        <v>6800</v>
      </c>
      <c r="L3044">
        <v>0</v>
      </c>
      <c r="M3044">
        <v>27200</v>
      </c>
      <c r="N3044">
        <v>18800</v>
      </c>
      <c r="O3044">
        <v>8400</v>
      </c>
    </row>
    <row r="3045" spans="1:15" x14ac:dyDescent="0.25">
      <c r="A3045" t="s">
        <v>4110</v>
      </c>
      <c r="B3045" s="2">
        <v>48701</v>
      </c>
      <c r="C3045" t="s">
        <v>926</v>
      </c>
      <c r="D3045" t="s">
        <v>927</v>
      </c>
      <c r="E3045" t="s">
        <v>39</v>
      </c>
      <c r="F3045" t="s">
        <v>124</v>
      </c>
      <c r="G3045" t="s">
        <v>28</v>
      </c>
      <c r="H3045" t="s">
        <v>29</v>
      </c>
      <c r="I3045" t="s">
        <v>47</v>
      </c>
      <c r="J3045">
        <v>5</v>
      </c>
      <c r="K3045">
        <v>6800</v>
      </c>
      <c r="L3045">
        <v>0.1</v>
      </c>
      <c r="M3045">
        <v>30600</v>
      </c>
      <c r="N3045">
        <v>23500</v>
      </c>
      <c r="O3045">
        <v>7100</v>
      </c>
    </row>
    <row r="3046" spans="1:15" x14ac:dyDescent="0.25">
      <c r="A3046" t="s">
        <v>4111</v>
      </c>
      <c r="B3046" s="2">
        <v>48702</v>
      </c>
      <c r="C3046" t="s">
        <v>229</v>
      </c>
      <c r="D3046" t="s">
        <v>230</v>
      </c>
      <c r="E3046" t="s">
        <v>26</v>
      </c>
      <c r="F3046" t="s">
        <v>34</v>
      </c>
      <c r="G3046" t="s">
        <v>20</v>
      </c>
      <c r="H3046" t="s">
        <v>84</v>
      </c>
      <c r="I3046" t="s">
        <v>169</v>
      </c>
      <c r="J3046">
        <v>3</v>
      </c>
      <c r="K3046">
        <v>450</v>
      </c>
      <c r="L3046">
        <v>0</v>
      </c>
      <c r="M3046">
        <v>1350</v>
      </c>
      <c r="N3046">
        <v>780</v>
      </c>
      <c r="O3046">
        <v>570</v>
      </c>
    </row>
    <row r="3047" spans="1:15" x14ac:dyDescent="0.25">
      <c r="A3047" t="s">
        <v>4112</v>
      </c>
      <c r="B3047" s="2">
        <v>48703</v>
      </c>
      <c r="C3047" t="s">
        <v>278</v>
      </c>
      <c r="D3047" t="s">
        <v>279</v>
      </c>
      <c r="E3047" t="s">
        <v>26</v>
      </c>
      <c r="F3047" t="s">
        <v>34</v>
      </c>
      <c r="G3047" t="s">
        <v>51</v>
      </c>
      <c r="H3047" t="s">
        <v>89</v>
      </c>
      <c r="I3047" t="s">
        <v>90</v>
      </c>
      <c r="J3047">
        <v>3</v>
      </c>
      <c r="K3047">
        <v>10500</v>
      </c>
      <c r="L3047">
        <v>0.2</v>
      </c>
      <c r="M3047">
        <v>25200</v>
      </c>
      <c r="N3047">
        <v>22800</v>
      </c>
      <c r="O3047">
        <v>2400</v>
      </c>
    </row>
    <row r="3048" spans="1:15" x14ac:dyDescent="0.25">
      <c r="A3048" t="s">
        <v>4113</v>
      </c>
      <c r="B3048" s="2">
        <v>48704</v>
      </c>
      <c r="C3048" t="s">
        <v>535</v>
      </c>
      <c r="D3048" t="s">
        <v>536</v>
      </c>
      <c r="E3048" t="s">
        <v>26</v>
      </c>
      <c r="F3048" t="s">
        <v>46</v>
      </c>
      <c r="G3048" t="s">
        <v>57</v>
      </c>
      <c r="H3048" t="s">
        <v>58</v>
      </c>
      <c r="I3048" t="s">
        <v>59</v>
      </c>
      <c r="J3048">
        <v>1</v>
      </c>
      <c r="K3048">
        <v>5600</v>
      </c>
      <c r="L3048">
        <v>0</v>
      </c>
      <c r="M3048">
        <v>5600</v>
      </c>
      <c r="N3048">
        <v>3900</v>
      </c>
      <c r="O3048">
        <v>1700</v>
      </c>
    </row>
    <row r="3049" spans="1:15" x14ac:dyDescent="0.25">
      <c r="A3049" t="s">
        <v>4114</v>
      </c>
      <c r="B3049" s="2">
        <v>48705</v>
      </c>
      <c r="C3049" t="s">
        <v>2052</v>
      </c>
      <c r="D3049" t="s">
        <v>2053</v>
      </c>
      <c r="E3049" t="s">
        <v>26</v>
      </c>
      <c r="F3049" t="s">
        <v>128</v>
      </c>
      <c r="G3049" t="s">
        <v>28</v>
      </c>
      <c r="H3049" t="s">
        <v>63</v>
      </c>
      <c r="I3049" t="s">
        <v>64</v>
      </c>
      <c r="J3049">
        <v>2</v>
      </c>
      <c r="K3049">
        <v>2400</v>
      </c>
      <c r="L3049">
        <v>0.05</v>
      </c>
      <c r="M3049">
        <v>4560</v>
      </c>
      <c r="N3049">
        <v>3300</v>
      </c>
      <c r="O3049">
        <v>1260</v>
      </c>
    </row>
    <row r="3050" spans="1:15" x14ac:dyDescent="0.25">
      <c r="A3050" t="s">
        <v>4115</v>
      </c>
      <c r="B3050" s="2">
        <v>48706</v>
      </c>
      <c r="C3050" t="s">
        <v>2022</v>
      </c>
      <c r="D3050" t="s">
        <v>2023</v>
      </c>
      <c r="E3050" t="s">
        <v>39</v>
      </c>
      <c r="F3050" t="s">
        <v>71</v>
      </c>
      <c r="G3050" t="s">
        <v>51</v>
      </c>
      <c r="H3050" t="s">
        <v>21</v>
      </c>
      <c r="I3050" t="s">
        <v>116</v>
      </c>
      <c r="J3050">
        <v>1</v>
      </c>
      <c r="K3050">
        <v>1400</v>
      </c>
      <c r="L3050">
        <v>0.25</v>
      </c>
      <c r="M3050">
        <v>1050</v>
      </c>
      <c r="N3050">
        <v>900</v>
      </c>
      <c r="O3050">
        <v>150</v>
      </c>
    </row>
    <row r="3051" spans="1:15" x14ac:dyDescent="0.25">
      <c r="A3051" t="s">
        <v>4116</v>
      </c>
      <c r="B3051" s="2">
        <v>48707</v>
      </c>
      <c r="C3051" t="s">
        <v>1724</v>
      </c>
      <c r="D3051" t="s">
        <v>1725</v>
      </c>
      <c r="E3051" t="s">
        <v>39</v>
      </c>
      <c r="F3051" t="s">
        <v>71</v>
      </c>
      <c r="G3051" t="s">
        <v>57</v>
      </c>
      <c r="H3051" t="s">
        <v>58</v>
      </c>
      <c r="I3051" t="s">
        <v>129</v>
      </c>
      <c r="J3051">
        <v>1</v>
      </c>
      <c r="K3051">
        <v>4800</v>
      </c>
      <c r="L3051">
        <v>0.15</v>
      </c>
      <c r="M3051">
        <v>4080</v>
      </c>
      <c r="N3051">
        <v>3300</v>
      </c>
      <c r="O3051">
        <v>780</v>
      </c>
    </row>
    <row r="3052" spans="1:15" x14ac:dyDescent="0.25">
      <c r="A3052" t="s">
        <v>4117</v>
      </c>
      <c r="B3052" s="2">
        <v>48708</v>
      </c>
      <c r="C3052" t="s">
        <v>796</v>
      </c>
      <c r="D3052" t="s">
        <v>797</v>
      </c>
      <c r="E3052" t="s">
        <v>18</v>
      </c>
      <c r="F3052" t="s">
        <v>115</v>
      </c>
      <c r="G3052" t="s">
        <v>51</v>
      </c>
      <c r="H3052" t="s">
        <v>89</v>
      </c>
      <c r="I3052" t="s">
        <v>90</v>
      </c>
      <c r="J3052">
        <v>1</v>
      </c>
      <c r="K3052">
        <v>10500</v>
      </c>
      <c r="L3052">
        <v>0.2</v>
      </c>
      <c r="M3052">
        <v>8400</v>
      </c>
      <c r="N3052">
        <v>7600</v>
      </c>
      <c r="O3052">
        <v>800</v>
      </c>
    </row>
    <row r="3053" spans="1:15" x14ac:dyDescent="0.25">
      <c r="A3053" t="s">
        <v>4118</v>
      </c>
      <c r="B3053" s="2">
        <v>48709</v>
      </c>
      <c r="C3053" t="s">
        <v>1671</v>
      </c>
      <c r="D3053" t="s">
        <v>1672</v>
      </c>
      <c r="E3053" t="s">
        <v>26</v>
      </c>
      <c r="F3053" t="s">
        <v>34</v>
      </c>
      <c r="G3053" t="s">
        <v>51</v>
      </c>
      <c r="H3053" t="s">
        <v>52</v>
      </c>
      <c r="I3053" t="s">
        <v>208</v>
      </c>
      <c r="J3053">
        <v>5</v>
      </c>
      <c r="K3053">
        <v>2800</v>
      </c>
      <c r="L3053">
        <v>0.2</v>
      </c>
      <c r="M3053">
        <v>11200</v>
      </c>
      <c r="N3053">
        <v>9000</v>
      </c>
      <c r="O3053">
        <v>2200</v>
      </c>
    </row>
    <row r="3054" spans="1:15" x14ac:dyDescent="0.25">
      <c r="A3054" t="s">
        <v>4119</v>
      </c>
      <c r="B3054" s="2">
        <v>48710</v>
      </c>
      <c r="C3054" t="s">
        <v>1480</v>
      </c>
      <c r="D3054" t="s">
        <v>1481</v>
      </c>
      <c r="E3054" t="s">
        <v>96</v>
      </c>
      <c r="F3054" t="s">
        <v>200</v>
      </c>
      <c r="G3054" t="s">
        <v>57</v>
      </c>
      <c r="H3054" t="s">
        <v>188</v>
      </c>
      <c r="I3054" t="s">
        <v>189</v>
      </c>
      <c r="J3054">
        <v>5</v>
      </c>
      <c r="K3054">
        <v>6200</v>
      </c>
      <c r="L3054">
        <v>0.15</v>
      </c>
      <c r="M3054">
        <v>26350</v>
      </c>
      <c r="N3054">
        <v>21500</v>
      </c>
      <c r="O3054">
        <v>4850</v>
      </c>
    </row>
    <row r="3055" spans="1:15" x14ac:dyDescent="0.25">
      <c r="A3055" t="s">
        <v>4120</v>
      </c>
      <c r="B3055" s="2">
        <v>48711</v>
      </c>
      <c r="C3055" t="s">
        <v>1750</v>
      </c>
      <c r="D3055" t="s">
        <v>1751</v>
      </c>
      <c r="E3055" t="s">
        <v>26</v>
      </c>
      <c r="F3055" t="s">
        <v>128</v>
      </c>
      <c r="G3055" t="s">
        <v>51</v>
      </c>
      <c r="H3055" t="s">
        <v>52</v>
      </c>
      <c r="I3055" t="s">
        <v>53</v>
      </c>
      <c r="J3055">
        <v>3</v>
      </c>
      <c r="K3055">
        <v>2200</v>
      </c>
      <c r="L3055">
        <v>0.1</v>
      </c>
      <c r="M3055">
        <v>5940</v>
      </c>
      <c r="N3055">
        <v>4350</v>
      </c>
      <c r="O3055">
        <v>1590</v>
      </c>
    </row>
    <row r="3056" spans="1:15" x14ac:dyDescent="0.25">
      <c r="A3056" t="s">
        <v>4121</v>
      </c>
      <c r="B3056" s="2">
        <v>48712</v>
      </c>
      <c r="C3056" t="s">
        <v>69</v>
      </c>
      <c r="D3056" t="s">
        <v>70</v>
      </c>
      <c r="E3056" t="s">
        <v>39</v>
      </c>
      <c r="F3056" t="s">
        <v>71</v>
      </c>
      <c r="G3056" t="s">
        <v>20</v>
      </c>
      <c r="H3056" t="s">
        <v>84</v>
      </c>
      <c r="I3056" t="s">
        <v>85</v>
      </c>
      <c r="J3056">
        <v>2</v>
      </c>
      <c r="K3056">
        <v>280</v>
      </c>
      <c r="L3056">
        <v>0.05</v>
      </c>
      <c r="M3056">
        <v>532</v>
      </c>
      <c r="N3056">
        <v>320</v>
      </c>
      <c r="O3056">
        <v>212</v>
      </c>
    </row>
    <row r="3057" spans="1:15" x14ac:dyDescent="0.25">
      <c r="A3057" t="s">
        <v>4122</v>
      </c>
      <c r="B3057" s="2">
        <v>48713</v>
      </c>
      <c r="C3057" t="s">
        <v>1538</v>
      </c>
      <c r="D3057" t="s">
        <v>1539</v>
      </c>
      <c r="E3057" t="s">
        <v>26</v>
      </c>
      <c r="F3057" t="s">
        <v>128</v>
      </c>
      <c r="G3057" t="s">
        <v>51</v>
      </c>
      <c r="H3057" t="s">
        <v>21</v>
      </c>
      <c r="I3057" t="s">
        <v>80</v>
      </c>
      <c r="J3057">
        <v>1</v>
      </c>
      <c r="K3057">
        <v>850</v>
      </c>
      <c r="L3057">
        <v>0.05</v>
      </c>
      <c r="M3057">
        <v>807.5</v>
      </c>
      <c r="N3057">
        <v>560</v>
      </c>
      <c r="O3057">
        <v>247.5</v>
      </c>
    </row>
    <row r="3058" spans="1:15" x14ac:dyDescent="0.25">
      <c r="A3058" t="s">
        <v>4123</v>
      </c>
      <c r="B3058" s="2">
        <v>48714</v>
      </c>
      <c r="C3058" t="s">
        <v>2008</v>
      </c>
      <c r="D3058" t="s">
        <v>2009</v>
      </c>
      <c r="E3058" t="s">
        <v>26</v>
      </c>
      <c r="F3058" t="s">
        <v>46</v>
      </c>
      <c r="G3058" t="s">
        <v>57</v>
      </c>
      <c r="H3058" t="s">
        <v>58</v>
      </c>
      <c r="I3058" t="s">
        <v>59</v>
      </c>
      <c r="J3058">
        <v>3</v>
      </c>
      <c r="K3058">
        <v>5600</v>
      </c>
      <c r="L3058">
        <v>0</v>
      </c>
      <c r="M3058">
        <v>16800</v>
      </c>
      <c r="N3058">
        <v>11700</v>
      </c>
      <c r="O3058">
        <v>5100</v>
      </c>
    </row>
    <row r="3059" spans="1:15" x14ac:dyDescent="0.25">
      <c r="A3059" t="s">
        <v>4124</v>
      </c>
      <c r="B3059" s="2">
        <v>48715</v>
      </c>
      <c r="C3059" t="s">
        <v>1259</v>
      </c>
      <c r="D3059" t="s">
        <v>1260</v>
      </c>
      <c r="E3059" t="s">
        <v>26</v>
      </c>
      <c r="F3059" t="s">
        <v>27</v>
      </c>
      <c r="G3059" t="s">
        <v>20</v>
      </c>
      <c r="H3059" t="s">
        <v>21</v>
      </c>
      <c r="I3059" t="s">
        <v>22</v>
      </c>
      <c r="J3059">
        <v>5</v>
      </c>
      <c r="K3059">
        <v>650</v>
      </c>
      <c r="L3059">
        <v>0.1</v>
      </c>
      <c r="M3059">
        <v>2925</v>
      </c>
      <c r="N3059">
        <v>1950</v>
      </c>
      <c r="O3059">
        <v>975</v>
      </c>
    </row>
    <row r="3060" spans="1:15" x14ac:dyDescent="0.25">
      <c r="A3060" t="s">
        <v>4125</v>
      </c>
      <c r="B3060" s="2">
        <v>48716</v>
      </c>
      <c r="C3060" t="s">
        <v>1641</v>
      </c>
      <c r="D3060" t="s">
        <v>1642</v>
      </c>
      <c r="E3060" t="s">
        <v>26</v>
      </c>
      <c r="F3060" t="s">
        <v>128</v>
      </c>
      <c r="G3060" t="s">
        <v>57</v>
      </c>
      <c r="H3060" t="s">
        <v>58</v>
      </c>
      <c r="I3060" t="s">
        <v>129</v>
      </c>
      <c r="J3060">
        <v>2</v>
      </c>
      <c r="K3060">
        <v>4800</v>
      </c>
      <c r="L3060">
        <v>0.15</v>
      </c>
      <c r="M3060">
        <v>8160</v>
      </c>
      <c r="N3060">
        <v>6600</v>
      </c>
      <c r="O3060">
        <v>1560</v>
      </c>
    </row>
    <row r="3061" spans="1:15" x14ac:dyDescent="0.25">
      <c r="A3061" t="s">
        <v>4126</v>
      </c>
      <c r="B3061" s="2">
        <v>48717</v>
      </c>
      <c r="C3061" t="s">
        <v>1104</v>
      </c>
      <c r="D3061" t="s">
        <v>1105</v>
      </c>
      <c r="E3061" t="s">
        <v>39</v>
      </c>
      <c r="F3061" t="s">
        <v>40</v>
      </c>
      <c r="G3061" t="s">
        <v>57</v>
      </c>
      <c r="H3061" t="s">
        <v>58</v>
      </c>
      <c r="I3061" t="s">
        <v>59</v>
      </c>
      <c r="J3061">
        <v>1</v>
      </c>
      <c r="K3061">
        <v>5600</v>
      </c>
      <c r="L3061">
        <v>0.2</v>
      </c>
      <c r="M3061">
        <v>4480</v>
      </c>
      <c r="N3061">
        <v>3900</v>
      </c>
      <c r="O3061">
        <v>580</v>
      </c>
    </row>
    <row r="3062" spans="1:15" x14ac:dyDescent="0.25">
      <c r="A3062" t="s">
        <v>4127</v>
      </c>
      <c r="B3062" s="2">
        <v>48718</v>
      </c>
      <c r="C3062" t="s">
        <v>2207</v>
      </c>
      <c r="D3062" t="s">
        <v>2208</v>
      </c>
      <c r="E3062" t="s">
        <v>96</v>
      </c>
      <c r="F3062" t="s">
        <v>196</v>
      </c>
      <c r="G3062" t="s">
        <v>57</v>
      </c>
      <c r="H3062" t="s">
        <v>58</v>
      </c>
      <c r="I3062" t="s">
        <v>129</v>
      </c>
      <c r="J3062">
        <v>5</v>
      </c>
      <c r="K3062">
        <v>4800</v>
      </c>
      <c r="L3062">
        <v>0.1</v>
      </c>
      <c r="M3062">
        <v>21600</v>
      </c>
      <c r="N3062">
        <v>16500</v>
      </c>
      <c r="O3062">
        <v>5100</v>
      </c>
    </row>
    <row r="3063" spans="1:15" x14ac:dyDescent="0.25">
      <c r="A3063" t="s">
        <v>4128</v>
      </c>
      <c r="B3063" s="2">
        <v>48719</v>
      </c>
      <c r="C3063" t="s">
        <v>1869</v>
      </c>
      <c r="D3063" t="s">
        <v>1870</v>
      </c>
      <c r="E3063" t="s">
        <v>96</v>
      </c>
      <c r="F3063" t="s">
        <v>120</v>
      </c>
      <c r="G3063" t="s">
        <v>57</v>
      </c>
      <c r="H3063" t="s">
        <v>104</v>
      </c>
      <c r="I3063" t="s">
        <v>105</v>
      </c>
      <c r="J3063">
        <v>3</v>
      </c>
      <c r="K3063">
        <v>7500</v>
      </c>
      <c r="L3063">
        <v>0.05</v>
      </c>
      <c r="M3063">
        <v>21375</v>
      </c>
      <c r="N3063">
        <v>15600</v>
      </c>
      <c r="O3063">
        <v>5775</v>
      </c>
    </row>
    <row r="3064" spans="1:15" x14ac:dyDescent="0.25">
      <c r="A3064" t="s">
        <v>4129</v>
      </c>
      <c r="B3064" s="2">
        <v>48720</v>
      </c>
      <c r="C3064" t="s">
        <v>941</v>
      </c>
      <c r="D3064" t="s">
        <v>942</v>
      </c>
      <c r="E3064" t="s">
        <v>26</v>
      </c>
      <c r="F3064" t="s">
        <v>27</v>
      </c>
      <c r="G3064" t="s">
        <v>20</v>
      </c>
      <c r="H3064" t="s">
        <v>84</v>
      </c>
      <c r="I3064" t="s">
        <v>85</v>
      </c>
      <c r="J3064">
        <v>4</v>
      </c>
      <c r="K3064">
        <v>280</v>
      </c>
      <c r="L3064">
        <v>0.15</v>
      </c>
      <c r="M3064">
        <v>952</v>
      </c>
      <c r="N3064">
        <v>640</v>
      </c>
      <c r="O3064">
        <v>312</v>
      </c>
    </row>
    <row r="3065" spans="1:15" x14ac:dyDescent="0.25">
      <c r="A3065" t="s">
        <v>4130</v>
      </c>
      <c r="B3065" s="2">
        <v>48721</v>
      </c>
      <c r="C3065" t="s">
        <v>708</v>
      </c>
      <c r="D3065" t="s">
        <v>709</v>
      </c>
      <c r="E3065" t="s">
        <v>18</v>
      </c>
      <c r="F3065" t="s">
        <v>115</v>
      </c>
      <c r="G3065" t="s">
        <v>20</v>
      </c>
      <c r="H3065" t="s">
        <v>84</v>
      </c>
      <c r="I3065" t="s">
        <v>169</v>
      </c>
      <c r="J3065">
        <v>4</v>
      </c>
      <c r="K3065">
        <v>450</v>
      </c>
      <c r="L3065">
        <v>0.15</v>
      </c>
      <c r="M3065">
        <v>1530</v>
      </c>
      <c r="N3065">
        <v>1040</v>
      </c>
      <c r="O3065">
        <v>490</v>
      </c>
    </row>
    <row r="3066" spans="1:15" x14ac:dyDescent="0.25">
      <c r="A3066" t="s">
        <v>4131</v>
      </c>
      <c r="B3066" s="2">
        <v>48722</v>
      </c>
      <c r="C3066" t="s">
        <v>305</v>
      </c>
      <c r="D3066" t="s">
        <v>306</v>
      </c>
      <c r="E3066" t="s">
        <v>18</v>
      </c>
      <c r="F3066" t="s">
        <v>19</v>
      </c>
      <c r="G3066" t="s">
        <v>28</v>
      </c>
      <c r="H3066" t="s">
        <v>29</v>
      </c>
      <c r="I3066" t="s">
        <v>30</v>
      </c>
      <c r="J3066">
        <v>4</v>
      </c>
      <c r="K3066">
        <v>1900</v>
      </c>
      <c r="L3066">
        <v>0.15</v>
      </c>
      <c r="M3066">
        <v>6460</v>
      </c>
      <c r="N3066">
        <v>5000</v>
      </c>
      <c r="O3066">
        <v>1460</v>
      </c>
    </row>
    <row r="3067" spans="1:15" x14ac:dyDescent="0.25">
      <c r="A3067" t="s">
        <v>4132</v>
      </c>
      <c r="B3067" s="2">
        <v>48723</v>
      </c>
      <c r="C3067" t="s">
        <v>821</v>
      </c>
      <c r="D3067" t="s">
        <v>822</v>
      </c>
      <c r="E3067" t="s">
        <v>96</v>
      </c>
      <c r="F3067" t="s">
        <v>120</v>
      </c>
      <c r="G3067" t="s">
        <v>28</v>
      </c>
      <c r="H3067" t="s">
        <v>29</v>
      </c>
      <c r="I3067" t="s">
        <v>30</v>
      </c>
      <c r="J3067">
        <v>3</v>
      </c>
      <c r="K3067">
        <v>1900</v>
      </c>
      <c r="L3067">
        <v>0.05</v>
      </c>
      <c r="M3067">
        <v>5415</v>
      </c>
      <c r="N3067">
        <v>3750</v>
      </c>
      <c r="O3067">
        <v>1665</v>
      </c>
    </row>
    <row r="3068" spans="1:15" x14ac:dyDescent="0.25">
      <c r="A3068" t="s">
        <v>4133</v>
      </c>
      <c r="B3068" s="2">
        <v>48724</v>
      </c>
      <c r="C3068" t="s">
        <v>728</v>
      </c>
      <c r="D3068" t="s">
        <v>729</v>
      </c>
      <c r="E3068" t="s">
        <v>26</v>
      </c>
      <c r="F3068" t="s">
        <v>27</v>
      </c>
      <c r="G3068" t="s">
        <v>51</v>
      </c>
      <c r="H3068" t="s">
        <v>52</v>
      </c>
      <c r="I3068" t="s">
        <v>208</v>
      </c>
      <c r="J3068">
        <v>1</v>
      </c>
      <c r="K3068">
        <v>2800</v>
      </c>
      <c r="L3068">
        <v>0.1</v>
      </c>
      <c r="M3068">
        <v>2520</v>
      </c>
      <c r="N3068">
        <v>1800</v>
      </c>
      <c r="O3068">
        <v>720</v>
      </c>
    </row>
    <row r="3069" spans="1:15" x14ac:dyDescent="0.25">
      <c r="A3069" t="s">
        <v>4134</v>
      </c>
      <c r="B3069" s="2">
        <v>48725</v>
      </c>
      <c r="C3069" t="s">
        <v>2207</v>
      </c>
      <c r="D3069" t="s">
        <v>2208</v>
      </c>
      <c r="E3069" t="s">
        <v>96</v>
      </c>
      <c r="F3069" t="s">
        <v>120</v>
      </c>
      <c r="G3069" t="s">
        <v>51</v>
      </c>
      <c r="H3069" t="s">
        <v>21</v>
      </c>
      <c r="I3069" t="s">
        <v>72</v>
      </c>
      <c r="J3069">
        <v>3</v>
      </c>
      <c r="K3069">
        <v>1800</v>
      </c>
      <c r="L3069">
        <v>0</v>
      </c>
      <c r="M3069">
        <v>5400</v>
      </c>
      <c r="N3069">
        <v>3300</v>
      </c>
      <c r="O3069">
        <v>2100</v>
      </c>
    </row>
    <row r="3070" spans="1:15" x14ac:dyDescent="0.25">
      <c r="A3070" t="s">
        <v>4135</v>
      </c>
      <c r="B3070" s="2">
        <v>48726</v>
      </c>
      <c r="C3070" t="s">
        <v>760</v>
      </c>
      <c r="D3070" t="s">
        <v>761</v>
      </c>
      <c r="E3070" t="s">
        <v>26</v>
      </c>
      <c r="F3070" t="s">
        <v>34</v>
      </c>
      <c r="G3070" t="s">
        <v>51</v>
      </c>
      <c r="H3070" t="s">
        <v>21</v>
      </c>
      <c r="I3070" t="s">
        <v>72</v>
      </c>
      <c r="J3070">
        <v>2</v>
      </c>
      <c r="K3070">
        <v>1800</v>
      </c>
      <c r="L3070">
        <v>0</v>
      </c>
      <c r="M3070">
        <v>3600</v>
      </c>
      <c r="N3070">
        <v>2200</v>
      </c>
      <c r="O3070">
        <v>1400</v>
      </c>
    </row>
    <row r="3071" spans="1:15" x14ac:dyDescent="0.25">
      <c r="A3071" t="s">
        <v>4136</v>
      </c>
      <c r="B3071" s="2">
        <v>48727</v>
      </c>
      <c r="C3071" t="s">
        <v>909</v>
      </c>
      <c r="D3071" t="s">
        <v>910</v>
      </c>
      <c r="E3071" t="s">
        <v>26</v>
      </c>
      <c r="F3071" t="s">
        <v>128</v>
      </c>
      <c r="G3071" t="s">
        <v>51</v>
      </c>
      <c r="H3071" t="s">
        <v>52</v>
      </c>
      <c r="I3071" t="s">
        <v>208</v>
      </c>
      <c r="J3071">
        <v>5</v>
      </c>
      <c r="K3071">
        <v>2800</v>
      </c>
      <c r="L3071">
        <v>0.05</v>
      </c>
      <c r="M3071">
        <v>13300</v>
      </c>
      <c r="N3071">
        <v>9000</v>
      </c>
      <c r="O3071">
        <v>4300</v>
      </c>
    </row>
    <row r="3072" spans="1:15" x14ac:dyDescent="0.25">
      <c r="A3072" t="s">
        <v>4137</v>
      </c>
      <c r="B3072" s="2">
        <v>48728</v>
      </c>
      <c r="C3072" t="s">
        <v>860</v>
      </c>
      <c r="D3072" t="s">
        <v>861</v>
      </c>
      <c r="E3072" t="s">
        <v>18</v>
      </c>
      <c r="F3072" t="s">
        <v>94</v>
      </c>
      <c r="G3072" t="s">
        <v>28</v>
      </c>
      <c r="H3072" t="s">
        <v>63</v>
      </c>
      <c r="I3072" t="s">
        <v>64</v>
      </c>
      <c r="J3072">
        <v>5</v>
      </c>
      <c r="K3072">
        <v>2400</v>
      </c>
      <c r="L3072">
        <v>0.15</v>
      </c>
      <c r="M3072">
        <v>10200</v>
      </c>
      <c r="N3072">
        <v>8250</v>
      </c>
      <c r="O3072">
        <v>1950</v>
      </c>
    </row>
    <row r="3073" spans="1:15" x14ac:dyDescent="0.25">
      <c r="A3073" t="s">
        <v>4138</v>
      </c>
      <c r="B3073" s="2">
        <v>48729</v>
      </c>
      <c r="C3073" t="s">
        <v>1276</v>
      </c>
      <c r="D3073" t="s">
        <v>1277</v>
      </c>
      <c r="E3073" t="s">
        <v>26</v>
      </c>
      <c r="F3073" t="s">
        <v>46</v>
      </c>
      <c r="G3073" t="s">
        <v>51</v>
      </c>
      <c r="H3073" t="s">
        <v>52</v>
      </c>
      <c r="I3073" t="s">
        <v>208</v>
      </c>
      <c r="J3073">
        <v>2</v>
      </c>
      <c r="K3073">
        <v>2800</v>
      </c>
      <c r="L3073">
        <v>0.2</v>
      </c>
      <c r="M3073">
        <v>4480</v>
      </c>
      <c r="N3073">
        <v>3600</v>
      </c>
      <c r="O3073">
        <v>880</v>
      </c>
    </row>
    <row r="3074" spans="1:15" x14ac:dyDescent="0.25">
      <c r="A3074" t="s">
        <v>4139</v>
      </c>
      <c r="B3074" s="2">
        <v>48730</v>
      </c>
      <c r="C3074" t="s">
        <v>1213</v>
      </c>
      <c r="D3074" t="s">
        <v>1214</v>
      </c>
      <c r="E3074" t="s">
        <v>96</v>
      </c>
      <c r="F3074" t="s">
        <v>196</v>
      </c>
      <c r="G3074" t="s">
        <v>51</v>
      </c>
      <c r="H3074" t="s">
        <v>21</v>
      </c>
      <c r="I3074" t="s">
        <v>72</v>
      </c>
      <c r="J3074">
        <v>3</v>
      </c>
      <c r="K3074">
        <v>1800</v>
      </c>
      <c r="L3074">
        <v>0.2</v>
      </c>
      <c r="M3074">
        <v>4320</v>
      </c>
      <c r="N3074">
        <v>3300</v>
      </c>
      <c r="O3074">
        <v>1020</v>
      </c>
    </row>
    <row r="3075" spans="1:15" x14ac:dyDescent="0.25">
      <c r="A3075" t="s">
        <v>4140</v>
      </c>
      <c r="B3075" s="2">
        <v>48731</v>
      </c>
      <c r="C3075" t="s">
        <v>948</v>
      </c>
      <c r="D3075" t="s">
        <v>949</v>
      </c>
      <c r="E3075" t="s">
        <v>39</v>
      </c>
      <c r="F3075" t="s">
        <v>40</v>
      </c>
      <c r="G3075" t="s">
        <v>51</v>
      </c>
      <c r="H3075" t="s">
        <v>21</v>
      </c>
      <c r="I3075" t="s">
        <v>72</v>
      </c>
      <c r="J3075">
        <v>3</v>
      </c>
      <c r="K3075">
        <v>1800</v>
      </c>
      <c r="L3075">
        <v>0</v>
      </c>
      <c r="M3075">
        <v>5400</v>
      </c>
      <c r="N3075">
        <v>3300</v>
      </c>
      <c r="O3075">
        <v>2100</v>
      </c>
    </row>
    <row r="3076" spans="1:15" x14ac:dyDescent="0.25">
      <c r="A3076" t="s">
        <v>4141</v>
      </c>
      <c r="B3076" s="2">
        <v>48732</v>
      </c>
      <c r="C3076" t="s">
        <v>662</v>
      </c>
      <c r="D3076" t="s">
        <v>663</v>
      </c>
      <c r="E3076" t="s">
        <v>26</v>
      </c>
      <c r="F3076" t="s">
        <v>34</v>
      </c>
      <c r="G3076" t="s">
        <v>51</v>
      </c>
      <c r="H3076" t="s">
        <v>21</v>
      </c>
      <c r="I3076" t="s">
        <v>80</v>
      </c>
      <c r="J3076">
        <v>5</v>
      </c>
      <c r="K3076">
        <v>850</v>
      </c>
      <c r="L3076">
        <v>0.05</v>
      </c>
      <c r="M3076">
        <v>4037.5</v>
      </c>
      <c r="N3076">
        <v>2800</v>
      </c>
      <c r="O3076">
        <v>1237.5</v>
      </c>
    </row>
    <row r="3077" spans="1:15" x14ac:dyDescent="0.25">
      <c r="A3077" t="s">
        <v>4142</v>
      </c>
      <c r="B3077" s="2">
        <v>48733</v>
      </c>
      <c r="C3077" t="s">
        <v>216</v>
      </c>
      <c r="D3077" t="s">
        <v>217</v>
      </c>
      <c r="E3077" t="s">
        <v>26</v>
      </c>
      <c r="F3077" t="s">
        <v>204</v>
      </c>
      <c r="G3077" t="s">
        <v>20</v>
      </c>
      <c r="H3077" t="s">
        <v>41</v>
      </c>
      <c r="I3077" t="s">
        <v>42</v>
      </c>
      <c r="J3077">
        <v>1</v>
      </c>
      <c r="K3077">
        <v>520</v>
      </c>
      <c r="L3077">
        <v>0.15</v>
      </c>
      <c r="M3077">
        <v>442</v>
      </c>
      <c r="N3077">
        <v>330</v>
      </c>
      <c r="O3077">
        <v>112</v>
      </c>
    </row>
    <row r="3078" spans="1:15" x14ac:dyDescent="0.25">
      <c r="A3078" t="s">
        <v>4143</v>
      </c>
      <c r="B3078" s="2">
        <v>48734</v>
      </c>
      <c r="C3078" t="s">
        <v>994</v>
      </c>
      <c r="D3078" t="s">
        <v>995</v>
      </c>
      <c r="E3078" t="s">
        <v>18</v>
      </c>
      <c r="F3078" t="s">
        <v>94</v>
      </c>
      <c r="G3078" t="s">
        <v>51</v>
      </c>
      <c r="H3078" t="s">
        <v>52</v>
      </c>
      <c r="I3078" t="s">
        <v>53</v>
      </c>
      <c r="J3078">
        <v>3</v>
      </c>
      <c r="K3078">
        <v>2200</v>
      </c>
      <c r="L3078">
        <v>0.1</v>
      </c>
      <c r="M3078">
        <v>5940</v>
      </c>
      <c r="N3078">
        <v>4350</v>
      </c>
      <c r="O3078">
        <v>1590</v>
      </c>
    </row>
    <row r="3079" spans="1:15" x14ac:dyDescent="0.25">
      <c r="A3079" t="s">
        <v>4144</v>
      </c>
      <c r="B3079" s="2">
        <v>48735</v>
      </c>
      <c r="C3079" t="s">
        <v>1256</v>
      </c>
      <c r="D3079" t="s">
        <v>1257</v>
      </c>
      <c r="E3079" t="s">
        <v>96</v>
      </c>
      <c r="F3079" t="s">
        <v>200</v>
      </c>
      <c r="G3079" t="s">
        <v>28</v>
      </c>
      <c r="H3079" t="s">
        <v>29</v>
      </c>
      <c r="I3079" t="s">
        <v>30</v>
      </c>
      <c r="J3079">
        <v>1</v>
      </c>
      <c r="K3079">
        <v>1900</v>
      </c>
      <c r="L3079">
        <v>0.2</v>
      </c>
      <c r="M3079">
        <v>1520</v>
      </c>
      <c r="N3079">
        <v>1250</v>
      </c>
      <c r="O3079">
        <v>270</v>
      </c>
    </row>
    <row r="3080" spans="1:15" x14ac:dyDescent="0.25">
      <c r="A3080" t="s">
        <v>4145</v>
      </c>
      <c r="B3080" s="2">
        <v>48736</v>
      </c>
      <c r="C3080" t="s">
        <v>550</v>
      </c>
      <c r="D3080" t="s">
        <v>551</v>
      </c>
      <c r="E3080" t="s">
        <v>39</v>
      </c>
      <c r="F3080" t="s">
        <v>76</v>
      </c>
      <c r="G3080" t="s">
        <v>51</v>
      </c>
      <c r="H3080" t="s">
        <v>52</v>
      </c>
      <c r="I3080" t="s">
        <v>208</v>
      </c>
      <c r="J3080">
        <v>1</v>
      </c>
      <c r="K3080">
        <v>2800</v>
      </c>
      <c r="L3080">
        <v>0.05</v>
      </c>
      <c r="M3080">
        <v>2660</v>
      </c>
      <c r="N3080">
        <v>1800</v>
      </c>
      <c r="O3080">
        <v>860</v>
      </c>
    </row>
    <row r="3081" spans="1:15" x14ac:dyDescent="0.25">
      <c r="A3081" t="s">
        <v>4146</v>
      </c>
      <c r="B3081" s="2">
        <v>48737</v>
      </c>
      <c r="C3081" t="s">
        <v>1731</v>
      </c>
      <c r="D3081" t="s">
        <v>1732</v>
      </c>
      <c r="E3081" t="s">
        <v>26</v>
      </c>
      <c r="F3081" t="s">
        <v>27</v>
      </c>
      <c r="G3081" t="s">
        <v>20</v>
      </c>
      <c r="H3081" t="s">
        <v>84</v>
      </c>
      <c r="I3081" t="s">
        <v>85</v>
      </c>
      <c r="J3081">
        <v>2</v>
      </c>
      <c r="K3081">
        <v>280</v>
      </c>
      <c r="L3081">
        <v>0.05</v>
      </c>
      <c r="M3081">
        <v>532</v>
      </c>
      <c r="N3081">
        <v>320</v>
      </c>
      <c r="O3081">
        <v>212</v>
      </c>
    </row>
    <row r="3082" spans="1:15" x14ac:dyDescent="0.25">
      <c r="A3082" t="s">
        <v>4147</v>
      </c>
      <c r="B3082" s="2">
        <v>48738</v>
      </c>
      <c r="C3082" t="s">
        <v>1183</v>
      </c>
      <c r="D3082" t="s">
        <v>1184</v>
      </c>
      <c r="E3082" t="s">
        <v>96</v>
      </c>
      <c r="F3082" t="s">
        <v>196</v>
      </c>
      <c r="G3082" t="s">
        <v>20</v>
      </c>
      <c r="H3082" t="s">
        <v>84</v>
      </c>
      <c r="I3082" t="s">
        <v>210</v>
      </c>
      <c r="J3082">
        <v>4</v>
      </c>
      <c r="K3082">
        <v>300</v>
      </c>
      <c r="L3082">
        <v>0.05</v>
      </c>
      <c r="M3082">
        <v>1140</v>
      </c>
      <c r="N3082">
        <v>680</v>
      </c>
      <c r="O3082">
        <v>460</v>
      </c>
    </row>
    <row r="3083" spans="1:15" x14ac:dyDescent="0.25">
      <c r="A3083" t="s">
        <v>4148</v>
      </c>
      <c r="B3083" s="2">
        <v>48739</v>
      </c>
      <c r="C3083" t="s">
        <v>538</v>
      </c>
      <c r="D3083" t="s">
        <v>539</v>
      </c>
      <c r="E3083" t="s">
        <v>26</v>
      </c>
      <c r="F3083" t="s">
        <v>27</v>
      </c>
      <c r="G3083" t="s">
        <v>51</v>
      </c>
      <c r="H3083" t="s">
        <v>52</v>
      </c>
      <c r="I3083" t="s">
        <v>53</v>
      </c>
      <c r="J3083">
        <v>2</v>
      </c>
      <c r="K3083">
        <v>2200</v>
      </c>
      <c r="L3083">
        <v>0.15</v>
      </c>
      <c r="M3083">
        <v>3740</v>
      </c>
      <c r="N3083">
        <v>2900</v>
      </c>
      <c r="O3083">
        <v>840</v>
      </c>
    </row>
    <row r="3084" spans="1:15" x14ac:dyDescent="0.25">
      <c r="A3084" t="s">
        <v>4149</v>
      </c>
      <c r="B3084" s="2">
        <v>48740</v>
      </c>
      <c r="C3084" t="s">
        <v>1417</v>
      </c>
      <c r="D3084" t="s">
        <v>1418</v>
      </c>
      <c r="E3084" t="s">
        <v>39</v>
      </c>
      <c r="F3084" t="s">
        <v>76</v>
      </c>
      <c r="G3084" t="s">
        <v>28</v>
      </c>
      <c r="H3084" t="s">
        <v>29</v>
      </c>
      <c r="I3084" t="s">
        <v>30</v>
      </c>
      <c r="J3084">
        <v>1</v>
      </c>
      <c r="K3084">
        <v>1900</v>
      </c>
      <c r="L3084">
        <v>0.1</v>
      </c>
      <c r="M3084">
        <v>1710</v>
      </c>
      <c r="N3084">
        <v>1250</v>
      </c>
      <c r="O3084">
        <v>460</v>
      </c>
    </row>
    <row r="3085" spans="1:15" x14ac:dyDescent="0.25">
      <c r="A3085" t="s">
        <v>4150</v>
      </c>
      <c r="B3085" s="2">
        <v>48741</v>
      </c>
      <c r="C3085" t="s">
        <v>1836</v>
      </c>
      <c r="D3085" t="s">
        <v>1837</v>
      </c>
      <c r="E3085" t="s">
        <v>39</v>
      </c>
      <c r="F3085" t="s">
        <v>71</v>
      </c>
      <c r="G3085" t="s">
        <v>20</v>
      </c>
      <c r="H3085" t="s">
        <v>41</v>
      </c>
      <c r="I3085" t="s">
        <v>42</v>
      </c>
      <c r="J3085">
        <v>3</v>
      </c>
      <c r="K3085">
        <v>520</v>
      </c>
      <c r="L3085">
        <v>0.05</v>
      </c>
      <c r="M3085">
        <v>1482</v>
      </c>
      <c r="N3085">
        <v>990</v>
      </c>
      <c r="O3085">
        <v>492</v>
      </c>
    </row>
    <row r="3086" spans="1:15" x14ac:dyDescent="0.25">
      <c r="A3086" t="s">
        <v>4151</v>
      </c>
      <c r="B3086" s="2">
        <v>48742</v>
      </c>
      <c r="C3086" t="s">
        <v>1556</v>
      </c>
      <c r="D3086" t="s">
        <v>1557</v>
      </c>
      <c r="E3086" t="s">
        <v>96</v>
      </c>
      <c r="F3086" t="s">
        <v>196</v>
      </c>
      <c r="G3086" t="s">
        <v>51</v>
      </c>
      <c r="H3086" t="s">
        <v>52</v>
      </c>
      <c r="I3086" t="s">
        <v>53</v>
      </c>
      <c r="J3086">
        <v>4</v>
      </c>
      <c r="K3086">
        <v>2200</v>
      </c>
      <c r="L3086">
        <v>0.05</v>
      </c>
      <c r="M3086">
        <v>8360</v>
      </c>
      <c r="N3086">
        <v>5800</v>
      </c>
      <c r="O3086">
        <v>2560</v>
      </c>
    </row>
    <row r="3087" spans="1:15" x14ac:dyDescent="0.25">
      <c r="A3087" t="s">
        <v>4152</v>
      </c>
      <c r="B3087" s="2">
        <v>48743</v>
      </c>
      <c r="C3087" t="s">
        <v>323</v>
      </c>
      <c r="D3087" t="s">
        <v>324</v>
      </c>
      <c r="E3087" t="s">
        <v>26</v>
      </c>
      <c r="F3087" t="s">
        <v>204</v>
      </c>
      <c r="G3087" t="s">
        <v>20</v>
      </c>
      <c r="H3087" t="s">
        <v>41</v>
      </c>
      <c r="I3087" t="s">
        <v>42</v>
      </c>
      <c r="J3087">
        <v>3</v>
      </c>
      <c r="K3087">
        <v>520</v>
      </c>
      <c r="L3087">
        <v>0.15</v>
      </c>
      <c r="M3087">
        <v>1326</v>
      </c>
      <c r="N3087">
        <v>990</v>
      </c>
      <c r="O3087">
        <v>336</v>
      </c>
    </row>
    <row r="3088" spans="1:15" x14ac:dyDescent="0.25">
      <c r="A3088" t="s">
        <v>4153</v>
      </c>
      <c r="B3088" s="2">
        <v>48744</v>
      </c>
      <c r="C3088" t="s">
        <v>990</v>
      </c>
      <c r="D3088" t="s">
        <v>991</v>
      </c>
      <c r="E3088" t="s">
        <v>26</v>
      </c>
      <c r="F3088" t="s">
        <v>204</v>
      </c>
      <c r="G3088" t="s">
        <v>20</v>
      </c>
      <c r="H3088" t="s">
        <v>84</v>
      </c>
      <c r="I3088" t="s">
        <v>210</v>
      </c>
      <c r="J3088">
        <v>3</v>
      </c>
      <c r="K3088">
        <v>300</v>
      </c>
      <c r="L3088">
        <v>0.05</v>
      </c>
      <c r="M3088">
        <v>855</v>
      </c>
      <c r="N3088">
        <v>510</v>
      </c>
      <c r="O3088">
        <v>345</v>
      </c>
    </row>
    <row r="3089" spans="1:15" x14ac:dyDescent="0.25">
      <c r="A3089" t="s">
        <v>4154</v>
      </c>
      <c r="B3089" s="2">
        <v>48745</v>
      </c>
      <c r="C3089" t="s">
        <v>1000</v>
      </c>
      <c r="D3089" t="s">
        <v>1001</v>
      </c>
      <c r="E3089" t="s">
        <v>26</v>
      </c>
      <c r="F3089" t="s">
        <v>27</v>
      </c>
      <c r="G3089" t="s">
        <v>51</v>
      </c>
      <c r="H3089" t="s">
        <v>21</v>
      </c>
      <c r="I3089" t="s">
        <v>72</v>
      </c>
      <c r="J3089">
        <v>1</v>
      </c>
      <c r="K3089">
        <v>1800</v>
      </c>
      <c r="L3089">
        <v>0.05</v>
      </c>
      <c r="M3089">
        <v>1710</v>
      </c>
      <c r="N3089">
        <v>1100</v>
      </c>
      <c r="O3089">
        <v>610</v>
      </c>
    </row>
    <row r="3090" spans="1:15" x14ac:dyDescent="0.25">
      <c r="A3090" t="s">
        <v>4155</v>
      </c>
      <c r="B3090" s="2">
        <v>48746</v>
      </c>
      <c r="C3090" t="s">
        <v>37</v>
      </c>
      <c r="D3090" t="s">
        <v>38</v>
      </c>
      <c r="E3090" t="s">
        <v>26</v>
      </c>
      <c r="F3090" t="s">
        <v>34</v>
      </c>
      <c r="G3090" t="s">
        <v>28</v>
      </c>
      <c r="H3090" t="s">
        <v>29</v>
      </c>
      <c r="I3090" t="s">
        <v>35</v>
      </c>
      <c r="J3090">
        <v>2</v>
      </c>
      <c r="K3090">
        <v>4200</v>
      </c>
      <c r="L3090">
        <v>0.1</v>
      </c>
      <c r="M3090">
        <v>7560</v>
      </c>
      <c r="N3090">
        <v>5800</v>
      </c>
      <c r="O3090">
        <v>1760</v>
      </c>
    </row>
    <row r="3091" spans="1:15" x14ac:dyDescent="0.25">
      <c r="A3091" t="s">
        <v>4156</v>
      </c>
      <c r="B3091" s="2">
        <v>48747</v>
      </c>
      <c r="C3091" t="s">
        <v>268</v>
      </c>
      <c r="D3091" t="s">
        <v>269</v>
      </c>
      <c r="E3091" t="s">
        <v>96</v>
      </c>
      <c r="F3091" t="s">
        <v>200</v>
      </c>
      <c r="G3091" t="s">
        <v>57</v>
      </c>
      <c r="H3091" t="s">
        <v>58</v>
      </c>
      <c r="I3091" t="s">
        <v>129</v>
      </c>
      <c r="J3091">
        <v>1</v>
      </c>
      <c r="K3091">
        <v>4800</v>
      </c>
      <c r="L3091">
        <v>0</v>
      </c>
      <c r="M3091">
        <v>4800</v>
      </c>
      <c r="N3091">
        <v>3300</v>
      </c>
      <c r="O3091">
        <v>1500</v>
      </c>
    </row>
    <row r="3092" spans="1:15" x14ac:dyDescent="0.25">
      <c r="A3092" t="s">
        <v>4157</v>
      </c>
      <c r="B3092" s="2">
        <v>48748</v>
      </c>
      <c r="C3092" t="s">
        <v>733</v>
      </c>
      <c r="D3092" t="s">
        <v>734</v>
      </c>
      <c r="E3092" t="s">
        <v>39</v>
      </c>
      <c r="F3092" t="s">
        <v>71</v>
      </c>
      <c r="G3092" t="s">
        <v>28</v>
      </c>
      <c r="H3092" t="s">
        <v>63</v>
      </c>
      <c r="I3092" t="s">
        <v>64</v>
      </c>
      <c r="J3092">
        <v>2</v>
      </c>
      <c r="K3092">
        <v>2400</v>
      </c>
      <c r="L3092">
        <v>0.15</v>
      </c>
      <c r="M3092">
        <v>4080</v>
      </c>
      <c r="N3092">
        <v>3300</v>
      </c>
      <c r="O3092">
        <v>780</v>
      </c>
    </row>
    <row r="3093" spans="1:15" x14ac:dyDescent="0.25">
      <c r="A3093" t="s">
        <v>4158</v>
      </c>
      <c r="B3093" s="2">
        <v>48749</v>
      </c>
      <c r="C3093" t="s">
        <v>1372</v>
      </c>
      <c r="D3093" t="s">
        <v>1373</v>
      </c>
      <c r="E3093" t="s">
        <v>39</v>
      </c>
      <c r="F3093" t="s">
        <v>71</v>
      </c>
      <c r="G3093" t="s">
        <v>20</v>
      </c>
      <c r="H3093" t="s">
        <v>21</v>
      </c>
      <c r="I3093" t="s">
        <v>22</v>
      </c>
      <c r="J3093">
        <v>5</v>
      </c>
      <c r="K3093">
        <v>650</v>
      </c>
      <c r="L3093">
        <v>0.1</v>
      </c>
      <c r="M3093">
        <v>2925</v>
      </c>
      <c r="N3093">
        <v>1950</v>
      </c>
      <c r="O3093">
        <v>975</v>
      </c>
    </row>
    <row r="3094" spans="1:15" x14ac:dyDescent="0.25">
      <c r="A3094" t="s">
        <v>4159</v>
      </c>
      <c r="B3094" s="2">
        <v>48750</v>
      </c>
      <c r="C3094" t="s">
        <v>627</v>
      </c>
      <c r="D3094" t="s">
        <v>628</v>
      </c>
      <c r="E3094" t="s">
        <v>26</v>
      </c>
      <c r="F3094" t="s">
        <v>34</v>
      </c>
      <c r="G3094" t="s">
        <v>57</v>
      </c>
      <c r="H3094" t="s">
        <v>58</v>
      </c>
      <c r="I3094" t="s">
        <v>59</v>
      </c>
      <c r="J3094">
        <v>4</v>
      </c>
      <c r="K3094">
        <v>5600</v>
      </c>
      <c r="L3094">
        <v>0.2</v>
      </c>
      <c r="M3094">
        <v>17920</v>
      </c>
      <c r="N3094">
        <v>15600</v>
      </c>
      <c r="O3094">
        <v>2320</v>
      </c>
    </row>
    <row r="3095" spans="1:15" x14ac:dyDescent="0.25">
      <c r="A3095" t="s">
        <v>4160</v>
      </c>
      <c r="B3095" s="2">
        <v>48751</v>
      </c>
      <c r="C3095" t="s">
        <v>678</v>
      </c>
      <c r="D3095" t="s">
        <v>679</v>
      </c>
      <c r="E3095" t="s">
        <v>18</v>
      </c>
      <c r="F3095" t="s">
        <v>227</v>
      </c>
      <c r="G3095" t="s">
        <v>28</v>
      </c>
      <c r="H3095" t="s">
        <v>29</v>
      </c>
      <c r="I3095" t="s">
        <v>47</v>
      </c>
      <c r="J3095">
        <v>5</v>
      </c>
      <c r="K3095">
        <v>6800</v>
      </c>
      <c r="L3095">
        <v>0</v>
      </c>
      <c r="M3095">
        <v>34000</v>
      </c>
      <c r="N3095">
        <v>23500</v>
      </c>
      <c r="O3095">
        <v>10500</v>
      </c>
    </row>
    <row r="3096" spans="1:15" x14ac:dyDescent="0.25">
      <c r="A3096" t="s">
        <v>4161</v>
      </c>
      <c r="B3096" s="2">
        <v>48752</v>
      </c>
      <c r="C3096" t="s">
        <v>122</v>
      </c>
      <c r="D3096" t="s">
        <v>123</v>
      </c>
      <c r="E3096" t="s">
        <v>39</v>
      </c>
      <c r="F3096" t="s">
        <v>71</v>
      </c>
      <c r="G3096" t="s">
        <v>20</v>
      </c>
      <c r="H3096" t="s">
        <v>84</v>
      </c>
      <c r="I3096" t="s">
        <v>85</v>
      </c>
      <c r="J3096">
        <v>2</v>
      </c>
      <c r="K3096">
        <v>280</v>
      </c>
      <c r="L3096">
        <v>0.15</v>
      </c>
      <c r="M3096">
        <v>476</v>
      </c>
      <c r="N3096">
        <v>320</v>
      </c>
      <c r="O3096">
        <v>156</v>
      </c>
    </row>
    <row r="3097" spans="1:15" x14ac:dyDescent="0.25">
      <c r="A3097" t="s">
        <v>4162</v>
      </c>
      <c r="B3097" s="2">
        <v>48753</v>
      </c>
      <c r="C3097" t="s">
        <v>180</v>
      </c>
      <c r="D3097" t="s">
        <v>181</v>
      </c>
      <c r="E3097" t="s">
        <v>18</v>
      </c>
      <c r="F3097" t="s">
        <v>19</v>
      </c>
      <c r="G3097" t="s">
        <v>57</v>
      </c>
      <c r="H3097" t="s">
        <v>58</v>
      </c>
      <c r="I3097" t="s">
        <v>59</v>
      </c>
      <c r="J3097">
        <v>5</v>
      </c>
      <c r="K3097">
        <v>5600</v>
      </c>
      <c r="L3097">
        <v>0.05</v>
      </c>
      <c r="M3097">
        <v>26600</v>
      </c>
      <c r="N3097">
        <v>19500</v>
      </c>
      <c r="O3097">
        <v>7100</v>
      </c>
    </row>
    <row r="3098" spans="1:15" x14ac:dyDescent="0.25">
      <c r="A3098" t="s">
        <v>4163</v>
      </c>
      <c r="B3098" s="2">
        <v>48754</v>
      </c>
      <c r="C3098" t="s">
        <v>2828</v>
      </c>
      <c r="D3098" t="s">
        <v>2829</v>
      </c>
      <c r="E3098" t="s">
        <v>96</v>
      </c>
      <c r="F3098" t="s">
        <v>196</v>
      </c>
      <c r="G3098" t="s">
        <v>20</v>
      </c>
      <c r="H3098" t="s">
        <v>84</v>
      </c>
      <c r="I3098" t="s">
        <v>85</v>
      </c>
      <c r="J3098">
        <v>3</v>
      </c>
      <c r="K3098">
        <v>280</v>
      </c>
      <c r="L3098">
        <v>0.2</v>
      </c>
      <c r="M3098">
        <v>672</v>
      </c>
      <c r="N3098">
        <v>480</v>
      </c>
      <c r="O3098">
        <v>192</v>
      </c>
    </row>
    <row r="3099" spans="1:15" x14ac:dyDescent="0.25">
      <c r="A3099" t="s">
        <v>4164</v>
      </c>
      <c r="B3099" s="2">
        <v>48755</v>
      </c>
      <c r="C3099" t="s">
        <v>871</v>
      </c>
      <c r="D3099" t="s">
        <v>872</v>
      </c>
      <c r="E3099" t="s">
        <v>26</v>
      </c>
      <c r="F3099" t="s">
        <v>128</v>
      </c>
      <c r="G3099" t="s">
        <v>51</v>
      </c>
      <c r="H3099" t="s">
        <v>21</v>
      </c>
      <c r="I3099" t="s">
        <v>80</v>
      </c>
      <c r="J3099">
        <v>2</v>
      </c>
      <c r="K3099">
        <v>850</v>
      </c>
      <c r="L3099">
        <v>0.05</v>
      </c>
      <c r="M3099">
        <v>1615</v>
      </c>
      <c r="N3099">
        <v>1120</v>
      </c>
      <c r="O3099">
        <v>495</v>
      </c>
    </row>
    <row r="3100" spans="1:15" x14ac:dyDescent="0.25">
      <c r="A3100" t="s">
        <v>4165</v>
      </c>
      <c r="B3100" s="2">
        <v>48756</v>
      </c>
      <c r="C3100" t="s">
        <v>2365</v>
      </c>
      <c r="D3100" t="s">
        <v>2366</v>
      </c>
      <c r="E3100" t="s">
        <v>39</v>
      </c>
      <c r="F3100" t="s">
        <v>124</v>
      </c>
      <c r="G3100" t="s">
        <v>51</v>
      </c>
      <c r="H3100" t="s">
        <v>21</v>
      </c>
      <c r="I3100" t="s">
        <v>116</v>
      </c>
      <c r="J3100">
        <v>4</v>
      </c>
      <c r="K3100">
        <v>1400</v>
      </c>
      <c r="L3100">
        <v>0.05</v>
      </c>
      <c r="M3100">
        <v>5320</v>
      </c>
      <c r="N3100">
        <v>3600</v>
      </c>
      <c r="O3100">
        <v>1720</v>
      </c>
    </row>
    <row r="3101" spans="1:15" x14ac:dyDescent="0.25">
      <c r="A3101" t="s">
        <v>4166</v>
      </c>
      <c r="B3101" s="2">
        <v>48757</v>
      </c>
      <c r="C3101" t="s">
        <v>82</v>
      </c>
      <c r="D3101" t="s">
        <v>83</v>
      </c>
      <c r="E3101" t="s">
        <v>39</v>
      </c>
      <c r="F3101" t="s">
        <v>124</v>
      </c>
      <c r="G3101" t="s">
        <v>28</v>
      </c>
      <c r="H3101" t="s">
        <v>29</v>
      </c>
      <c r="I3101" t="s">
        <v>35</v>
      </c>
      <c r="J3101">
        <v>5</v>
      </c>
      <c r="K3101">
        <v>4200</v>
      </c>
      <c r="L3101">
        <v>0.15</v>
      </c>
      <c r="M3101">
        <v>17850</v>
      </c>
      <c r="N3101">
        <v>14500</v>
      </c>
      <c r="O3101">
        <v>3350</v>
      </c>
    </row>
    <row r="3102" spans="1:15" x14ac:dyDescent="0.25">
      <c r="A3102" t="s">
        <v>4167</v>
      </c>
      <c r="B3102" s="2">
        <v>48758</v>
      </c>
      <c r="C3102" t="s">
        <v>317</v>
      </c>
      <c r="D3102" t="s">
        <v>318</v>
      </c>
      <c r="E3102" t="s">
        <v>26</v>
      </c>
      <c r="F3102" t="s">
        <v>27</v>
      </c>
      <c r="G3102" t="s">
        <v>20</v>
      </c>
      <c r="H3102" t="s">
        <v>84</v>
      </c>
      <c r="I3102" t="s">
        <v>210</v>
      </c>
      <c r="J3102">
        <v>5</v>
      </c>
      <c r="K3102">
        <v>300</v>
      </c>
      <c r="L3102">
        <v>0.05</v>
      </c>
      <c r="M3102">
        <v>1425</v>
      </c>
      <c r="N3102">
        <v>850</v>
      </c>
      <c r="O3102">
        <v>575</v>
      </c>
    </row>
    <row r="3103" spans="1:15" x14ac:dyDescent="0.25">
      <c r="A3103" t="s">
        <v>4168</v>
      </c>
      <c r="B3103" s="2">
        <v>48759</v>
      </c>
      <c r="C3103" t="s">
        <v>16</v>
      </c>
      <c r="D3103" t="s">
        <v>17</v>
      </c>
      <c r="E3103" t="s">
        <v>18</v>
      </c>
      <c r="F3103" t="s">
        <v>227</v>
      </c>
      <c r="G3103" t="s">
        <v>20</v>
      </c>
      <c r="H3103" t="s">
        <v>84</v>
      </c>
      <c r="I3103" t="s">
        <v>169</v>
      </c>
      <c r="J3103">
        <v>2</v>
      </c>
      <c r="K3103">
        <v>450</v>
      </c>
      <c r="L3103">
        <v>0.05</v>
      </c>
      <c r="M3103">
        <v>855</v>
      </c>
      <c r="N3103">
        <v>520</v>
      </c>
      <c r="O3103">
        <v>335</v>
      </c>
    </row>
    <row r="3104" spans="1:15" x14ac:dyDescent="0.25">
      <c r="A3104" t="s">
        <v>4169</v>
      </c>
      <c r="B3104" s="2">
        <v>48760</v>
      </c>
      <c r="C3104" t="s">
        <v>122</v>
      </c>
      <c r="D3104" t="s">
        <v>123</v>
      </c>
      <c r="E3104" t="s">
        <v>39</v>
      </c>
      <c r="F3104" t="s">
        <v>40</v>
      </c>
      <c r="G3104" t="s">
        <v>57</v>
      </c>
      <c r="H3104" t="s">
        <v>188</v>
      </c>
      <c r="I3104" t="s">
        <v>189</v>
      </c>
      <c r="J3104">
        <v>4</v>
      </c>
      <c r="K3104">
        <v>6200</v>
      </c>
      <c r="L3104">
        <v>0.05</v>
      </c>
      <c r="M3104">
        <v>23560</v>
      </c>
      <c r="N3104">
        <v>17200</v>
      </c>
      <c r="O3104">
        <v>6360</v>
      </c>
    </row>
    <row r="3105" spans="1:15" x14ac:dyDescent="0.25">
      <c r="A3105" t="s">
        <v>4170</v>
      </c>
      <c r="B3105" s="2">
        <v>48761</v>
      </c>
      <c r="C3105" t="s">
        <v>1079</v>
      </c>
      <c r="D3105" t="s">
        <v>1080</v>
      </c>
      <c r="E3105" t="s">
        <v>26</v>
      </c>
      <c r="F3105" t="s">
        <v>46</v>
      </c>
      <c r="G3105" t="s">
        <v>51</v>
      </c>
      <c r="H3105" t="s">
        <v>52</v>
      </c>
      <c r="I3105" t="s">
        <v>208</v>
      </c>
      <c r="J3105">
        <v>1</v>
      </c>
      <c r="K3105">
        <v>2800</v>
      </c>
      <c r="L3105">
        <v>0.05</v>
      </c>
      <c r="M3105">
        <v>2660</v>
      </c>
      <c r="N3105">
        <v>1800</v>
      </c>
      <c r="O3105">
        <v>860</v>
      </c>
    </row>
    <row r="3106" spans="1:15" x14ac:dyDescent="0.25">
      <c r="A3106" t="s">
        <v>4171</v>
      </c>
      <c r="B3106" s="2">
        <v>48762</v>
      </c>
      <c r="C3106" t="s">
        <v>902</v>
      </c>
      <c r="D3106" t="s">
        <v>903</v>
      </c>
      <c r="E3106" t="s">
        <v>26</v>
      </c>
      <c r="F3106" t="s">
        <v>34</v>
      </c>
      <c r="G3106" t="s">
        <v>28</v>
      </c>
      <c r="H3106" t="s">
        <v>29</v>
      </c>
      <c r="I3106" t="s">
        <v>35</v>
      </c>
      <c r="J3106">
        <v>5</v>
      </c>
      <c r="K3106">
        <v>4200</v>
      </c>
      <c r="L3106">
        <v>0.05</v>
      </c>
      <c r="M3106">
        <v>19950</v>
      </c>
      <c r="N3106">
        <v>14500</v>
      </c>
      <c r="O3106">
        <v>5450</v>
      </c>
    </row>
    <row r="3107" spans="1:15" x14ac:dyDescent="0.25">
      <c r="A3107" t="s">
        <v>4172</v>
      </c>
      <c r="B3107" s="2">
        <v>48763</v>
      </c>
      <c r="C3107" t="s">
        <v>1034</v>
      </c>
      <c r="D3107" t="s">
        <v>1035</v>
      </c>
      <c r="E3107" t="s">
        <v>26</v>
      </c>
      <c r="F3107" t="s">
        <v>46</v>
      </c>
      <c r="G3107" t="s">
        <v>20</v>
      </c>
      <c r="H3107" t="s">
        <v>41</v>
      </c>
      <c r="I3107" t="s">
        <v>42</v>
      </c>
      <c r="J3107">
        <v>3</v>
      </c>
      <c r="K3107">
        <v>520</v>
      </c>
      <c r="L3107">
        <v>0.15</v>
      </c>
      <c r="M3107">
        <v>1326</v>
      </c>
      <c r="N3107">
        <v>990</v>
      </c>
      <c r="O3107">
        <v>336</v>
      </c>
    </row>
    <row r="3108" spans="1:15" x14ac:dyDescent="0.25">
      <c r="A3108" t="s">
        <v>4173</v>
      </c>
      <c r="B3108" s="2">
        <v>48764</v>
      </c>
      <c r="C3108" t="s">
        <v>1231</v>
      </c>
      <c r="D3108" t="s">
        <v>1232</v>
      </c>
      <c r="E3108" t="s">
        <v>26</v>
      </c>
      <c r="F3108" t="s">
        <v>128</v>
      </c>
      <c r="G3108" t="s">
        <v>28</v>
      </c>
      <c r="H3108" t="s">
        <v>29</v>
      </c>
      <c r="I3108" t="s">
        <v>47</v>
      </c>
      <c r="J3108">
        <v>3</v>
      </c>
      <c r="K3108">
        <v>6800</v>
      </c>
      <c r="L3108">
        <v>0.05</v>
      </c>
      <c r="M3108">
        <v>19380</v>
      </c>
      <c r="N3108">
        <v>14100</v>
      </c>
      <c r="O3108">
        <v>5280</v>
      </c>
    </row>
    <row r="3109" spans="1:15" x14ac:dyDescent="0.25">
      <c r="A3109" t="s">
        <v>4174</v>
      </c>
      <c r="B3109" s="2">
        <v>48765</v>
      </c>
      <c r="C3109" t="s">
        <v>2084</v>
      </c>
      <c r="D3109" t="s">
        <v>2085</v>
      </c>
      <c r="E3109" t="s">
        <v>26</v>
      </c>
      <c r="F3109" t="s">
        <v>204</v>
      </c>
      <c r="G3109" t="s">
        <v>51</v>
      </c>
      <c r="H3109" t="s">
        <v>52</v>
      </c>
      <c r="I3109" t="s">
        <v>208</v>
      </c>
      <c r="J3109">
        <v>3</v>
      </c>
      <c r="K3109">
        <v>2800</v>
      </c>
      <c r="L3109">
        <v>0.15</v>
      </c>
      <c r="M3109">
        <v>7140</v>
      </c>
      <c r="N3109">
        <v>5400</v>
      </c>
      <c r="O3109">
        <v>1740</v>
      </c>
    </row>
    <row r="3110" spans="1:15" x14ac:dyDescent="0.25">
      <c r="A3110" t="s">
        <v>4175</v>
      </c>
      <c r="B3110" s="2">
        <v>48766</v>
      </c>
      <c r="C3110" t="s">
        <v>1243</v>
      </c>
      <c r="D3110" t="s">
        <v>1244</v>
      </c>
      <c r="E3110" t="s">
        <v>39</v>
      </c>
      <c r="F3110" t="s">
        <v>71</v>
      </c>
      <c r="G3110" t="s">
        <v>51</v>
      </c>
      <c r="H3110" t="s">
        <v>52</v>
      </c>
      <c r="I3110" t="s">
        <v>208</v>
      </c>
      <c r="J3110">
        <v>5</v>
      </c>
      <c r="K3110">
        <v>2800</v>
      </c>
      <c r="L3110">
        <v>0.1</v>
      </c>
      <c r="M3110">
        <v>12600</v>
      </c>
      <c r="N3110">
        <v>9000</v>
      </c>
      <c r="O3110">
        <v>3600</v>
      </c>
    </row>
    <row r="3111" spans="1:15" x14ac:dyDescent="0.25">
      <c r="A3111" t="s">
        <v>4176</v>
      </c>
      <c r="B3111" s="2">
        <v>48767</v>
      </c>
      <c r="C3111" t="s">
        <v>1022</v>
      </c>
      <c r="D3111" t="s">
        <v>1023</v>
      </c>
      <c r="E3111" t="s">
        <v>26</v>
      </c>
      <c r="F3111" t="s">
        <v>34</v>
      </c>
      <c r="G3111" t="s">
        <v>57</v>
      </c>
      <c r="H3111" t="s">
        <v>188</v>
      </c>
      <c r="I3111" t="s">
        <v>189</v>
      </c>
      <c r="J3111">
        <v>2</v>
      </c>
      <c r="K3111">
        <v>6200</v>
      </c>
      <c r="L3111">
        <v>0.1</v>
      </c>
      <c r="M3111">
        <v>11160</v>
      </c>
      <c r="N3111">
        <v>8600</v>
      </c>
      <c r="O3111">
        <v>2560</v>
      </c>
    </row>
    <row r="3112" spans="1:15" x14ac:dyDescent="0.25">
      <c r="A3112" t="s">
        <v>4177</v>
      </c>
      <c r="B3112" s="2">
        <v>48768</v>
      </c>
      <c r="C3112" t="s">
        <v>278</v>
      </c>
      <c r="D3112" t="s">
        <v>279</v>
      </c>
      <c r="E3112" t="s">
        <v>26</v>
      </c>
      <c r="F3112" t="s">
        <v>204</v>
      </c>
      <c r="G3112" t="s">
        <v>57</v>
      </c>
      <c r="H3112" t="s">
        <v>58</v>
      </c>
      <c r="I3112" t="s">
        <v>59</v>
      </c>
      <c r="J3112">
        <v>2</v>
      </c>
      <c r="K3112">
        <v>5600</v>
      </c>
      <c r="L3112">
        <v>0</v>
      </c>
      <c r="M3112">
        <v>11200</v>
      </c>
      <c r="N3112">
        <v>7800</v>
      </c>
      <c r="O3112">
        <v>3400</v>
      </c>
    </row>
    <row r="3113" spans="1:15" x14ac:dyDescent="0.25">
      <c r="A3113" t="s">
        <v>4178</v>
      </c>
      <c r="B3113" s="2">
        <v>48769</v>
      </c>
      <c r="C3113" t="s">
        <v>682</v>
      </c>
      <c r="D3113" t="s">
        <v>683</v>
      </c>
      <c r="E3113" t="s">
        <v>26</v>
      </c>
      <c r="F3113" t="s">
        <v>128</v>
      </c>
      <c r="G3113" t="s">
        <v>20</v>
      </c>
      <c r="H3113" t="s">
        <v>41</v>
      </c>
      <c r="I3113" t="s">
        <v>42</v>
      </c>
      <c r="J3113">
        <v>2</v>
      </c>
      <c r="K3113">
        <v>520</v>
      </c>
      <c r="L3113">
        <v>0.1</v>
      </c>
      <c r="M3113">
        <v>936</v>
      </c>
      <c r="N3113">
        <v>660</v>
      </c>
      <c r="O3113">
        <v>276</v>
      </c>
    </row>
    <row r="3114" spans="1:15" x14ac:dyDescent="0.25">
      <c r="A3114" t="s">
        <v>4179</v>
      </c>
      <c r="B3114" s="2">
        <v>48770</v>
      </c>
      <c r="C3114" t="s">
        <v>2574</v>
      </c>
      <c r="D3114" t="s">
        <v>2575</v>
      </c>
      <c r="E3114" t="s">
        <v>96</v>
      </c>
      <c r="F3114" t="s">
        <v>200</v>
      </c>
      <c r="G3114" t="s">
        <v>57</v>
      </c>
      <c r="H3114" t="s">
        <v>58</v>
      </c>
      <c r="I3114" t="s">
        <v>129</v>
      </c>
      <c r="J3114">
        <v>2</v>
      </c>
      <c r="K3114">
        <v>4800</v>
      </c>
      <c r="L3114">
        <v>0</v>
      </c>
      <c r="M3114">
        <v>9600</v>
      </c>
      <c r="N3114">
        <v>6600</v>
      </c>
      <c r="O3114">
        <v>3000</v>
      </c>
    </row>
    <row r="3115" spans="1:15" x14ac:dyDescent="0.25">
      <c r="A3115" t="s">
        <v>4180</v>
      </c>
      <c r="B3115" s="2">
        <v>48771</v>
      </c>
      <c r="C3115" t="s">
        <v>186</v>
      </c>
      <c r="D3115" t="s">
        <v>187</v>
      </c>
      <c r="E3115" t="s">
        <v>26</v>
      </c>
      <c r="F3115" t="s">
        <v>46</v>
      </c>
      <c r="G3115" t="s">
        <v>57</v>
      </c>
      <c r="H3115" t="s">
        <v>104</v>
      </c>
      <c r="I3115" t="s">
        <v>105</v>
      </c>
      <c r="J3115">
        <v>5</v>
      </c>
      <c r="K3115">
        <v>7500</v>
      </c>
      <c r="L3115">
        <v>0.1</v>
      </c>
      <c r="M3115">
        <v>33750</v>
      </c>
      <c r="N3115">
        <v>26000</v>
      </c>
      <c r="O3115">
        <v>7750</v>
      </c>
    </row>
    <row r="3116" spans="1:15" x14ac:dyDescent="0.25">
      <c r="A3116" t="s">
        <v>4181</v>
      </c>
      <c r="B3116" s="2">
        <v>48772</v>
      </c>
      <c r="C3116" t="s">
        <v>433</v>
      </c>
      <c r="D3116" t="s">
        <v>434</v>
      </c>
      <c r="E3116" t="s">
        <v>96</v>
      </c>
      <c r="F3116" t="s">
        <v>196</v>
      </c>
      <c r="G3116" t="s">
        <v>28</v>
      </c>
      <c r="H3116" t="s">
        <v>29</v>
      </c>
      <c r="I3116" t="s">
        <v>47</v>
      </c>
      <c r="J3116">
        <v>3</v>
      </c>
      <c r="K3116">
        <v>6800</v>
      </c>
      <c r="L3116">
        <v>0.05</v>
      </c>
      <c r="M3116">
        <v>19380</v>
      </c>
      <c r="N3116">
        <v>14100</v>
      </c>
      <c r="O3116">
        <v>5280</v>
      </c>
    </row>
    <row r="3117" spans="1:15" x14ac:dyDescent="0.25">
      <c r="A3117" t="s">
        <v>4182</v>
      </c>
      <c r="B3117" s="2">
        <v>48773</v>
      </c>
      <c r="C3117" t="s">
        <v>436</v>
      </c>
      <c r="D3117" t="s">
        <v>437</v>
      </c>
      <c r="E3117" t="s">
        <v>96</v>
      </c>
      <c r="F3117" t="s">
        <v>196</v>
      </c>
      <c r="G3117" t="s">
        <v>20</v>
      </c>
      <c r="H3117" t="s">
        <v>84</v>
      </c>
      <c r="I3117" t="s">
        <v>85</v>
      </c>
      <c r="J3117">
        <v>3</v>
      </c>
      <c r="K3117">
        <v>280</v>
      </c>
      <c r="L3117">
        <v>0.1</v>
      </c>
      <c r="M3117">
        <v>756</v>
      </c>
      <c r="N3117">
        <v>480</v>
      </c>
      <c r="O3117">
        <v>276</v>
      </c>
    </row>
    <row r="3118" spans="1:15" x14ac:dyDescent="0.25">
      <c r="A3118" t="s">
        <v>4183</v>
      </c>
      <c r="B3118" s="2">
        <v>48774</v>
      </c>
      <c r="C3118" t="s">
        <v>541</v>
      </c>
      <c r="D3118" t="s">
        <v>542</v>
      </c>
      <c r="E3118" t="s">
        <v>96</v>
      </c>
      <c r="F3118" t="s">
        <v>196</v>
      </c>
      <c r="G3118" t="s">
        <v>51</v>
      </c>
      <c r="H3118" t="s">
        <v>52</v>
      </c>
      <c r="I3118" t="s">
        <v>53</v>
      </c>
      <c r="J3118">
        <v>2</v>
      </c>
      <c r="K3118">
        <v>2200</v>
      </c>
      <c r="L3118">
        <v>0.1</v>
      </c>
      <c r="M3118">
        <v>3960</v>
      </c>
      <c r="N3118">
        <v>2900</v>
      </c>
      <c r="O3118">
        <v>1060</v>
      </c>
    </row>
    <row r="3119" spans="1:15" x14ac:dyDescent="0.25">
      <c r="A3119" t="s">
        <v>4184</v>
      </c>
      <c r="B3119" s="2">
        <v>48775</v>
      </c>
      <c r="C3119" t="s">
        <v>140</v>
      </c>
      <c r="D3119" t="s">
        <v>141</v>
      </c>
      <c r="E3119" t="s">
        <v>26</v>
      </c>
      <c r="F3119" t="s">
        <v>204</v>
      </c>
      <c r="G3119" t="s">
        <v>57</v>
      </c>
      <c r="H3119" t="s">
        <v>188</v>
      </c>
      <c r="I3119" t="s">
        <v>189</v>
      </c>
      <c r="J3119">
        <v>5</v>
      </c>
      <c r="K3119">
        <v>6200</v>
      </c>
      <c r="L3119">
        <v>0.05</v>
      </c>
      <c r="M3119">
        <v>29450</v>
      </c>
      <c r="N3119">
        <v>21500</v>
      </c>
      <c r="O3119">
        <v>7950</v>
      </c>
    </row>
    <row r="3120" spans="1:15" x14ac:dyDescent="0.25">
      <c r="A3120" t="s">
        <v>4185</v>
      </c>
      <c r="B3120" s="2">
        <v>48776</v>
      </c>
      <c r="C3120" t="s">
        <v>1847</v>
      </c>
      <c r="D3120" t="s">
        <v>1848</v>
      </c>
      <c r="E3120" t="s">
        <v>26</v>
      </c>
      <c r="F3120" t="s">
        <v>27</v>
      </c>
      <c r="G3120" t="s">
        <v>51</v>
      </c>
      <c r="H3120" t="s">
        <v>21</v>
      </c>
      <c r="I3120" t="s">
        <v>80</v>
      </c>
      <c r="J3120">
        <v>5</v>
      </c>
      <c r="K3120">
        <v>850</v>
      </c>
      <c r="L3120">
        <v>0.2</v>
      </c>
      <c r="M3120">
        <v>3400</v>
      </c>
      <c r="N3120">
        <v>2800</v>
      </c>
      <c r="O3120">
        <v>600</v>
      </c>
    </row>
    <row r="3121" spans="1:15" x14ac:dyDescent="0.25">
      <c r="A3121" t="s">
        <v>4186</v>
      </c>
      <c r="B3121" s="2">
        <v>48777</v>
      </c>
      <c r="C3121" t="s">
        <v>865</v>
      </c>
      <c r="D3121" t="s">
        <v>866</v>
      </c>
      <c r="E3121" t="s">
        <v>26</v>
      </c>
      <c r="F3121" t="s">
        <v>34</v>
      </c>
      <c r="G3121" t="s">
        <v>51</v>
      </c>
      <c r="H3121" t="s">
        <v>21</v>
      </c>
      <c r="I3121" t="s">
        <v>80</v>
      </c>
      <c r="J3121">
        <v>1</v>
      </c>
      <c r="K3121">
        <v>850</v>
      </c>
      <c r="L3121">
        <v>0.15</v>
      </c>
      <c r="M3121">
        <v>722.5</v>
      </c>
      <c r="N3121">
        <v>560</v>
      </c>
      <c r="O3121">
        <v>162.5</v>
      </c>
    </row>
    <row r="3122" spans="1:15" x14ac:dyDescent="0.25">
      <c r="A3122" t="s">
        <v>4187</v>
      </c>
      <c r="B3122" s="2">
        <v>48778</v>
      </c>
      <c r="C3122" t="s">
        <v>436</v>
      </c>
      <c r="D3122" t="s">
        <v>437</v>
      </c>
      <c r="E3122" t="s">
        <v>96</v>
      </c>
      <c r="F3122" t="s">
        <v>196</v>
      </c>
      <c r="G3122" t="s">
        <v>28</v>
      </c>
      <c r="H3122" t="s">
        <v>29</v>
      </c>
      <c r="I3122" t="s">
        <v>30</v>
      </c>
      <c r="J3122">
        <v>5</v>
      </c>
      <c r="K3122">
        <v>1900</v>
      </c>
      <c r="L3122">
        <v>0.2</v>
      </c>
      <c r="M3122">
        <v>7600</v>
      </c>
      <c r="N3122">
        <v>6250</v>
      </c>
      <c r="O3122">
        <v>1350</v>
      </c>
    </row>
    <row r="3123" spans="1:15" x14ac:dyDescent="0.25">
      <c r="A3123" t="s">
        <v>4188</v>
      </c>
      <c r="B3123" s="2">
        <v>48779</v>
      </c>
      <c r="C3123" t="s">
        <v>547</v>
      </c>
      <c r="D3123" t="s">
        <v>548</v>
      </c>
      <c r="E3123" t="s">
        <v>18</v>
      </c>
      <c r="F3123" t="s">
        <v>19</v>
      </c>
      <c r="G3123" t="s">
        <v>20</v>
      </c>
      <c r="H3123" t="s">
        <v>84</v>
      </c>
      <c r="I3123" t="s">
        <v>210</v>
      </c>
      <c r="J3123">
        <v>1</v>
      </c>
      <c r="K3123">
        <v>300</v>
      </c>
      <c r="L3123">
        <v>0.15</v>
      </c>
      <c r="M3123">
        <v>255</v>
      </c>
      <c r="N3123">
        <v>170</v>
      </c>
      <c r="O3123">
        <v>85</v>
      </c>
    </row>
    <row r="3124" spans="1:15" x14ac:dyDescent="0.25">
      <c r="A3124" t="s">
        <v>4189</v>
      </c>
      <c r="B3124" s="2">
        <v>48780</v>
      </c>
      <c r="C3124" t="s">
        <v>1793</v>
      </c>
      <c r="D3124" t="s">
        <v>1794</v>
      </c>
      <c r="E3124" t="s">
        <v>26</v>
      </c>
      <c r="F3124" t="s">
        <v>128</v>
      </c>
      <c r="G3124" t="s">
        <v>51</v>
      </c>
      <c r="H3124" t="s">
        <v>89</v>
      </c>
      <c r="I3124" t="s">
        <v>90</v>
      </c>
      <c r="J3124">
        <v>2</v>
      </c>
      <c r="K3124">
        <v>10500</v>
      </c>
      <c r="L3124">
        <v>0.2</v>
      </c>
      <c r="M3124">
        <v>16800</v>
      </c>
      <c r="N3124">
        <v>15200</v>
      </c>
      <c r="O3124">
        <v>1600</v>
      </c>
    </row>
    <row r="3125" spans="1:15" x14ac:dyDescent="0.25">
      <c r="A3125" t="s">
        <v>4190</v>
      </c>
      <c r="B3125" s="2">
        <v>48781</v>
      </c>
      <c r="C3125" t="s">
        <v>2102</v>
      </c>
      <c r="D3125" t="s">
        <v>2103</v>
      </c>
      <c r="E3125" t="s">
        <v>26</v>
      </c>
      <c r="F3125" t="s">
        <v>34</v>
      </c>
      <c r="G3125" t="s">
        <v>51</v>
      </c>
      <c r="H3125" t="s">
        <v>52</v>
      </c>
      <c r="I3125" t="s">
        <v>53</v>
      </c>
      <c r="J3125">
        <v>2</v>
      </c>
      <c r="K3125">
        <v>2200</v>
      </c>
      <c r="L3125">
        <v>0.15</v>
      </c>
      <c r="M3125">
        <v>3740</v>
      </c>
      <c r="N3125">
        <v>2900</v>
      </c>
      <c r="O3125">
        <v>840</v>
      </c>
    </row>
    <row r="3126" spans="1:15" x14ac:dyDescent="0.25">
      <c r="A3126" t="s">
        <v>4191</v>
      </c>
      <c r="B3126" s="2">
        <v>48782</v>
      </c>
      <c r="C3126" t="s">
        <v>2111</v>
      </c>
      <c r="D3126" t="s">
        <v>2112</v>
      </c>
      <c r="E3126" t="s">
        <v>39</v>
      </c>
      <c r="F3126" t="s">
        <v>71</v>
      </c>
      <c r="G3126" t="s">
        <v>51</v>
      </c>
      <c r="H3126" t="s">
        <v>89</v>
      </c>
      <c r="I3126" t="s">
        <v>90</v>
      </c>
      <c r="J3126">
        <v>5</v>
      </c>
      <c r="K3126">
        <v>10500</v>
      </c>
      <c r="L3126">
        <v>0.05</v>
      </c>
      <c r="M3126">
        <v>49875</v>
      </c>
      <c r="N3126">
        <v>38000</v>
      </c>
      <c r="O3126">
        <v>11875</v>
      </c>
    </row>
    <row r="3127" spans="1:15" x14ac:dyDescent="0.25">
      <c r="A3127" t="s">
        <v>4192</v>
      </c>
      <c r="B3127" s="2">
        <v>48783</v>
      </c>
      <c r="C3127" t="s">
        <v>633</v>
      </c>
      <c r="D3127" t="s">
        <v>634</v>
      </c>
      <c r="E3127" t="s">
        <v>96</v>
      </c>
      <c r="F3127" t="s">
        <v>196</v>
      </c>
      <c r="G3127" t="s">
        <v>51</v>
      </c>
      <c r="H3127" t="s">
        <v>52</v>
      </c>
      <c r="I3127" t="s">
        <v>208</v>
      </c>
      <c r="J3127">
        <v>1</v>
      </c>
      <c r="K3127">
        <v>2800</v>
      </c>
      <c r="L3127">
        <v>0.25</v>
      </c>
      <c r="M3127">
        <v>2100</v>
      </c>
      <c r="N3127">
        <v>1800</v>
      </c>
      <c r="O3127">
        <v>300</v>
      </c>
    </row>
    <row r="3128" spans="1:15" x14ac:dyDescent="0.25">
      <c r="A3128" t="s">
        <v>4193</v>
      </c>
      <c r="B3128" s="2">
        <v>48784</v>
      </c>
      <c r="C3128" t="s">
        <v>1220</v>
      </c>
      <c r="D3128" t="s">
        <v>1221</v>
      </c>
      <c r="E3128" t="s">
        <v>39</v>
      </c>
      <c r="F3128" t="s">
        <v>76</v>
      </c>
      <c r="G3128" t="s">
        <v>51</v>
      </c>
      <c r="H3128" t="s">
        <v>52</v>
      </c>
      <c r="I3128" t="s">
        <v>208</v>
      </c>
      <c r="J3128">
        <v>3</v>
      </c>
      <c r="K3128">
        <v>2800</v>
      </c>
      <c r="L3128">
        <v>0.15</v>
      </c>
      <c r="M3128">
        <v>7140</v>
      </c>
      <c r="N3128">
        <v>5400</v>
      </c>
      <c r="O3128">
        <v>1740</v>
      </c>
    </row>
    <row r="3129" spans="1:15" x14ac:dyDescent="0.25">
      <c r="A3129" t="s">
        <v>4194</v>
      </c>
      <c r="B3129" s="2">
        <v>48785</v>
      </c>
      <c r="C3129" t="s">
        <v>1616</v>
      </c>
      <c r="D3129" t="s">
        <v>1617</v>
      </c>
      <c r="E3129" t="s">
        <v>96</v>
      </c>
      <c r="F3129" t="s">
        <v>97</v>
      </c>
      <c r="G3129" t="s">
        <v>28</v>
      </c>
      <c r="H3129" t="s">
        <v>29</v>
      </c>
      <c r="I3129" t="s">
        <v>30</v>
      </c>
      <c r="J3129">
        <v>4</v>
      </c>
      <c r="K3129">
        <v>1900</v>
      </c>
      <c r="L3129">
        <v>0.2</v>
      </c>
      <c r="M3129">
        <v>6080</v>
      </c>
      <c r="N3129">
        <v>5000</v>
      </c>
      <c r="O3129">
        <v>1080</v>
      </c>
    </row>
    <row r="3130" spans="1:15" x14ac:dyDescent="0.25">
      <c r="A3130" t="s">
        <v>4195</v>
      </c>
      <c r="B3130" s="2">
        <v>48786</v>
      </c>
      <c r="C3130" t="s">
        <v>905</v>
      </c>
      <c r="D3130" t="s">
        <v>906</v>
      </c>
      <c r="E3130" t="s">
        <v>26</v>
      </c>
      <c r="F3130" t="s">
        <v>34</v>
      </c>
      <c r="G3130" t="s">
        <v>28</v>
      </c>
      <c r="H3130" t="s">
        <v>29</v>
      </c>
      <c r="I3130" t="s">
        <v>35</v>
      </c>
      <c r="J3130">
        <v>2</v>
      </c>
      <c r="K3130">
        <v>4200</v>
      </c>
      <c r="L3130">
        <v>0.1</v>
      </c>
      <c r="M3130">
        <v>7560</v>
      </c>
      <c r="N3130">
        <v>5800</v>
      </c>
      <c r="O3130">
        <v>1760</v>
      </c>
    </row>
    <row r="3131" spans="1:15" x14ac:dyDescent="0.25">
      <c r="A3131" t="s">
        <v>4196</v>
      </c>
      <c r="B3131" s="2">
        <v>48787</v>
      </c>
      <c r="C3131" t="s">
        <v>757</v>
      </c>
      <c r="D3131" t="s">
        <v>758</v>
      </c>
      <c r="E3131" t="s">
        <v>39</v>
      </c>
      <c r="F3131" t="s">
        <v>76</v>
      </c>
      <c r="G3131" t="s">
        <v>51</v>
      </c>
      <c r="H3131" t="s">
        <v>52</v>
      </c>
      <c r="I3131" t="s">
        <v>53</v>
      </c>
      <c r="J3131">
        <v>1</v>
      </c>
      <c r="K3131">
        <v>2200</v>
      </c>
      <c r="L3131">
        <v>0</v>
      </c>
      <c r="M3131">
        <v>2200</v>
      </c>
      <c r="N3131">
        <v>1450</v>
      </c>
      <c r="O3131">
        <v>750</v>
      </c>
    </row>
    <row r="3132" spans="1:15" x14ac:dyDescent="0.25">
      <c r="A3132" t="s">
        <v>4197</v>
      </c>
      <c r="B3132" s="2">
        <v>48788</v>
      </c>
      <c r="C3132" t="s">
        <v>1358</v>
      </c>
      <c r="D3132" t="s">
        <v>1359</v>
      </c>
      <c r="E3132" t="s">
        <v>18</v>
      </c>
      <c r="F3132" t="s">
        <v>227</v>
      </c>
      <c r="G3132" t="s">
        <v>28</v>
      </c>
      <c r="H3132" t="s">
        <v>29</v>
      </c>
      <c r="I3132" t="s">
        <v>35</v>
      </c>
      <c r="J3132">
        <v>4</v>
      </c>
      <c r="K3132">
        <v>4200</v>
      </c>
      <c r="L3132">
        <v>0.05</v>
      </c>
      <c r="M3132">
        <v>15960</v>
      </c>
      <c r="N3132">
        <v>11600</v>
      </c>
      <c r="O3132">
        <v>4360</v>
      </c>
    </row>
    <row r="3133" spans="1:15" x14ac:dyDescent="0.25">
      <c r="A3133" t="s">
        <v>4198</v>
      </c>
      <c r="B3133" s="2">
        <v>48789</v>
      </c>
      <c r="C3133" t="s">
        <v>799</v>
      </c>
      <c r="D3133" t="s">
        <v>800</v>
      </c>
      <c r="E3133" t="s">
        <v>26</v>
      </c>
      <c r="F3133" t="s">
        <v>34</v>
      </c>
      <c r="G3133" t="s">
        <v>28</v>
      </c>
      <c r="H3133" t="s">
        <v>63</v>
      </c>
      <c r="I3133" t="s">
        <v>64</v>
      </c>
      <c r="J3133">
        <v>4</v>
      </c>
      <c r="K3133">
        <v>2400</v>
      </c>
      <c r="L3133">
        <v>0</v>
      </c>
      <c r="M3133">
        <v>9600</v>
      </c>
      <c r="N3133">
        <v>6600</v>
      </c>
      <c r="O3133">
        <v>3000</v>
      </c>
    </row>
    <row r="3134" spans="1:15" x14ac:dyDescent="0.25">
      <c r="A3134" t="s">
        <v>4199</v>
      </c>
      <c r="B3134" s="2">
        <v>48790</v>
      </c>
      <c r="C3134" t="s">
        <v>82</v>
      </c>
      <c r="D3134" t="s">
        <v>83</v>
      </c>
      <c r="E3134" t="s">
        <v>96</v>
      </c>
      <c r="F3134" t="s">
        <v>196</v>
      </c>
      <c r="G3134" t="s">
        <v>28</v>
      </c>
      <c r="H3134" t="s">
        <v>63</v>
      </c>
      <c r="I3134" t="s">
        <v>64</v>
      </c>
      <c r="J3134">
        <v>2</v>
      </c>
      <c r="K3134">
        <v>2400</v>
      </c>
      <c r="L3134">
        <v>0.15</v>
      </c>
      <c r="M3134">
        <v>4080</v>
      </c>
      <c r="N3134">
        <v>3300</v>
      </c>
      <c r="O3134">
        <v>780</v>
      </c>
    </row>
    <row r="3135" spans="1:15" x14ac:dyDescent="0.25">
      <c r="A3135" t="s">
        <v>4200</v>
      </c>
      <c r="B3135" s="2">
        <v>48791</v>
      </c>
      <c r="C3135" t="s">
        <v>1067</v>
      </c>
      <c r="D3135" t="s">
        <v>1068</v>
      </c>
      <c r="E3135" t="s">
        <v>39</v>
      </c>
      <c r="F3135" t="s">
        <v>71</v>
      </c>
      <c r="G3135" t="s">
        <v>28</v>
      </c>
      <c r="H3135" t="s">
        <v>63</v>
      </c>
      <c r="I3135" t="s">
        <v>64</v>
      </c>
      <c r="J3135">
        <v>2</v>
      </c>
      <c r="K3135">
        <v>2400</v>
      </c>
      <c r="L3135">
        <v>0</v>
      </c>
      <c r="M3135">
        <v>4800</v>
      </c>
      <c r="N3135">
        <v>3300</v>
      </c>
      <c r="O3135">
        <v>1500</v>
      </c>
    </row>
    <row r="3136" spans="1:15" x14ac:dyDescent="0.25">
      <c r="A3136" t="s">
        <v>4201</v>
      </c>
      <c r="B3136" s="2">
        <v>48792</v>
      </c>
      <c r="C3136" t="s">
        <v>787</v>
      </c>
      <c r="D3136" t="s">
        <v>788</v>
      </c>
      <c r="E3136" t="s">
        <v>39</v>
      </c>
      <c r="F3136" t="s">
        <v>76</v>
      </c>
      <c r="G3136" t="s">
        <v>20</v>
      </c>
      <c r="H3136" t="s">
        <v>41</v>
      </c>
      <c r="I3136" t="s">
        <v>42</v>
      </c>
      <c r="J3136">
        <v>3</v>
      </c>
      <c r="K3136">
        <v>520</v>
      </c>
      <c r="L3136">
        <v>0.15</v>
      </c>
      <c r="M3136">
        <v>1326</v>
      </c>
      <c r="N3136">
        <v>990</v>
      </c>
      <c r="O3136">
        <v>336</v>
      </c>
    </row>
    <row r="3137" spans="1:15" x14ac:dyDescent="0.25">
      <c r="A3137" t="s">
        <v>4202</v>
      </c>
      <c r="B3137" s="2">
        <v>48793</v>
      </c>
      <c r="C3137" t="s">
        <v>444</v>
      </c>
      <c r="D3137" t="s">
        <v>445</v>
      </c>
      <c r="E3137" t="s">
        <v>39</v>
      </c>
      <c r="F3137" t="s">
        <v>76</v>
      </c>
      <c r="G3137" t="s">
        <v>57</v>
      </c>
      <c r="H3137" t="s">
        <v>188</v>
      </c>
      <c r="I3137" t="s">
        <v>189</v>
      </c>
      <c r="J3137">
        <v>5</v>
      </c>
      <c r="K3137">
        <v>6200</v>
      </c>
      <c r="L3137">
        <v>0.25</v>
      </c>
      <c r="M3137">
        <v>23250</v>
      </c>
      <c r="N3137">
        <v>21500</v>
      </c>
      <c r="O3137">
        <v>1750</v>
      </c>
    </row>
    <row r="3138" spans="1:15" x14ac:dyDescent="0.25">
      <c r="A3138" t="s">
        <v>4203</v>
      </c>
      <c r="B3138" s="2">
        <v>48794</v>
      </c>
      <c r="C3138" t="s">
        <v>1889</v>
      </c>
      <c r="D3138" t="s">
        <v>1890</v>
      </c>
      <c r="E3138" t="s">
        <v>26</v>
      </c>
      <c r="F3138" t="s">
        <v>27</v>
      </c>
      <c r="G3138" t="s">
        <v>57</v>
      </c>
      <c r="H3138" t="s">
        <v>58</v>
      </c>
      <c r="I3138" t="s">
        <v>59</v>
      </c>
      <c r="J3138">
        <v>1</v>
      </c>
      <c r="K3138">
        <v>5600</v>
      </c>
      <c r="L3138">
        <v>0.1</v>
      </c>
      <c r="M3138">
        <v>5040</v>
      </c>
      <c r="N3138">
        <v>3900</v>
      </c>
      <c r="O3138">
        <v>1140</v>
      </c>
    </row>
    <row r="3139" spans="1:15" x14ac:dyDescent="0.25">
      <c r="A3139" t="s">
        <v>4204</v>
      </c>
      <c r="B3139" s="2">
        <v>48795</v>
      </c>
      <c r="C3139" t="s">
        <v>1671</v>
      </c>
      <c r="D3139" t="s">
        <v>1672</v>
      </c>
      <c r="E3139" t="s">
        <v>96</v>
      </c>
      <c r="F3139" t="s">
        <v>196</v>
      </c>
      <c r="G3139" t="s">
        <v>20</v>
      </c>
      <c r="H3139" t="s">
        <v>21</v>
      </c>
      <c r="I3139" t="s">
        <v>22</v>
      </c>
      <c r="J3139">
        <v>5</v>
      </c>
      <c r="K3139">
        <v>650</v>
      </c>
      <c r="L3139">
        <v>0.1</v>
      </c>
      <c r="M3139">
        <v>2925</v>
      </c>
      <c r="N3139">
        <v>1950</v>
      </c>
      <c r="O3139">
        <v>975</v>
      </c>
    </row>
    <row r="3140" spans="1:15" x14ac:dyDescent="0.25">
      <c r="A3140" t="s">
        <v>4205</v>
      </c>
      <c r="B3140" s="2">
        <v>48796</v>
      </c>
      <c r="C3140" t="s">
        <v>259</v>
      </c>
      <c r="D3140" t="s">
        <v>260</v>
      </c>
      <c r="E3140" t="s">
        <v>26</v>
      </c>
      <c r="F3140" t="s">
        <v>27</v>
      </c>
      <c r="G3140" t="s">
        <v>51</v>
      </c>
      <c r="H3140" t="s">
        <v>52</v>
      </c>
      <c r="I3140" t="s">
        <v>208</v>
      </c>
      <c r="J3140">
        <v>3</v>
      </c>
      <c r="K3140">
        <v>2800</v>
      </c>
      <c r="L3140">
        <v>0.2</v>
      </c>
      <c r="M3140">
        <v>6720</v>
      </c>
      <c r="N3140">
        <v>5400</v>
      </c>
      <c r="O3140">
        <v>1320</v>
      </c>
    </row>
    <row r="3141" spans="1:15" x14ac:dyDescent="0.25">
      <c r="A3141" t="s">
        <v>4206</v>
      </c>
      <c r="B3141" s="2">
        <v>48797</v>
      </c>
      <c r="C3141" t="s">
        <v>360</v>
      </c>
      <c r="D3141" t="s">
        <v>361</v>
      </c>
      <c r="E3141" t="s">
        <v>39</v>
      </c>
      <c r="F3141" t="s">
        <v>124</v>
      </c>
      <c r="G3141" t="s">
        <v>28</v>
      </c>
      <c r="H3141" t="s">
        <v>29</v>
      </c>
      <c r="I3141" t="s">
        <v>47</v>
      </c>
      <c r="J3141">
        <v>4</v>
      </c>
      <c r="K3141">
        <v>6800</v>
      </c>
      <c r="L3141">
        <v>0.2</v>
      </c>
      <c r="M3141">
        <v>21760</v>
      </c>
      <c r="N3141">
        <v>18800</v>
      </c>
      <c r="O3141">
        <v>2960</v>
      </c>
    </row>
    <row r="3142" spans="1:15" x14ac:dyDescent="0.25">
      <c r="A3142" t="s">
        <v>4207</v>
      </c>
      <c r="B3142" s="2">
        <v>48798</v>
      </c>
      <c r="C3142" t="s">
        <v>2488</v>
      </c>
      <c r="D3142" t="s">
        <v>2489</v>
      </c>
      <c r="E3142" t="s">
        <v>96</v>
      </c>
      <c r="F3142" t="s">
        <v>97</v>
      </c>
      <c r="G3142" t="s">
        <v>57</v>
      </c>
      <c r="H3142" t="s">
        <v>104</v>
      </c>
      <c r="I3142" t="s">
        <v>105</v>
      </c>
      <c r="J3142">
        <v>1</v>
      </c>
      <c r="K3142">
        <v>7500</v>
      </c>
      <c r="L3142">
        <v>0.1</v>
      </c>
      <c r="M3142">
        <v>6750</v>
      </c>
      <c r="N3142">
        <v>5200</v>
      </c>
      <c r="O3142">
        <v>1550</v>
      </c>
    </row>
    <row r="3143" spans="1:15" x14ac:dyDescent="0.25">
      <c r="A3143" t="s">
        <v>4208</v>
      </c>
      <c r="B3143" s="2">
        <v>48799</v>
      </c>
      <c r="C3143" t="s">
        <v>2182</v>
      </c>
      <c r="D3143" t="s">
        <v>2183</v>
      </c>
      <c r="E3143" t="s">
        <v>96</v>
      </c>
      <c r="F3143" t="s">
        <v>120</v>
      </c>
      <c r="G3143" t="s">
        <v>20</v>
      </c>
      <c r="H3143" t="s">
        <v>84</v>
      </c>
      <c r="I3143" t="s">
        <v>210</v>
      </c>
      <c r="J3143">
        <v>3</v>
      </c>
      <c r="K3143">
        <v>300</v>
      </c>
      <c r="L3143">
        <v>0</v>
      </c>
      <c r="M3143">
        <v>900</v>
      </c>
      <c r="N3143">
        <v>510</v>
      </c>
      <c r="O3143">
        <v>390</v>
      </c>
    </row>
    <row r="3144" spans="1:15" x14ac:dyDescent="0.25">
      <c r="A3144" t="s">
        <v>4209</v>
      </c>
      <c r="B3144" s="2">
        <v>48800</v>
      </c>
      <c r="C3144" t="s">
        <v>744</v>
      </c>
      <c r="D3144" t="s">
        <v>745</v>
      </c>
      <c r="E3144" t="s">
        <v>26</v>
      </c>
      <c r="F3144" t="s">
        <v>46</v>
      </c>
      <c r="G3144" t="s">
        <v>28</v>
      </c>
      <c r="H3144" t="s">
        <v>29</v>
      </c>
      <c r="I3144" t="s">
        <v>47</v>
      </c>
      <c r="J3144">
        <v>5</v>
      </c>
      <c r="K3144">
        <v>6800</v>
      </c>
      <c r="L3144">
        <v>0</v>
      </c>
      <c r="M3144">
        <v>34000</v>
      </c>
      <c r="N3144">
        <v>23500</v>
      </c>
      <c r="O3144">
        <v>10500</v>
      </c>
    </row>
    <row r="3145" spans="1:15" x14ac:dyDescent="0.25">
      <c r="A3145" t="s">
        <v>4210</v>
      </c>
      <c r="B3145" s="2">
        <v>48801</v>
      </c>
      <c r="C3145" t="s">
        <v>1602</v>
      </c>
      <c r="D3145" t="s">
        <v>1603</v>
      </c>
      <c r="E3145" t="s">
        <v>39</v>
      </c>
      <c r="F3145" t="s">
        <v>76</v>
      </c>
      <c r="G3145" t="s">
        <v>20</v>
      </c>
      <c r="H3145" t="s">
        <v>84</v>
      </c>
      <c r="I3145" t="s">
        <v>210</v>
      </c>
      <c r="J3145">
        <v>1</v>
      </c>
      <c r="K3145">
        <v>300</v>
      </c>
      <c r="L3145">
        <v>0.1</v>
      </c>
      <c r="M3145">
        <v>270</v>
      </c>
      <c r="N3145">
        <v>170</v>
      </c>
      <c r="O3145">
        <v>100</v>
      </c>
    </row>
    <row r="3146" spans="1:15" x14ac:dyDescent="0.25">
      <c r="A3146" t="s">
        <v>4211</v>
      </c>
      <c r="B3146" s="2">
        <v>48802</v>
      </c>
      <c r="C3146" t="s">
        <v>202</v>
      </c>
      <c r="D3146" t="s">
        <v>203</v>
      </c>
      <c r="E3146" t="s">
        <v>26</v>
      </c>
      <c r="F3146" t="s">
        <v>34</v>
      </c>
      <c r="G3146" t="s">
        <v>20</v>
      </c>
      <c r="H3146" t="s">
        <v>21</v>
      </c>
      <c r="I3146" t="s">
        <v>22</v>
      </c>
      <c r="J3146">
        <v>1</v>
      </c>
      <c r="K3146">
        <v>650</v>
      </c>
      <c r="L3146">
        <v>0.05</v>
      </c>
      <c r="M3146">
        <v>617.5</v>
      </c>
      <c r="N3146">
        <v>390</v>
      </c>
      <c r="O3146">
        <v>227.5</v>
      </c>
    </row>
    <row r="3147" spans="1:15" x14ac:dyDescent="0.25">
      <c r="A3147" t="s">
        <v>4212</v>
      </c>
      <c r="B3147" s="2">
        <v>48803</v>
      </c>
      <c r="C3147" t="s">
        <v>2326</v>
      </c>
      <c r="D3147" t="s">
        <v>2327</v>
      </c>
      <c r="E3147" t="s">
        <v>26</v>
      </c>
      <c r="F3147" t="s">
        <v>46</v>
      </c>
      <c r="G3147" t="s">
        <v>20</v>
      </c>
      <c r="H3147" t="s">
        <v>84</v>
      </c>
      <c r="I3147" t="s">
        <v>210</v>
      </c>
      <c r="J3147">
        <v>2</v>
      </c>
      <c r="K3147">
        <v>300</v>
      </c>
      <c r="L3147">
        <v>0.05</v>
      </c>
      <c r="M3147">
        <v>570</v>
      </c>
      <c r="N3147">
        <v>340</v>
      </c>
      <c r="O3147">
        <v>230</v>
      </c>
    </row>
    <row r="3148" spans="1:15" x14ac:dyDescent="0.25">
      <c r="A3148" t="s">
        <v>4213</v>
      </c>
      <c r="B3148" s="2">
        <v>48804</v>
      </c>
      <c r="C3148" t="s">
        <v>1616</v>
      </c>
      <c r="D3148" t="s">
        <v>1617</v>
      </c>
      <c r="E3148" t="s">
        <v>96</v>
      </c>
      <c r="F3148" t="s">
        <v>196</v>
      </c>
      <c r="G3148" t="s">
        <v>57</v>
      </c>
      <c r="H3148" t="s">
        <v>58</v>
      </c>
      <c r="I3148" t="s">
        <v>59</v>
      </c>
      <c r="J3148">
        <v>3</v>
      </c>
      <c r="K3148">
        <v>5600</v>
      </c>
      <c r="L3148">
        <v>0.05</v>
      </c>
      <c r="M3148">
        <v>15960</v>
      </c>
      <c r="N3148">
        <v>11700</v>
      </c>
      <c r="O3148">
        <v>4260</v>
      </c>
    </row>
    <row r="3149" spans="1:15" x14ac:dyDescent="0.25">
      <c r="A3149" t="s">
        <v>4214</v>
      </c>
      <c r="B3149" s="2">
        <v>48805</v>
      </c>
      <c r="C3149" t="s">
        <v>763</v>
      </c>
      <c r="D3149" t="s">
        <v>764</v>
      </c>
      <c r="E3149" t="s">
        <v>26</v>
      </c>
      <c r="F3149" t="s">
        <v>27</v>
      </c>
      <c r="G3149" t="s">
        <v>20</v>
      </c>
      <c r="H3149" t="s">
        <v>84</v>
      </c>
      <c r="I3149" t="s">
        <v>169</v>
      </c>
      <c r="J3149">
        <v>5</v>
      </c>
      <c r="K3149">
        <v>450</v>
      </c>
      <c r="L3149">
        <v>0.1</v>
      </c>
      <c r="M3149">
        <v>2025</v>
      </c>
      <c r="N3149">
        <v>1300</v>
      </c>
      <c r="O3149">
        <v>725</v>
      </c>
    </row>
    <row r="3150" spans="1:15" x14ac:dyDescent="0.25">
      <c r="A3150" t="s">
        <v>4215</v>
      </c>
      <c r="B3150" s="2">
        <v>48806</v>
      </c>
      <c r="C3150" t="s">
        <v>1865</v>
      </c>
      <c r="D3150" t="s">
        <v>1866</v>
      </c>
      <c r="E3150" t="s">
        <v>39</v>
      </c>
      <c r="F3150" t="s">
        <v>40</v>
      </c>
      <c r="G3150" t="s">
        <v>51</v>
      </c>
      <c r="H3150" t="s">
        <v>21</v>
      </c>
      <c r="I3150" t="s">
        <v>72</v>
      </c>
      <c r="J3150">
        <v>1</v>
      </c>
      <c r="K3150">
        <v>1800</v>
      </c>
      <c r="L3150">
        <v>0.1</v>
      </c>
      <c r="M3150">
        <v>1620</v>
      </c>
      <c r="N3150">
        <v>1100</v>
      </c>
      <c r="O3150">
        <v>520</v>
      </c>
    </row>
    <row r="3151" spans="1:15" x14ac:dyDescent="0.25">
      <c r="A3151" t="s">
        <v>4216</v>
      </c>
      <c r="B3151" s="2">
        <v>48807</v>
      </c>
      <c r="C3151" t="s">
        <v>1948</v>
      </c>
      <c r="D3151" t="s">
        <v>1949</v>
      </c>
      <c r="E3151" t="s">
        <v>26</v>
      </c>
      <c r="F3151" t="s">
        <v>128</v>
      </c>
      <c r="G3151" t="s">
        <v>57</v>
      </c>
      <c r="H3151" t="s">
        <v>104</v>
      </c>
      <c r="I3151" t="s">
        <v>105</v>
      </c>
      <c r="J3151">
        <v>1</v>
      </c>
      <c r="K3151">
        <v>7500</v>
      </c>
      <c r="L3151">
        <v>0.1</v>
      </c>
      <c r="M3151">
        <v>6750</v>
      </c>
      <c r="N3151">
        <v>5200</v>
      </c>
      <c r="O3151">
        <v>1550</v>
      </c>
    </row>
    <row r="3152" spans="1:15" x14ac:dyDescent="0.25">
      <c r="A3152" t="s">
        <v>4217</v>
      </c>
      <c r="B3152" s="2">
        <v>48808</v>
      </c>
      <c r="C3152" t="s">
        <v>271</v>
      </c>
      <c r="D3152" t="s">
        <v>272</v>
      </c>
      <c r="E3152" t="s">
        <v>39</v>
      </c>
      <c r="F3152" t="s">
        <v>71</v>
      </c>
      <c r="G3152" t="s">
        <v>20</v>
      </c>
      <c r="H3152" t="s">
        <v>84</v>
      </c>
      <c r="I3152" t="s">
        <v>85</v>
      </c>
      <c r="J3152">
        <v>1</v>
      </c>
      <c r="K3152">
        <v>280</v>
      </c>
      <c r="L3152">
        <v>0.15</v>
      </c>
      <c r="M3152">
        <v>238</v>
      </c>
      <c r="N3152">
        <v>160</v>
      </c>
      <c r="O3152">
        <v>78</v>
      </c>
    </row>
    <row r="3153" spans="1:15" x14ac:dyDescent="0.25">
      <c r="A3153" t="s">
        <v>4218</v>
      </c>
      <c r="B3153" s="2">
        <v>48809</v>
      </c>
      <c r="C3153" t="s">
        <v>784</v>
      </c>
      <c r="D3153" t="s">
        <v>785</v>
      </c>
      <c r="E3153" t="s">
        <v>96</v>
      </c>
      <c r="F3153" t="s">
        <v>200</v>
      </c>
      <c r="G3153" t="s">
        <v>57</v>
      </c>
      <c r="H3153" t="s">
        <v>58</v>
      </c>
      <c r="I3153" t="s">
        <v>129</v>
      </c>
      <c r="J3153">
        <v>4</v>
      </c>
      <c r="K3153">
        <v>4800</v>
      </c>
      <c r="L3153">
        <v>0.1</v>
      </c>
      <c r="M3153">
        <v>17280</v>
      </c>
      <c r="N3153">
        <v>13200</v>
      </c>
      <c r="O3153">
        <v>4080</v>
      </c>
    </row>
    <row r="3154" spans="1:15" x14ac:dyDescent="0.25">
      <c r="A3154" t="s">
        <v>4219</v>
      </c>
      <c r="B3154" s="2">
        <v>48810</v>
      </c>
      <c r="C3154" t="s">
        <v>1210</v>
      </c>
      <c r="D3154" t="s">
        <v>1211</v>
      </c>
      <c r="E3154" t="s">
        <v>96</v>
      </c>
      <c r="F3154" t="s">
        <v>97</v>
      </c>
      <c r="G3154" t="s">
        <v>20</v>
      </c>
      <c r="H3154" t="s">
        <v>84</v>
      </c>
      <c r="I3154" t="s">
        <v>169</v>
      </c>
      <c r="J3154">
        <v>4</v>
      </c>
      <c r="K3154">
        <v>450</v>
      </c>
      <c r="L3154">
        <v>0.05</v>
      </c>
      <c r="M3154">
        <v>1710</v>
      </c>
      <c r="N3154">
        <v>1040</v>
      </c>
      <c r="O3154">
        <v>670</v>
      </c>
    </row>
    <row r="3155" spans="1:15" x14ac:dyDescent="0.25">
      <c r="A3155" t="s">
        <v>4220</v>
      </c>
      <c r="B3155" s="2">
        <v>48811</v>
      </c>
      <c r="C3155" t="s">
        <v>945</v>
      </c>
      <c r="D3155" t="s">
        <v>946</v>
      </c>
      <c r="E3155" t="s">
        <v>39</v>
      </c>
      <c r="F3155" t="s">
        <v>124</v>
      </c>
      <c r="G3155" t="s">
        <v>20</v>
      </c>
      <c r="H3155" t="s">
        <v>84</v>
      </c>
      <c r="I3155" t="s">
        <v>210</v>
      </c>
      <c r="J3155">
        <v>4</v>
      </c>
      <c r="K3155">
        <v>300</v>
      </c>
      <c r="L3155">
        <v>0.15</v>
      </c>
      <c r="M3155">
        <v>1020</v>
      </c>
      <c r="N3155">
        <v>680</v>
      </c>
      <c r="O3155">
        <v>340</v>
      </c>
    </row>
    <row r="3156" spans="1:15" x14ac:dyDescent="0.25">
      <c r="A3156" t="s">
        <v>4221</v>
      </c>
      <c r="B3156" s="2">
        <v>48812</v>
      </c>
      <c r="C3156" t="s">
        <v>2111</v>
      </c>
      <c r="D3156" t="s">
        <v>2112</v>
      </c>
      <c r="E3156" t="s">
        <v>26</v>
      </c>
      <c r="F3156" t="s">
        <v>27</v>
      </c>
      <c r="G3156" t="s">
        <v>28</v>
      </c>
      <c r="H3156" t="s">
        <v>29</v>
      </c>
      <c r="I3156" t="s">
        <v>30</v>
      </c>
      <c r="J3156">
        <v>4</v>
      </c>
      <c r="K3156">
        <v>1900</v>
      </c>
      <c r="L3156">
        <v>0.2</v>
      </c>
      <c r="M3156">
        <v>6080</v>
      </c>
      <c r="N3156">
        <v>5000</v>
      </c>
      <c r="O3156">
        <v>1080</v>
      </c>
    </row>
    <row r="3157" spans="1:15" x14ac:dyDescent="0.25">
      <c r="A3157" t="s">
        <v>4222</v>
      </c>
      <c r="B3157" s="2">
        <v>48813</v>
      </c>
      <c r="C3157" t="s">
        <v>180</v>
      </c>
      <c r="D3157" t="s">
        <v>181</v>
      </c>
      <c r="E3157" t="s">
        <v>18</v>
      </c>
      <c r="F3157" t="s">
        <v>115</v>
      </c>
      <c r="G3157" t="s">
        <v>20</v>
      </c>
      <c r="H3157" t="s">
        <v>84</v>
      </c>
      <c r="I3157" t="s">
        <v>210</v>
      </c>
      <c r="J3157">
        <v>5</v>
      </c>
      <c r="K3157">
        <v>300</v>
      </c>
      <c r="L3157">
        <v>0.25</v>
      </c>
      <c r="M3157">
        <v>1125</v>
      </c>
      <c r="N3157">
        <v>850</v>
      </c>
      <c r="O3157">
        <v>275</v>
      </c>
    </row>
    <row r="3158" spans="1:15" x14ac:dyDescent="0.25">
      <c r="A3158" t="s">
        <v>4223</v>
      </c>
      <c r="B3158" s="2">
        <v>48814</v>
      </c>
      <c r="C3158" t="s">
        <v>1471</v>
      </c>
      <c r="D3158" t="s">
        <v>1472</v>
      </c>
      <c r="E3158" t="s">
        <v>26</v>
      </c>
      <c r="F3158" t="s">
        <v>204</v>
      </c>
      <c r="G3158" t="s">
        <v>57</v>
      </c>
      <c r="H3158" t="s">
        <v>58</v>
      </c>
      <c r="I3158" t="s">
        <v>59</v>
      </c>
      <c r="J3158">
        <v>5</v>
      </c>
      <c r="K3158">
        <v>5600</v>
      </c>
      <c r="L3158">
        <v>0.1</v>
      </c>
      <c r="M3158">
        <v>25200</v>
      </c>
      <c r="N3158">
        <v>19500</v>
      </c>
      <c r="O3158">
        <v>5700</v>
      </c>
    </row>
    <row r="3159" spans="1:15" x14ac:dyDescent="0.25">
      <c r="A3159" t="s">
        <v>4224</v>
      </c>
      <c r="B3159" s="2">
        <v>48815</v>
      </c>
      <c r="C3159" t="s">
        <v>420</v>
      </c>
      <c r="D3159" t="s">
        <v>421</v>
      </c>
      <c r="E3159" t="s">
        <v>26</v>
      </c>
      <c r="F3159" t="s">
        <v>46</v>
      </c>
      <c r="G3159" t="s">
        <v>57</v>
      </c>
      <c r="H3159" t="s">
        <v>58</v>
      </c>
      <c r="I3159" t="s">
        <v>59</v>
      </c>
      <c r="J3159">
        <v>5</v>
      </c>
      <c r="K3159">
        <v>5600</v>
      </c>
      <c r="L3159">
        <v>0.15</v>
      </c>
      <c r="M3159">
        <v>23800</v>
      </c>
      <c r="N3159">
        <v>19500</v>
      </c>
      <c r="O3159">
        <v>4300</v>
      </c>
    </row>
    <row r="3160" spans="1:15" x14ac:dyDescent="0.25">
      <c r="A3160" t="s">
        <v>4225</v>
      </c>
      <c r="B3160" s="2">
        <v>48816</v>
      </c>
      <c r="C3160" t="s">
        <v>1755</v>
      </c>
      <c r="D3160" t="s">
        <v>1756</v>
      </c>
      <c r="E3160" t="s">
        <v>26</v>
      </c>
      <c r="F3160" t="s">
        <v>34</v>
      </c>
      <c r="G3160" t="s">
        <v>57</v>
      </c>
      <c r="H3160" t="s">
        <v>188</v>
      </c>
      <c r="I3160" t="s">
        <v>189</v>
      </c>
      <c r="J3160">
        <v>3</v>
      </c>
      <c r="K3160">
        <v>6200</v>
      </c>
      <c r="L3160">
        <v>0.15</v>
      </c>
      <c r="M3160">
        <v>15810</v>
      </c>
      <c r="N3160">
        <v>12900</v>
      </c>
      <c r="O3160">
        <v>2910</v>
      </c>
    </row>
    <row r="3161" spans="1:15" x14ac:dyDescent="0.25">
      <c r="A3161" t="s">
        <v>4226</v>
      </c>
      <c r="B3161" s="2">
        <v>48817</v>
      </c>
      <c r="C3161" t="s">
        <v>102</v>
      </c>
      <c r="D3161" t="s">
        <v>103</v>
      </c>
      <c r="E3161" t="s">
        <v>39</v>
      </c>
      <c r="F3161" t="s">
        <v>124</v>
      </c>
      <c r="G3161" t="s">
        <v>51</v>
      </c>
      <c r="H3161" t="s">
        <v>21</v>
      </c>
      <c r="I3161" t="s">
        <v>80</v>
      </c>
      <c r="J3161">
        <v>1</v>
      </c>
      <c r="K3161">
        <v>850</v>
      </c>
      <c r="L3161">
        <v>0</v>
      </c>
      <c r="M3161">
        <v>850</v>
      </c>
      <c r="N3161">
        <v>560</v>
      </c>
      <c r="O3161">
        <v>290</v>
      </c>
    </row>
    <row r="3162" spans="1:15" x14ac:dyDescent="0.25">
      <c r="A3162" t="s">
        <v>4227</v>
      </c>
      <c r="B3162" s="2">
        <v>48818</v>
      </c>
      <c r="C3162" t="s">
        <v>1328</v>
      </c>
      <c r="D3162" t="s">
        <v>1329</v>
      </c>
      <c r="E3162" t="s">
        <v>39</v>
      </c>
      <c r="F3162" t="s">
        <v>40</v>
      </c>
      <c r="G3162" t="s">
        <v>20</v>
      </c>
      <c r="H3162" t="s">
        <v>84</v>
      </c>
      <c r="I3162" t="s">
        <v>210</v>
      </c>
      <c r="J3162">
        <v>4</v>
      </c>
      <c r="K3162">
        <v>300</v>
      </c>
      <c r="L3162">
        <v>0</v>
      </c>
      <c r="M3162">
        <v>1200</v>
      </c>
      <c r="N3162">
        <v>680</v>
      </c>
      <c r="O3162">
        <v>520</v>
      </c>
    </row>
    <row r="3163" spans="1:15" x14ac:dyDescent="0.25">
      <c r="A3163" t="s">
        <v>4228</v>
      </c>
      <c r="B3163" s="2">
        <v>48819</v>
      </c>
      <c r="C3163" t="s">
        <v>2131</v>
      </c>
      <c r="D3163" t="s">
        <v>2132</v>
      </c>
      <c r="E3163" t="s">
        <v>26</v>
      </c>
      <c r="F3163" t="s">
        <v>204</v>
      </c>
      <c r="G3163" t="s">
        <v>57</v>
      </c>
      <c r="H3163" t="s">
        <v>104</v>
      </c>
      <c r="I3163" t="s">
        <v>105</v>
      </c>
      <c r="J3163">
        <v>4</v>
      </c>
      <c r="K3163">
        <v>7500</v>
      </c>
      <c r="L3163">
        <v>0.25</v>
      </c>
      <c r="M3163">
        <v>22500</v>
      </c>
      <c r="N3163">
        <v>20800</v>
      </c>
      <c r="O3163">
        <v>1700</v>
      </c>
    </row>
    <row r="3164" spans="1:15" x14ac:dyDescent="0.25">
      <c r="A3164" t="s">
        <v>4229</v>
      </c>
      <c r="B3164" s="2">
        <v>48820</v>
      </c>
      <c r="C3164" t="s">
        <v>1809</v>
      </c>
      <c r="D3164" t="s">
        <v>1810</v>
      </c>
      <c r="E3164" t="s">
        <v>18</v>
      </c>
      <c r="F3164" t="s">
        <v>94</v>
      </c>
      <c r="G3164" t="s">
        <v>28</v>
      </c>
      <c r="H3164" t="s">
        <v>29</v>
      </c>
      <c r="I3164" t="s">
        <v>47</v>
      </c>
      <c r="J3164">
        <v>1</v>
      </c>
      <c r="K3164">
        <v>6800</v>
      </c>
      <c r="L3164">
        <v>0.05</v>
      </c>
      <c r="M3164">
        <v>6460</v>
      </c>
      <c r="N3164">
        <v>4700</v>
      </c>
      <c r="O3164">
        <v>1760</v>
      </c>
    </row>
    <row r="3165" spans="1:15" x14ac:dyDescent="0.25">
      <c r="A3165" t="s">
        <v>4230</v>
      </c>
      <c r="B3165" s="2">
        <v>48821</v>
      </c>
      <c r="C3165" t="s">
        <v>588</v>
      </c>
      <c r="D3165" t="s">
        <v>589</v>
      </c>
      <c r="E3165" t="s">
        <v>96</v>
      </c>
      <c r="F3165" t="s">
        <v>120</v>
      </c>
      <c r="G3165" t="s">
        <v>28</v>
      </c>
      <c r="H3165" t="s">
        <v>29</v>
      </c>
      <c r="I3165" t="s">
        <v>35</v>
      </c>
      <c r="J3165">
        <v>2</v>
      </c>
      <c r="K3165">
        <v>4200</v>
      </c>
      <c r="L3165">
        <v>0</v>
      </c>
      <c r="M3165">
        <v>8400</v>
      </c>
      <c r="N3165">
        <v>5800</v>
      </c>
      <c r="O3165">
        <v>2600</v>
      </c>
    </row>
    <row r="3166" spans="1:15" x14ac:dyDescent="0.25">
      <c r="A3166" t="s">
        <v>4231</v>
      </c>
      <c r="B3166" s="2">
        <v>48822</v>
      </c>
      <c r="C3166" t="s">
        <v>1494</v>
      </c>
      <c r="D3166" t="s">
        <v>1495</v>
      </c>
      <c r="E3166" t="s">
        <v>39</v>
      </c>
      <c r="F3166" t="s">
        <v>124</v>
      </c>
      <c r="G3166" t="s">
        <v>51</v>
      </c>
      <c r="H3166" t="s">
        <v>52</v>
      </c>
      <c r="I3166" t="s">
        <v>53</v>
      </c>
      <c r="J3166">
        <v>3</v>
      </c>
      <c r="K3166">
        <v>2200</v>
      </c>
      <c r="L3166">
        <v>0.1</v>
      </c>
      <c r="M3166">
        <v>5940</v>
      </c>
      <c r="N3166">
        <v>4350</v>
      </c>
      <c r="O3166">
        <v>1590</v>
      </c>
    </row>
    <row r="3167" spans="1:15" x14ac:dyDescent="0.25">
      <c r="A3167" t="s">
        <v>4232</v>
      </c>
      <c r="B3167" s="2">
        <v>48823</v>
      </c>
      <c r="C3167" t="s">
        <v>1620</v>
      </c>
      <c r="D3167" t="s">
        <v>1621</v>
      </c>
      <c r="E3167" t="s">
        <v>39</v>
      </c>
      <c r="F3167" t="s">
        <v>71</v>
      </c>
      <c r="G3167" t="s">
        <v>51</v>
      </c>
      <c r="H3167" t="s">
        <v>21</v>
      </c>
      <c r="I3167" t="s">
        <v>80</v>
      </c>
      <c r="J3167">
        <v>2</v>
      </c>
      <c r="K3167">
        <v>850</v>
      </c>
      <c r="L3167">
        <v>0.1</v>
      </c>
      <c r="M3167">
        <v>1530</v>
      </c>
      <c r="N3167">
        <v>1120</v>
      </c>
      <c r="O3167">
        <v>410</v>
      </c>
    </row>
    <row r="3168" spans="1:15" x14ac:dyDescent="0.25">
      <c r="A3168" t="s">
        <v>4233</v>
      </c>
      <c r="B3168" s="2">
        <v>48824</v>
      </c>
      <c r="C3168" t="s">
        <v>1567</v>
      </c>
      <c r="D3168" t="s">
        <v>1568</v>
      </c>
      <c r="E3168" t="s">
        <v>26</v>
      </c>
      <c r="F3168" t="s">
        <v>46</v>
      </c>
      <c r="G3168" t="s">
        <v>28</v>
      </c>
      <c r="H3168" t="s">
        <v>29</v>
      </c>
      <c r="I3168" t="s">
        <v>30</v>
      </c>
      <c r="J3168">
        <v>5</v>
      </c>
      <c r="K3168">
        <v>1900</v>
      </c>
      <c r="L3168">
        <v>0.1</v>
      </c>
      <c r="M3168">
        <v>8550</v>
      </c>
      <c r="N3168">
        <v>6250</v>
      </c>
      <c r="O3168">
        <v>2300</v>
      </c>
    </row>
    <row r="3169" spans="1:15" x14ac:dyDescent="0.25">
      <c r="A3169" t="s">
        <v>4234</v>
      </c>
      <c r="B3169" s="2">
        <v>48825</v>
      </c>
      <c r="C3169" t="s">
        <v>1253</v>
      </c>
      <c r="D3169" t="s">
        <v>1254</v>
      </c>
      <c r="E3169" t="s">
        <v>26</v>
      </c>
      <c r="F3169" t="s">
        <v>128</v>
      </c>
      <c r="G3169" t="s">
        <v>20</v>
      </c>
      <c r="H3169" t="s">
        <v>84</v>
      </c>
      <c r="I3169" t="s">
        <v>85</v>
      </c>
      <c r="J3169">
        <v>1</v>
      </c>
      <c r="K3169">
        <v>280</v>
      </c>
      <c r="L3169">
        <v>0.1</v>
      </c>
      <c r="M3169">
        <v>252</v>
      </c>
      <c r="N3169">
        <v>160</v>
      </c>
      <c r="O3169">
        <v>92</v>
      </c>
    </row>
    <row r="3170" spans="1:15" x14ac:dyDescent="0.25">
      <c r="A3170" t="s">
        <v>4235</v>
      </c>
      <c r="B3170" s="2">
        <v>48826</v>
      </c>
      <c r="C3170" t="s">
        <v>899</v>
      </c>
      <c r="D3170" t="s">
        <v>900</v>
      </c>
      <c r="E3170" t="s">
        <v>96</v>
      </c>
      <c r="F3170" t="s">
        <v>97</v>
      </c>
      <c r="G3170" t="s">
        <v>20</v>
      </c>
      <c r="H3170" t="s">
        <v>21</v>
      </c>
      <c r="I3170" t="s">
        <v>22</v>
      </c>
      <c r="J3170">
        <v>5</v>
      </c>
      <c r="K3170">
        <v>650</v>
      </c>
      <c r="L3170">
        <v>0.05</v>
      </c>
      <c r="M3170">
        <v>3087.5</v>
      </c>
      <c r="N3170">
        <v>1950</v>
      </c>
      <c r="O3170">
        <v>1137.5</v>
      </c>
    </row>
    <row r="3171" spans="1:15" x14ac:dyDescent="0.25">
      <c r="A3171" t="s">
        <v>4236</v>
      </c>
      <c r="B3171" s="2">
        <v>48827</v>
      </c>
      <c r="C3171" t="s">
        <v>399</v>
      </c>
      <c r="D3171" t="s">
        <v>400</v>
      </c>
      <c r="E3171" t="s">
        <v>26</v>
      </c>
      <c r="F3171" t="s">
        <v>204</v>
      </c>
      <c r="G3171" t="s">
        <v>57</v>
      </c>
      <c r="H3171" t="s">
        <v>58</v>
      </c>
      <c r="I3171" t="s">
        <v>59</v>
      </c>
      <c r="J3171">
        <v>3</v>
      </c>
      <c r="K3171">
        <v>5600</v>
      </c>
      <c r="L3171">
        <v>0.05</v>
      </c>
      <c r="M3171">
        <v>15960</v>
      </c>
      <c r="N3171">
        <v>11700</v>
      </c>
      <c r="O3171">
        <v>4260</v>
      </c>
    </row>
    <row r="3172" spans="1:15" x14ac:dyDescent="0.25">
      <c r="A3172" t="s">
        <v>4237</v>
      </c>
      <c r="B3172" s="2">
        <v>48828</v>
      </c>
      <c r="C3172" t="s">
        <v>405</v>
      </c>
      <c r="D3172" t="s">
        <v>406</v>
      </c>
      <c r="E3172" t="s">
        <v>39</v>
      </c>
      <c r="F3172" t="s">
        <v>76</v>
      </c>
      <c r="G3172" t="s">
        <v>57</v>
      </c>
      <c r="H3172" t="s">
        <v>104</v>
      </c>
      <c r="I3172" t="s">
        <v>105</v>
      </c>
      <c r="J3172">
        <v>1</v>
      </c>
      <c r="K3172">
        <v>7500</v>
      </c>
      <c r="L3172">
        <v>0.05</v>
      </c>
      <c r="M3172">
        <v>7125</v>
      </c>
      <c r="N3172">
        <v>5200</v>
      </c>
      <c r="O3172">
        <v>1925</v>
      </c>
    </row>
    <row r="3173" spans="1:15" x14ac:dyDescent="0.25">
      <c r="A3173" t="s">
        <v>4238</v>
      </c>
      <c r="B3173" s="2">
        <v>48829</v>
      </c>
      <c r="C3173" t="s">
        <v>813</v>
      </c>
      <c r="D3173" t="s">
        <v>814</v>
      </c>
      <c r="E3173" t="s">
        <v>26</v>
      </c>
      <c r="F3173" t="s">
        <v>204</v>
      </c>
      <c r="G3173" t="s">
        <v>20</v>
      </c>
      <c r="H3173" t="s">
        <v>84</v>
      </c>
      <c r="I3173" t="s">
        <v>210</v>
      </c>
      <c r="J3173">
        <v>4</v>
      </c>
      <c r="K3173">
        <v>300</v>
      </c>
      <c r="L3173">
        <v>0.1</v>
      </c>
      <c r="M3173">
        <v>1080</v>
      </c>
      <c r="N3173">
        <v>680</v>
      </c>
      <c r="O3173">
        <v>400</v>
      </c>
    </row>
    <row r="3174" spans="1:15" x14ac:dyDescent="0.25">
      <c r="A3174" t="s">
        <v>4239</v>
      </c>
      <c r="B3174" s="2">
        <v>48830</v>
      </c>
      <c r="C3174" t="s">
        <v>1494</v>
      </c>
      <c r="D3174" t="s">
        <v>1495</v>
      </c>
      <c r="E3174" t="s">
        <v>26</v>
      </c>
      <c r="F3174" t="s">
        <v>46</v>
      </c>
      <c r="G3174" t="s">
        <v>28</v>
      </c>
      <c r="H3174" t="s">
        <v>29</v>
      </c>
      <c r="I3174" t="s">
        <v>47</v>
      </c>
      <c r="J3174">
        <v>4</v>
      </c>
      <c r="K3174">
        <v>6800</v>
      </c>
      <c r="L3174">
        <v>0.2</v>
      </c>
      <c r="M3174">
        <v>21760</v>
      </c>
      <c r="N3174">
        <v>18800</v>
      </c>
      <c r="O3174">
        <v>2960</v>
      </c>
    </row>
    <row r="3175" spans="1:15" x14ac:dyDescent="0.25">
      <c r="A3175" t="s">
        <v>4240</v>
      </c>
      <c r="B3175" s="2">
        <v>48831</v>
      </c>
      <c r="C3175" t="s">
        <v>597</v>
      </c>
      <c r="D3175" t="s">
        <v>598</v>
      </c>
      <c r="E3175" t="s">
        <v>26</v>
      </c>
      <c r="F3175" t="s">
        <v>46</v>
      </c>
      <c r="G3175" t="s">
        <v>20</v>
      </c>
      <c r="H3175" t="s">
        <v>41</v>
      </c>
      <c r="I3175" t="s">
        <v>42</v>
      </c>
      <c r="J3175">
        <v>4</v>
      </c>
      <c r="K3175">
        <v>520</v>
      </c>
      <c r="L3175">
        <v>0.1</v>
      </c>
      <c r="M3175">
        <v>1872</v>
      </c>
      <c r="N3175">
        <v>1320</v>
      </c>
      <c r="O3175">
        <v>552</v>
      </c>
    </row>
    <row r="3176" spans="1:15" x14ac:dyDescent="0.25">
      <c r="A3176" t="s">
        <v>4241</v>
      </c>
      <c r="B3176" s="2">
        <v>48832</v>
      </c>
      <c r="C3176" t="s">
        <v>423</v>
      </c>
      <c r="D3176" t="s">
        <v>424</v>
      </c>
      <c r="E3176" t="s">
        <v>26</v>
      </c>
      <c r="F3176" t="s">
        <v>34</v>
      </c>
      <c r="G3176" t="s">
        <v>51</v>
      </c>
      <c r="H3176" t="s">
        <v>89</v>
      </c>
      <c r="I3176" t="s">
        <v>90</v>
      </c>
      <c r="J3176">
        <v>2</v>
      </c>
      <c r="K3176">
        <v>10500</v>
      </c>
      <c r="L3176">
        <v>0</v>
      </c>
      <c r="M3176">
        <v>21000</v>
      </c>
      <c r="N3176">
        <v>15200</v>
      </c>
      <c r="O3176">
        <v>5800</v>
      </c>
    </row>
    <row r="3177" spans="1:15" x14ac:dyDescent="0.25">
      <c r="A3177" t="s">
        <v>4242</v>
      </c>
      <c r="B3177" s="2">
        <v>48833</v>
      </c>
      <c r="C3177" t="s">
        <v>2233</v>
      </c>
      <c r="D3177" t="s">
        <v>2234</v>
      </c>
      <c r="E3177" t="s">
        <v>96</v>
      </c>
      <c r="F3177" t="s">
        <v>196</v>
      </c>
      <c r="G3177" t="s">
        <v>57</v>
      </c>
      <c r="H3177" t="s">
        <v>58</v>
      </c>
      <c r="I3177" t="s">
        <v>129</v>
      </c>
      <c r="J3177">
        <v>1</v>
      </c>
      <c r="K3177">
        <v>4800</v>
      </c>
      <c r="L3177">
        <v>0.05</v>
      </c>
      <c r="M3177">
        <v>4560</v>
      </c>
      <c r="N3177">
        <v>3300</v>
      </c>
      <c r="O3177">
        <v>1260</v>
      </c>
    </row>
    <row r="3178" spans="1:15" x14ac:dyDescent="0.25">
      <c r="A3178" t="s">
        <v>4243</v>
      </c>
      <c r="B3178" s="2">
        <v>48834</v>
      </c>
      <c r="C3178" t="s">
        <v>469</v>
      </c>
      <c r="D3178" t="s">
        <v>470</v>
      </c>
      <c r="E3178" t="s">
        <v>26</v>
      </c>
      <c r="F3178" t="s">
        <v>128</v>
      </c>
      <c r="G3178" t="s">
        <v>20</v>
      </c>
      <c r="H3178" t="s">
        <v>84</v>
      </c>
      <c r="I3178" t="s">
        <v>169</v>
      </c>
      <c r="J3178">
        <v>4</v>
      </c>
      <c r="K3178">
        <v>450</v>
      </c>
      <c r="L3178">
        <v>0.1</v>
      </c>
      <c r="M3178">
        <v>1620</v>
      </c>
      <c r="N3178">
        <v>1040</v>
      </c>
      <c r="O3178">
        <v>580</v>
      </c>
    </row>
    <row r="3179" spans="1:15" x14ac:dyDescent="0.25">
      <c r="A3179" t="s">
        <v>4244</v>
      </c>
      <c r="B3179" s="2">
        <v>48835</v>
      </c>
      <c r="C3179" t="s">
        <v>487</v>
      </c>
      <c r="D3179" t="s">
        <v>488</v>
      </c>
      <c r="E3179" t="s">
        <v>96</v>
      </c>
      <c r="F3179" t="s">
        <v>200</v>
      </c>
      <c r="G3179" t="s">
        <v>57</v>
      </c>
      <c r="H3179" t="s">
        <v>58</v>
      </c>
      <c r="I3179" t="s">
        <v>59</v>
      </c>
      <c r="J3179">
        <v>3</v>
      </c>
      <c r="K3179">
        <v>5600</v>
      </c>
      <c r="L3179">
        <v>0.05</v>
      </c>
      <c r="M3179">
        <v>15960</v>
      </c>
      <c r="N3179">
        <v>11700</v>
      </c>
      <c r="O3179">
        <v>4260</v>
      </c>
    </row>
    <row r="3180" spans="1:15" x14ac:dyDescent="0.25">
      <c r="A3180" t="s">
        <v>4245</v>
      </c>
      <c r="B3180" s="2">
        <v>48836</v>
      </c>
      <c r="C3180" t="s">
        <v>769</v>
      </c>
      <c r="D3180" t="s">
        <v>770</v>
      </c>
      <c r="E3180" t="s">
        <v>26</v>
      </c>
      <c r="F3180" t="s">
        <v>34</v>
      </c>
      <c r="G3180" t="s">
        <v>20</v>
      </c>
      <c r="H3180" t="s">
        <v>84</v>
      </c>
      <c r="I3180" t="s">
        <v>210</v>
      </c>
      <c r="J3180">
        <v>5</v>
      </c>
      <c r="K3180">
        <v>300</v>
      </c>
      <c r="L3180">
        <v>0</v>
      </c>
      <c r="M3180">
        <v>1500</v>
      </c>
      <c r="N3180">
        <v>850</v>
      </c>
      <c r="O3180">
        <v>650</v>
      </c>
    </row>
    <row r="3181" spans="1:15" x14ac:dyDescent="0.25">
      <c r="A3181" t="s">
        <v>4246</v>
      </c>
      <c r="B3181" s="2">
        <v>48837</v>
      </c>
      <c r="C3181" t="s">
        <v>1164</v>
      </c>
      <c r="D3181" t="s">
        <v>1165</v>
      </c>
      <c r="E3181" t="s">
        <v>26</v>
      </c>
      <c r="F3181" t="s">
        <v>27</v>
      </c>
      <c r="G3181" t="s">
        <v>20</v>
      </c>
      <c r="H3181" t="s">
        <v>84</v>
      </c>
      <c r="I3181" t="s">
        <v>169</v>
      </c>
      <c r="J3181">
        <v>5</v>
      </c>
      <c r="K3181">
        <v>450</v>
      </c>
      <c r="L3181">
        <v>0.15</v>
      </c>
      <c r="M3181">
        <v>1912.5</v>
      </c>
      <c r="N3181">
        <v>1300</v>
      </c>
      <c r="O3181">
        <v>612.5</v>
      </c>
    </row>
    <row r="3182" spans="1:15" x14ac:dyDescent="0.25">
      <c r="A3182" t="s">
        <v>4247</v>
      </c>
      <c r="B3182" s="2">
        <v>48838</v>
      </c>
      <c r="C3182" t="s">
        <v>463</v>
      </c>
      <c r="D3182" t="s">
        <v>464</v>
      </c>
      <c r="E3182" t="s">
        <v>39</v>
      </c>
      <c r="F3182" t="s">
        <v>40</v>
      </c>
      <c r="G3182" t="s">
        <v>28</v>
      </c>
      <c r="H3182" t="s">
        <v>29</v>
      </c>
      <c r="I3182" t="s">
        <v>30</v>
      </c>
      <c r="J3182">
        <v>5</v>
      </c>
      <c r="K3182">
        <v>1900</v>
      </c>
      <c r="L3182">
        <v>0.1</v>
      </c>
      <c r="M3182">
        <v>8550</v>
      </c>
      <c r="N3182">
        <v>6250</v>
      </c>
      <c r="O3182">
        <v>2300</v>
      </c>
    </row>
    <row r="3183" spans="1:15" x14ac:dyDescent="0.25">
      <c r="A3183" t="s">
        <v>4248</v>
      </c>
      <c r="B3183" s="2">
        <v>48839</v>
      </c>
      <c r="C3183" t="s">
        <v>784</v>
      </c>
      <c r="D3183" t="s">
        <v>785</v>
      </c>
      <c r="E3183" t="s">
        <v>26</v>
      </c>
      <c r="F3183" t="s">
        <v>34</v>
      </c>
      <c r="G3183" t="s">
        <v>20</v>
      </c>
      <c r="H3183" t="s">
        <v>41</v>
      </c>
      <c r="I3183" t="s">
        <v>42</v>
      </c>
      <c r="J3183">
        <v>2</v>
      </c>
      <c r="K3183">
        <v>520</v>
      </c>
      <c r="L3183">
        <v>0.1</v>
      </c>
      <c r="M3183">
        <v>936</v>
      </c>
      <c r="N3183">
        <v>660</v>
      </c>
      <c r="O3183">
        <v>276</v>
      </c>
    </row>
    <row r="3184" spans="1:15" x14ac:dyDescent="0.25">
      <c r="A3184" t="s">
        <v>4249</v>
      </c>
      <c r="B3184" s="2">
        <v>48840</v>
      </c>
      <c r="C3184" t="s">
        <v>763</v>
      </c>
      <c r="D3184" t="s">
        <v>764</v>
      </c>
      <c r="E3184" t="s">
        <v>18</v>
      </c>
      <c r="F3184" t="s">
        <v>227</v>
      </c>
      <c r="G3184" t="s">
        <v>51</v>
      </c>
      <c r="H3184" t="s">
        <v>52</v>
      </c>
      <c r="I3184" t="s">
        <v>53</v>
      </c>
      <c r="J3184">
        <v>3</v>
      </c>
      <c r="K3184">
        <v>2200</v>
      </c>
      <c r="L3184">
        <v>0</v>
      </c>
      <c r="M3184">
        <v>6600</v>
      </c>
      <c r="N3184">
        <v>4350</v>
      </c>
      <c r="O3184">
        <v>2250</v>
      </c>
    </row>
    <row r="3185" spans="1:15" x14ac:dyDescent="0.25">
      <c r="A3185" t="s">
        <v>4250</v>
      </c>
      <c r="B3185" s="2">
        <v>48841</v>
      </c>
      <c r="C3185" t="s">
        <v>2002</v>
      </c>
      <c r="D3185" t="s">
        <v>2003</v>
      </c>
      <c r="E3185" t="s">
        <v>26</v>
      </c>
      <c r="F3185" t="s">
        <v>34</v>
      </c>
      <c r="G3185" t="s">
        <v>20</v>
      </c>
      <c r="H3185" t="s">
        <v>84</v>
      </c>
      <c r="I3185" t="s">
        <v>169</v>
      </c>
      <c r="J3185">
        <v>3</v>
      </c>
      <c r="K3185">
        <v>450</v>
      </c>
      <c r="L3185">
        <v>0.1</v>
      </c>
      <c r="M3185">
        <v>1215</v>
      </c>
      <c r="N3185">
        <v>780</v>
      </c>
      <c r="O3185">
        <v>435</v>
      </c>
    </row>
    <row r="3186" spans="1:15" x14ac:dyDescent="0.25">
      <c r="A3186" t="s">
        <v>4251</v>
      </c>
      <c r="B3186" s="2">
        <v>48842</v>
      </c>
      <c r="C3186" t="s">
        <v>1294</v>
      </c>
      <c r="D3186" t="s">
        <v>1295</v>
      </c>
      <c r="E3186" t="s">
        <v>18</v>
      </c>
      <c r="F3186" t="s">
        <v>227</v>
      </c>
      <c r="G3186" t="s">
        <v>20</v>
      </c>
      <c r="H3186" t="s">
        <v>84</v>
      </c>
      <c r="I3186" t="s">
        <v>210</v>
      </c>
      <c r="J3186">
        <v>2</v>
      </c>
      <c r="K3186">
        <v>300</v>
      </c>
      <c r="L3186">
        <v>0.05</v>
      </c>
      <c r="M3186">
        <v>570</v>
      </c>
      <c r="N3186">
        <v>340</v>
      </c>
      <c r="O3186">
        <v>230</v>
      </c>
    </row>
    <row r="3187" spans="1:15" x14ac:dyDescent="0.25">
      <c r="A3187" t="s">
        <v>4252</v>
      </c>
      <c r="B3187" s="2">
        <v>48843</v>
      </c>
      <c r="C3187" t="s">
        <v>158</v>
      </c>
      <c r="D3187" t="s">
        <v>159</v>
      </c>
      <c r="E3187" t="s">
        <v>39</v>
      </c>
      <c r="F3187" t="s">
        <v>40</v>
      </c>
      <c r="G3187" t="s">
        <v>20</v>
      </c>
      <c r="H3187" t="s">
        <v>84</v>
      </c>
      <c r="I3187" t="s">
        <v>85</v>
      </c>
      <c r="J3187">
        <v>2</v>
      </c>
      <c r="K3187">
        <v>280</v>
      </c>
      <c r="L3187">
        <v>0</v>
      </c>
      <c r="M3187">
        <v>560</v>
      </c>
      <c r="N3187">
        <v>320</v>
      </c>
      <c r="O3187">
        <v>240</v>
      </c>
    </row>
    <row r="3188" spans="1:15" x14ac:dyDescent="0.25">
      <c r="A3188" t="s">
        <v>4253</v>
      </c>
      <c r="B3188" s="2">
        <v>48844</v>
      </c>
      <c r="C3188" t="s">
        <v>1111</v>
      </c>
      <c r="D3188" t="s">
        <v>1112</v>
      </c>
      <c r="E3188" t="s">
        <v>26</v>
      </c>
      <c r="F3188" t="s">
        <v>34</v>
      </c>
      <c r="G3188" t="s">
        <v>57</v>
      </c>
      <c r="H3188" t="s">
        <v>104</v>
      </c>
      <c r="I3188" t="s">
        <v>105</v>
      </c>
      <c r="J3188">
        <v>5</v>
      </c>
      <c r="K3188">
        <v>7500</v>
      </c>
      <c r="L3188">
        <v>0</v>
      </c>
      <c r="M3188">
        <v>37500</v>
      </c>
      <c r="N3188">
        <v>26000</v>
      </c>
      <c r="O3188">
        <v>11500</v>
      </c>
    </row>
    <row r="3189" spans="1:15" x14ac:dyDescent="0.25">
      <c r="A3189" t="s">
        <v>4254</v>
      </c>
      <c r="B3189" s="2">
        <v>48845</v>
      </c>
      <c r="C3189" t="s">
        <v>1430</v>
      </c>
      <c r="D3189" t="s">
        <v>1431</v>
      </c>
      <c r="E3189" t="s">
        <v>26</v>
      </c>
      <c r="F3189" t="s">
        <v>128</v>
      </c>
      <c r="G3189" t="s">
        <v>57</v>
      </c>
      <c r="H3189" t="s">
        <v>188</v>
      </c>
      <c r="I3189" t="s">
        <v>189</v>
      </c>
      <c r="J3189">
        <v>2</v>
      </c>
      <c r="K3189">
        <v>6200</v>
      </c>
      <c r="L3189">
        <v>0.05</v>
      </c>
      <c r="M3189">
        <v>11780</v>
      </c>
      <c r="N3189">
        <v>8600</v>
      </c>
      <c r="O3189">
        <v>3180</v>
      </c>
    </row>
    <row r="3190" spans="1:15" x14ac:dyDescent="0.25">
      <c r="A3190" t="s">
        <v>4255</v>
      </c>
      <c r="B3190" s="2">
        <v>48846</v>
      </c>
      <c r="C3190" t="s">
        <v>381</v>
      </c>
      <c r="D3190" t="s">
        <v>382</v>
      </c>
      <c r="E3190" t="s">
        <v>39</v>
      </c>
      <c r="F3190" t="s">
        <v>76</v>
      </c>
      <c r="G3190" t="s">
        <v>51</v>
      </c>
      <c r="H3190" t="s">
        <v>52</v>
      </c>
      <c r="I3190" t="s">
        <v>208</v>
      </c>
      <c r="J3190">
        <v>5</v>
      </c>
      <c r="K3190">
        <v>2800</v>
      </c>
      <c r="L3190">
        <v>0.05</v>
      </c>
      <c r="M3190">
        <v>13300</v>
      </c>
      <c r="N3190">
        <v>9000</v>
      </c>
      <c r="O3190">
        <v>4300</v>
      </c>
    </row>
    <row r="3191" spans="1:15" x14ac:dyDescent="0.25">
      <c r="A3191" t="s">
        <v>4256</v>
      </c>
      <c r="B3191" s="2">
        <v>48847</v>
      </c>
      <c r="C3191" t="s">
        <v>497</v>
      </c>
      <c r="D3191" t="s">
        <v>498</v>
      </c>
      <c r="E3191" t="s">
        <v>26</v>
      </c>
      <c r="F3191" t="s">
        <v>204</v>
      </c>
      <c r="G3191" t="s">
        <v>57</v>
      </c>
      <c r="H3191" t="s">
        <v>58</v>
      </c>
      <c r="I3191" t="s">
        <v>59</v>
      </c>
      <c r="J3191">
        <v>2</v>
      </c>
      <c r="K3191">
        <v>5600</v>
      </c>
      <c r="L3191">
        <v>0.1</v>
      </c>
      <c r="M3191">
        <v>10080</v>
      </c>
      <c r="N3191">
        <v>7800</v>
      </c>
      <c r="O3191">
        <v>2280</v>
      </c>
    </row>
    <row r="3192" spans="1:15" x14ac:dyDescent="0.25">
      <c r="A3192" t="s">
        <v>4257</v>
      </c>
      <c r="B3192" s="2">
        <v>48848</v>
      </c>
      <c r="C3192" t="s">
        <v>216</v>
      </c>
      <c r="D3192" t="s">
        <v>217</v>
      </c>
      <c r="E3192" t="s">
        <v>18</v>
      </c>
      <c r="F3192" t="s">
        <v>115</v>
      </c>
      <c r="G3192" t="s">
        <v>20</v>
      </c>
      <c r="H3192" t="s">
        <v>84</v>
      </c>
      <c r="I3192" t="s">
        <v>169</v>
      </c>
      <c r="J3192">
        <v>1</v>
      </c>
      <c r="K3192">
        <v>450</v>
      </c>
      <c r="L3192">
        <v>0.15</v>
      </c>
      <c r="M3192">
        <v>382.5</v>
      </c>
      <c r="N3192">
        <v>260</v>
      </c>
      <c r="O3192">
        <v>122.5</v>
      </c>
    </row>
    <row r="3193" spans="1:15" x14ac:dyDescent="0.25">
      <c r="A3193" t="s">
        <v>4258</v>
      </c>
      <c r="B3193" s="2">
        <v>48849</v>
      </c>
      <c r="C3193" t="s">
        <v>513</v>
      </c>
      <c r="D3193" t="s">
        <v>514</v>
      </c>
      <c r="E3193" t="s">
        <v>26</v>
      </c>
      <c r="F3193" t="s">
        <v>27</v>
      </c>
      <c r="G3193" t="s">
        <v>51</v>
      </c>
      <c r="H3193" t="s">
        <v>52</v>
      </c>
      <c r="I3193" t="s">
        <v>53</v>
      </c>
      <c r="J3193">
        <v>3</v>
      </c>
      <c r="K3193">
        <v>2200</v>
      </c>
      <c r="L3193">
        <v>0.1</v>
      </c>
      <c r="M3193">
        <v>5940</v>
      </c>
      <c r="N3193">
        <v>4350</v>
      </c>
      <c r="O3193">
        <v>1590</v>
      </c>
    </row>
    <row r="3194" spans="1:15" x14ac:dyDescent="0.25">
      <c r="A3194" t="s">
        <v>4259</v>
      </c>
      <c r="B3194" s="2">
        <v>48850</v>
      </c>
      <c r="C3194" t="s">
        <v>2052</v>
      </c>
      <c r="D3194" t="s">
        <v>2053</v>
      </c>
      <c r="E3194" t="s">
        <v>18</v>
      </c>
      <c r="F3194" t="s">
        <v>115</v>
      </c>
      <c r="G3194" t="s">
        <v>51</v>
      </c>
      <c r="H3194" t="s">
        <v>21</v>
      </c>
      <c r="I3194" t="s">
        <v>72</v>
      </c>
      <c r="J3194">
        <v>1</v>
      </c>
      <c r="K3194">
        <v>1800</v>
      </c>
      <c r="L3194">
        <v>0</v>
      </c>
      <c r="M3194">
        <v>1800</v>
      </c>
      <c r="N3194">
        <v>1100</v>
      </c>
      <c r="O3194">
        <v>700</v>
      </c>
    </row>
    <row r="3195" spans="1:15" x14ac:dyDescent="0.25">
      <c r="A3195" t="s">
        <v>4260</v>
      </c>
      <c r="B3195" s="2">
        <v>48851</v>
      </c>
      <c r="C3195" t="s">
        <v>2648</v>
      </c>
      <c r="D3195" t="s">
        <v>2649</v>
      </c>
      <c r="E3195" t="s">
        <v>39</v>
      </c>
      <c r="F3195" t="s">
        <v>124</v>
      </c>
      <c r="G3195" t="s">
        <v>51</v>
      </c>
      <c r="H3195" t="s">
        <v>52</v>
      </c>
      <c r="I3195" t="s">
        <v>208</v>
      </c>
      <c r="J3195">
        <v>1</v>
      </c>
      <c r="K3195">
        <v>2800</v>
      </c>
      <c r="L3195">
        <v>0</v>
      </c>
      <c r="M3195">
        <v>2800</v>
      </c>
      <c r="N3195">
        <v>1800</v>
      </c>
      <c r="O3195">
        <v>1000</v>
      </c>
    </row>
    <row r="3196" spans="1:15" x14ac:dyDescent="0.25">
      <c r="A3196" t="s">
        <v>4261</v>
      </c>
      <c r="B3196" s="2">
        <v>48852</v>
      </c>
      <c r="C3196" t="s">
        <v>1556</v>
      </c>
      <c r="D3196" t="s">
        <v>1557</v>
      </c>
      <c r="E3196" t="s">
        <v>26</v>
      </c>
      <c r="F3196" t="s">
        <v>128</v>
      </c>
      <c r="G3196" t="s">
        <v>28</v>
      </c>
      <c r="H3196" t="s">
        <v>29</v>
      </c>
      <c r="I3196" t="s">
        <v>35</v>
      </c>
      <c r="J3196">
        <v>5</v>
      </c>
      <c r="K3196">
        <v>4200</v>
      </c>
      <c r="L3196">
        <v>0.1</v>
      </c>
      <c r="M3196">
        <v>18900</v>
      </c>
      <c r="N3196">
        <v>14500</v>
      </c>
      <c r="O3196">
        <v>4400</v>
      </c>
    </row>
    <row r="3197" spans="1:15" x14ac:dyDescent="0.25">
      <c r="A3197" t="s">
        <v>4262</v>
      </c>
      <c r="B3197" s="2">
        <v>48853</v>
      </c>
      <c r="C3197" t="s">
        <v>1368</v>
      </c>
      <c r="D3197" t="s">
        <v>1369</v>
      </c>
      <c r="E3197" t="s">
        <v>39</v>
      </c>
      <c r="F3197" t="s">
        <v>40</v>
      </c>
      <c r="G3197" t="s">
        <v>57</v>
      </c>
      <c r="H3197" t="s">
        <v>104</v>
      </c>
      <c r="I3197" t="s">
        <v>105</v>
      </c>
      <c r="J3197">
        <v>2</v>
      </c>
      <c r="K3197">
        <v>7500</v>
      </c>
      <c r="L3197">
        <v>0.05</v>
      </c>
      <c r="M3197">
        <v>14250</v>
      </c>
      <c r="N3197">
        <v>10400</v>
      </c>
      <c r="O3197">
        <v>3850</v>
      </c>
    </row>
    <row r="3198" spans="1:15" x14ac:dyDescent="0.25">
      <c r="A3198" t="s">
        <v>4263</v>
      </c>
      <c r="B3198" s="2">
        <v>48854</v>
      </c>
      <c r="C3198" t="s">
        <v>2580</v>
      </c>
      <c r="D3198" t="s">
        <v>2581</v>
      </c>
      <c r="E3198" t="s">
        <v>96</v>
      </c>
      <c r="F3198" t="s">
        <v>196</v>
      </c>
      <c r="G3198" t="s">
        <v>57</v>
      </c>
      <c r="H3198" t="s">
        <v>104</v>
      </c>
      <c r="I3198" t="s">
        <v>105</v>
      </c>
      <c r="J3198">
        <v>5</v>
      </c>
      <c r="K3198">
        <v>7500</v>
      </c>
      <c r="L3198">
        <v>0.05</v>
      </c>
      <c r="M3198">
        <v>35625</v>
      </c>
      <c r="N3198">
        <v>26000</v>
      </c>
      <c r="O3198">
        <v>9625</v>
      </c>
    </row>
    <row r="3199" spans="1:15" x14ac:dyDescent="0.25">
      <c r="A3199" t="s">
        <v>4264</v>
      </c>
      <c r="B3199" s="2">
        <v>48855</v>
      </c>
      <c r="C3199" t="s">
        <v>308</v>
      </c>
      <c r="D3199" t="s">
        <v>309</v>
      </c>
      <c r="E3199" t="s">
        <v>39</v>
      </c>
      <c r="F3199" t="s">
        <v>40</v>
      </c>
      <c r="G3199" t="s">
        <v>51</v>
      </c>
      <c r="H3199" t="s">
        <v>21</v>
      </c>
      <c r="I3199" t="s">
        <v>72</v>
      </c>
      <c r="J3199">
        <v>3</v>
      </c>
      <c r="K3199">
        <v>1800</v>
      </c>
      <c r="L3199">
        <v>0.15</v>
      </c>
      <c r="M3199">
        <v>4590</v>
      </c>
      <c r="N3199">
        <v>3300</v>
      </c>
      <c r="O3199">
        <v>1290</v>
      </c>
    </row>
    <row r="3200" spans="1:15" x14ac:dyDescent="0.25">
      <c r="A3200" t="s">
        <v>4265</v>
      </c>
      <c r="B3200" s="2">
        <v>48856</v>
      </c>
      <c r="C3200" t="s">
        <v>1227</v>
      </c>
      <c r="D3200" t="s">
        <v>1228</v>
      </c>
      <c r="E3200" t="s">
        <v>39</v>
      </c>
      <c r="F3200" t="s">
        <v>40</v>
      </c>
      <c r="G3200" t="s">
        <v>51</v>
      </c>
      <c r="H3200" t="s">
        <v>21</v>
      </c>
      <c r="I3200" t="s">
        <v>116</v>
      </c>
      <c r="J3200">
        <v>5</v>
      </c>
      <c r="K3200">
        <v>1400</v>
      </c>
      <c r="L3200">
        <v>0.05</v>
      </c>
      <c r="M3200">
        <v>6650</v>
      </c>
      <c r="N3200">
        <v>4500</v>
      </c>
      <c r="O3200">
        <v>2150</v>
      </c>
    </row>
    <row r="3201" spans="1:15" x14ac:dyDescent="0.25">
      <c r="A3201" t="s">
        <v>4266</v>
      </c>
      <c r="B3201" s="2">
        <v>48857</v>
      </c>
      <c r="C3201" t="s">
        <v>2687</v>
      </c>
      <c r="D3201" t="s">
        <v>2688</v>
      </c>
      <c r="E3201" t="s">
        <v>26</v>
      </c>
      <c r="F3201" t="s">
        <v>204</v>
      </c>
      <c r="G3201" t="s">
        <v>57</v>
      </c>
      <c r="H3201" t="s">
        <v>58</v>
      </c>
      <c r="I3201" t="s">
        <v>59</v>
      </c>
      <c r="J3201">
        <v>1</v>
      </c>
      <c r="K3201">
        <v>5600</v>
      </c>
      <c r="L3201">
        <v>0.25</v>
      </c>
      <c r="M3201">
        <v>4200</v>
      </c>
      <c r="N3201">
        <v>3900</v>
      </c>
      <c r="O3201">
        <v>300</v>
      </c>
    </row>
    <row r="3202" spans="1:15" x14ac:dyDescent="0.25">
      <c r="A3202" t="s">
        <v>4267</v>
      </c>
      <c r="B3202" s="2">
        <v>48858</v>
      </c>
      <c r="C3202" t="s">
        <v>49</v>
      </c>
      <c r="D3202" t="s">
        <v>50</v>
      </c>
      <c r="E3202" t="s">
        <v>26</v>
      </c>
      <c r="F3202" t="s">
        <v>204</v>
      </c>
      <c r="G3202" t="s">
        <v>57</v>
      </c>
      <c r="H3202" t="s">
        <v>58</v>
      </c>
      <c r="I3202" t="s">
        <v>59</v>
      </c>
      <c r="J3202">
        <v>4</v>
      </c>
      <c r="K3202">
        <v>5600</v>
      </c>
      <c r="L3202">
        <v>0.25</v>
      </c>
      <c r="M3202">
        <v>16800</v>
      </c>
      <c r="N3202">
        <v>15600</v>
      </c>
      <c r="O3202">
        <v>1200</v>
      </c>
    </row>
    <row r="3203" spans="1:15" x14ac:dyDescent="0.25">
      <c r="A3203" t="s">
        <v>4268</v>
      </c>
      <c r="B3203" s="2">
        <v>48859</v>
      </c>
      <c r="C3203" t="s">
        <v>1127</v>
      </c>
      <c r="D3203" t="s">
        <v>1128</v>
      </c>
      <c r="E3203" t="s">
        <v>26</v>
      </c>
      <c r="F3203" t="s">
        <v>34</v>
      </c>
      <c r="G3203" t="s">
        <v>51</v>
      </c>
      <c r="H3203" t="s">
        <v>21</v>
      </c>
      <c r="I3203" t="s">
        <v>80</v>
      </c>
      <c r="J3203">
        <v>2</v>
      </c>
      <c r="K3203">
        <v>850</v>
      </c>
      <c r="L3203">
        <v>0.15</v>
      </c>
      <c r="M3203">
        <v>1445</v>
      </c>
      <c r="N3203">
        <v>1120</v>
      </c>
      <c r="O3203">
        <v>325</v>
      </c>
    </row>
    <row r="3204" spans="1:15" x14ac:dyDescent="0.25">
      <c r="A3204" t="s">
        <v>4269</v>
      </c>
      <c r="B3204" s="2">
        <v>48860</v>
      </c>
      <c r="C3204" t="s">
        <v>588</v>
      </c>
      <c r="D3204" t="s">
        <v>589</v>
      </c>
      <c r="E3204" t="s">
        <v>26</v>
      </c>
      <c r="F3204" t="s">
        <v>204</v>
      </c>
      <c r="G3204" t="s">
        <v>51</v>
      </c>
      <c r="H3204" t="s">
        <v>21</v>
      </c>
      <c r="I3204" t="s">
        <v>80</v>
      </c>
      <c r="J3204">
        <v>2</v>
      </c>
      <c r="K3204">
        <v>850</v>
      </c>
      <c r="L3204">
        <v>0.05</v>
      </c>
      <c r="M3204">
        <v>1615</v>
      </c>
      <c r="N3204">
        <v>1120</v>
      </c>
      <c r="O3204">
        <v>495</v>
      </c>
    </row>
    <row r="3205" spans="1:15" x14ac:dyDescent="0.25">
      <c r="A3205" t="s">
        <v>4270</v>
      </c>
      <c r="B3205" s="2">
        <v>48861</v>
      </c>
      <c r="C3205" t="s">
        <v>32</v>
      </c>
      <c r="D3205" t="s">
        <v>33</v>
      </c>
      <c r="E3205" t="s">
        <v>26</v>
      </c>
      <c r="F3205" t="s">
        <v>27</v>
      </c>
      <c r="G3205" t="s">
        <v>57</v>
      </c>
      <c r="H3205" t="s">
        <v>188</v>
      </c>
      <c r="I3205" t="s">
        <v>189</v>
      </c>
      <c r="J3205">
        <v>1</v>
      </c>
      <c r="K3205">
        <v>6200</v>
      </c>
      <c r="L3205">
        <v>0.2</v>
      </c>
      <c r="M3205">
        <v>4960</v>
      </c>
      <c r="N3205">
        <v>4300</v>
      </c>
      <c r="O3205">
        <v>660</v>
      </c>
    </row>
    <row r="3206" spans="1:15" x14ac:dyDescent="0.25">
      <c r="A3206" t="s">
        <v>4271</v>
      </c>
      <c r="B3206" s="2">
        <v>48862</v>
      </c>
      <c r="C3206" t="s">
        <v>350</v>
      </c>
      <c r="D3206" t="s">
        <v>351</v>
      </c>
      <c r="E3206" t="s">
        <v>26</v>
      </c>
      <c r="F3206" t="s">
        <v>128</v>
      </c>
      <c r="G3206" t="s">
        <v>20</v>
      </c>
      <c r="H3206" t="s">
        <v>41</v>
      </c>
      <c r="I3206" t="s">
        <v>42</v>
      </c>
      <c r="J3206">
        <v>1</v>
      </c>
      <c r="K3206">
        <v>520</v>
      </c>
      <c r="L3206">
        <v>0.15</v>
      </c>
      <c r="M3206">
        <v>442</v>
      </c>
      <c r="N3206">
        <v>330</v>
      </c>
      <c r="O3206">
        <v>112</v>
      </c>
    </row>
    <row r="3207" spans="1:15" x14ac:dyDescent="0.25">
      <c r="A3207" t="s">
        <v>4272</v>
      </c>
      <c r="B3207" s="2">
        <v>48863</v>
      </c>
      <c r="C3207" t="s">
        <v>456</v>
      </c>
      <c r="D3207" t="s">
        <v>457</v>
      </c>
      <c r="E3207" t="s">
        <v>26</v>
      </c>
      <c r="F3207" t="s">
        <v>34</v>
      </c>
      <c r="G3207" t="s">
        <v>28</v>
      </c>
      <c r="H3207" t="s">
        <v>29</v>
      </c>
      <c r="I3207" t="s">
        <v>35</v>
      </c>
      <c r="J3207">
        <v>5</v>
      </c>
      <c r="K3207">
        <v>4200</v>
      </c>
      <c r="L3207">
        <v>0.2</v>
      </c>
      <c r="M3207">
        <v>16800</v>
      </c>
      <c r="N3207">
        <v>14500</v>
      </c>
      <c r="O3207">
        <v>2300</v>
      </c>
    </row>
    <row r="3208" spans="1:15" x14ac:dyDescent="0.25">
      <c r="A3208" t="s">
        <v>4273</v>
      </c>
      <c r="B3208" s="2">
        <v>48864</v>
      </c>
      <c r="C3208" t="s">
        <v>902</v>
      </c>
      <c r="D3208" t="s">
        <v>903</v>
      </c>
      <c r="E3208" t="s">
        <v>26</v>
      </c>
      <c r="F3208" t="s">
        <v>128</v>
      </c>
      <c r="G3208" t="s">
        <v>51</v>
      </c>
      <c r="H3208" t="s">
        <v>21</v>
      </c>
      <c r="I3208" t="s">
        <v>80</v>
      </c>
      <c r="J3208">
        <v>2</v>
      </c>
      <c r="K3208">
        <v>850</v>
      </c>
      <c r="L3208">
        <v>0.15</v>
      </c>
      <c r="M3208">
        <v>1445</v>
      </c>
      <c r="N3208">
        <v>1120</v>
      </c>
      <c r="O3208">
        <v>325</v>
      </c>
    </row>
    <row r="3209" spans="1:15" x14ac:dyDescent="0.25">
      <c r="A3209" t="s">
        <v>4274</v>
      </c>
      <c r="B3209" s="2">
        <v>48865</v>
      </c>
      <c r="C3209" t="s">
        <v>414</v>
      </c>
      <c r="D3209" t="s">
        <v>415</v>
      </c>
      <c r="E3209" t="s">
        <v>26</v>
      </c>
      <c r="F3209" t="s">
        <v>204</v>
      </c>
      <c r="G3209" t="s">
        <v>51</v>
      </c>
      <c r="H3209" t="s">
        <v>21</v>
      </c>
      <c r="I3209" t="s">
        <v>72</v>
      </c>
      <c r="J3209">
        <v>3</v>
      </c>
      <c r="K3209">
        <v>1800</v>
      </c>
      <c r="L3209">
        <v>0.15</v>
      </c>
      <c r="M3209">
        <v>4590</v>
      </c>
      <c r="N3209">
        <v>3300</v>
      </c>
      <c r="O3209">
        <v>1290</v>
      </c>
    </row>
    <row r="3210" spans="1:15" x14ac:dyDescent="0.25">
      <c r="A3210" t="s">
        <v>4275</v>
      </c>
      <c r="B3210" s="2">
        <v>48866</v>
      </c>
      <c r="C3210" t="s">
        <v>55</v>
      </c>
      <c r="D3210" t="s">
        <v>56</v>
      </c>
      <c r="E3210" t="s">
        <v>26</v>
      </c>
      <c r="F3210" t="s">
        <v>27</v>
      </c>
      <c r="G3210" t="s">
        <v>20</v>
      </c>
      <c r="H3210" t="s">
        <v>21</v>
      </c>
      <c r="I3210" t="s">
        <v>22</v>
      </c>
      <c r="J3210">
        <v>1</v>
      </c>
      <c r="K3210">
        <v>650</v>
      </c>
      <c r="L3210">
        <v>0.15</v>
      </c>
      <c r="M3210">
        <v>552.5</v>
      </c>
      <c r="N3210">
        <v>390</v>
      </c>
      <c r="O3210">
        <v>162.5</v>
      </c>
    </row>
    <row r="3211" spans="1:15" x14ac:dyDescent="0.25">
      <c r="A3211" t="s">
        <v>4276</v>
      </c>
      <c r="B3211" s="2">
        <v>48867</v>
      </c>
      <c r="C3211" t="s">
        <v>2136</v>
      </c>
      <c r="D3211" t="s">
        <v>2137</v>
      </c>
      <c r="E3211" t="s">
        <v>39</v>
      </c>
      <c r="F3211" t="s">
        <v>71</v>
      </c>
      <c r="G3211" t="s">
        <v>51</v>
      </c>
      <c r="H3211" t="s">
        <v>52</v>
      </c>
      <c r="I3211" t="s">
        <v>53</v>
      </c>
      <c r="J3211">
        <v>5</v>
      </c>
      <c r="K3211">
        <v>2200</v>
      </c>
      <c r="L3211">
        <v>0.15</v>
      </c>
      <c r="M3211">
        <v>9350</v>
      </c>
      <c r="N3211">
        <v>7250</v>
      </c>
      <c r="O3211">
        <v>2100</v>
      </c>
    </row>
    <row r="3212" spans="1:15" x14ac:dyDescent="0.25">
      <c r="A3212" t="s">
        <v>4277</v>
      </c>
      <c r="B3212" s="2">
        <v>48868</v>
      </c>
      <c r="C3212" t="s">
        <v>430</v>
      </c>
      <c r="D3212" t="s">
        <v>431</v>
      </c>
      <c r="E3212" t="s">
        <v>26</v>
      </c>
      <c r="F3212" t="s">
        <v>27</v>
      </c>
      <c r="G3212" t="s">
        <v>51</v>
      </c>
      <c r="H3212" t="s">
        <v>21</v>
      </c>
      <c r="I3212" t="s">
        <v>80</v>
      </c>
      <c r="J3212">
        <v>5</v>
      </c>
      <c r="K3212">
        <v>850</v>
      </c>
      <c r="L3212">
        <v>0.15</v>
      </c>
      <c r="M3212">
        <v>3612.5</v>
      </c>
      <c r="N3212">
        <v>2800</v>
      </c>
      <c r="O3212">
        <v>812.5</v>
      </c>
    </row>
    <row r="3213" spans="1:15" x14ac:dyDescent="0.25">
      <c r="A3213" t="s">
        <v>4278</v>
      </c>
      <c r="B3213" s="2">
        <v>48869</v>
      </c>
      <c r="C3213" t="s">
        <v>1997</v>
      </c>
      <c r="D3213" t="s">
        <v>1998</v>
      </c>
      <c r="E3213" t="s">
        <v>39</v>
      </c>
      <c r="F3213" t="s">
        <v>71</v>
      </c>
      <c r="G3213" t="s">
        <v>57</v>
      </c>
      <c r="H3213" t="s">
        <v>188</v>
      </c>
      <c r="I3213" t="s">
        <v>189</v>
      </c>
      <c r="J3213">
        <v>5</v>
      </c>
      <c r="K3213">
        <v>6200</v>
      </c>
      <c r="L3213">
        <v>0.1</v>
      </c>
      <c r="M3213">
        <v>27900</v>
      </c>
      <c r="N3213">
        <v>21500</v>
      </c>
      <c r="O3213">
        <v>6400</v>
      </c>
    </row>
    <row r="3214" spans="1:15" x14ac:dyDescent="0.25">
      <c r="A3214" t="s">
        <v>4279</v>
      </c>
      <c r="B3214" s="2">
        <v>48870</v>
      </c>
      <c r="C3214" t="s">
        <v>2131</v>
      </c>
      <c r="D3214" t="s">
        <v>2132</v>
      </c>
      <c r="E3214" t="s">
        <v>26</v>
      </c>
      <c r="F3214" t="s">
        <v>27</v>
      </c>
      <c r="G3214" t="s">
        <v>51</v>
      </c>
      <c r="H3214" t="s">
        <v>21</v>
      </c>
      <c r="I3214" t="s">
        <v>80</v>
      </c>
      <c r="J3214">
        <v>5</v>
      </c>
      <c r="K3214">
        <v>850</v>
      </c>
      <c r="L3214">
        <v>0.25</v>
      </c>
      <c r="M3214">
        <v>3187.5</v>
      </c>
      <c r="N3214">
        <v>2800</v>
      </c>
      <c r="O3214">
        <v>387.5</v>
      </c>
    </row>
    <row r="3215" spans="1:15" x14ac:dyDescent="0.25">
      <c r="A3215" t="s">
        <v>4280</v>
      </c>
      <c r="B3215" s="2">
        <v>48871</v>
      </c>
      <c r="C3215" t="s">
        <v>1034</v>
      </c>
      <c r="D3215" t="s">
        <v>1035</v>
      </c>
      <c r="E3215" t="s">
        <v>18</v>
      </c>
      <c r="F3215" t="s">
        <v>115</v>
      </c>
      <c r="G3215" t="s">
        <v>20</v>
      </c>
      <c r="H3215" t="s">
        <v>84</v>
      </c>
      <c r="I3215" t="s">
        <v>169</v>
      </c>
      <c r="J3215">
        <v>4</v>
      </c>
      <c r="K3215">
        <v>450</v>
      </c>
      <c r="L3215">
        <v>0.15</v>
      </c>
      <c r="M3215">
        <v>1530</v>
      </c>
      <c r="N3215">
        <v>1040</v>
      </c>
      <c r="O3215">
        <v>490</v>
      </c>
    </row>
    <row r="3216" spans="1:15" x14ac:dyDescent="0.25">
      <c r="A3216" t="s">
        <v>4281</v>
      </c>
      <c r="B3216" s="2">
        <v>48872</v>
      </c>
      <c r="C3216" t="s">
        <v>1693</v>
      </c>
      <c r="D3216" t="s">
        <v>1694</v>
      </c>
      <c r="E3216" t="s">
        <v>39</v>
      </c>
      <c r="F3216" t="s">
        <v>76</v>
      </c>
      <c r="G3216" t="s">
        <v>57</v>
      </c>
      <c r="H3216" t="s">
        <v>58</v>
      </c>
      <c r="I3216" t="s">
        <v>129</v>
      </c>
      <c r="J3216">
        <v>5</v>
      </c>
      <c r="K3216">
        <v>4800</v>
      </c>
      <c r="L3216">
        <v>0.1</v>
      </c>
      <c r="M3216">
        <v>21600</v>
      </c>
      <c r="N3216">
        <v>16500</v>
      </c>
      <c r="O3216">
        <v>5100</v>
      </c>
    </row>
    <row r="3217" spans="1:15" x14ac:dyDescent="0.25">
      <c r="A3217" t="s">
        <v>4282</v>
      </c>
      <c r="B3217" s="2">
        <v>48873</v>
      </c>
      <c r="C3217" t="s">
        <v>256</v>
      </c>
      <c r="D3217" t="s">
        <v>257</v>
      </c>
      <c r="E3217" t="s">
        <v>26</v>
      </c>
      <c r="F3217" t="s">
        <v>27</v>
      </c>
      <c r="G3217" t="s">
        <v>20</v>
      </c>
      <c r="H3217" t="s">
        <v>41</v>
      </c>
      <c r="I3217" t="s">
        <v>42</v>
      </c>
      <c r="J3217">
        <v>2</v>
      </c>
      <c r="K3217">
        <v>520</v>
      </c>
      <c r="L3217">
        <v>0.1</v>
      </c>
      <c r="M3217">
        <v>936</v>
      </c>
      <c r="N3217">
        <v>660</v>
      </c>
      <c r="O3217">
        <v>276</v>
      </c>
    </row>
    <row r="3218" spans="1:15" x14ac:dyDescent="0.25">
      <c r="A3218" t="s">
        <v>4283</v>
      </c>
      <c r="B3218" s="2">
        <v>48874</v>
      </c>
      <c r="C3218" t="s">
        <v>2828</v>
      </c>
      <c r="D3218" t="s">
        <v>2829</v>
      </c>
      <c r="E3218" t="s">
        <v>26</v>
      </c>
      <c r="F3218" t="s">
        <v>204</v>
      </c>
      <c r="G3218" t="s">
        <v>51</v>
      </c>
      <c r="H3218" t="s">
        <v>89</v>
      </c>
      <c r="I3218" t="s">
        <v>90</v>
      </c>
      <c r="J3218">
        <v>2</v>
      </c>
      <c r="K3218">
        <v>10500</v>
      </c>
      <c r="L3218">
        <v>0.05</v>
      </c>
      <c r="M3218">
        <v>19950</v>
      </c>
      <c r="N3218">
        <v>15200</v>
      </c>
      <c r="O3218">
        <v>4750</v>
      </c>
    </row>
    <row r="3219" spans="1:15" x14ac:dyDescent="0.25">
      <c r="A3219" t="s">
        <v>4284</v>
      </c>
      <c r="B3219" s="2">
        <v>48875</v>
      </c>
      <c r="C3219" t="s">
        <v>1210</v>
      </c>
      <c r="D3219" t="s">
        <v>1211</v>
      </c>
      <c r="E3219" t="s">
        <v>96</v>
      </c>
      <c r="F3219" t="s">
        <v>120</v>
      </c>
      <c r="G3219" t="s">
        <v>51</v>
      </c>
      <c r="H3219" t="s">
        <v>21</v>
      </c>
      <c r="I3219" t="s">
        <v>116</v>
      </c>
      <c r="J3219">
        <v>3</v>
      </c>
      <c r="K3219">
        <v>1400</v>
      </c>
      <c r="L3219">
        <v>0.2</v>
      </c>
      <c r="M3219">
        <v>3360</v>
      </c>
      <c r="N3219">
        <v>2700</v>
      </c>
      <c r="O3219">
        <v>660</v>
      </c>
    </row>
    <row r="3220" spans="1:15" x14ac:dyDescent="0.25">
      <c r="A3220" t="s">
        <v>4285</v>
      </c>
      <c r="B3220" s="2">
        <v>48876</v>
      </c>
      <c r="C3220" t="s">
        <v>1108</v>
      </c>
      <c r="D3220" t="s">
        <v>1109</v>
      </c>
      <c r="E3220" t="s">
        <v>26</v>
      </c>
      <c r="F3220" t="s">
        <v>34</v>
      </c>
      <c r="G3220" t="s">
        <v>51</v>
      </c>
      <c r="H3220" t="s">
        <v>21</v>
      </c>
      <c r="I3220" t="s">
        <v>72</v>
      </c>
      <c r="J3220">
        <v>2</v>
      </c>
      <c r="K3220">
        <v>1800</v>
      </c>
      <c r="L3220">
        <v>0.2</v>
      </c>
      <c r="M3220">
        <v>2880</v>
      </c>
      <c r="N3220">
        <v>2200</v>
      </c>
      <c r="O3220">
        <v>680</v>
      </c>
    </row>
    <row r="3221" spans="1:15" x14ac:dyDescent="0.25">
      <c r="A3221" t="s">
        <v>4286</v>
      </c>
      <c r="B3221" s="2">
        <v>48877</v>
      </c>
      <c r="C3221" t="s">
        <v>1641</v>
      </c>
      <c r="D3221" t="s">
        <v>1642</v>
      </c>
      <c r="E3221" t="s">
        <v>26</v>
      </c>
      <c r="F3221" t="s">
        <v>34</v>
      </c>
      <c r="G3221" t="s">
        <v>20</v>
      </c>
      <c r="H3221" t="s">
        <v>84</v>
      </c>
      <c r="I3221" t="s">
        <v>169</v>
      </c>
      <c r="J3221">
        <v>1</v>
      </c>
      <c r="K3221">
        <v>450</v>
      </c>
      <c r="L3221">
        <v>0.2</v>
      </c>
      <c r="M3221">
        <v>360</v>
      </c>
      <c r="N3221">
        <v>260</v>
      </c>
      <c r="O3221">
        <v>100</v>
      </c>
    </row>
    <row r="3222" spans="1:15" x14ac:dyDescent="0.25">
      <c r="A3222" t="s">
        <v>4287</v>
      </c>
      <c r="B3222" s="2">
        <v>48878</v>
      </c>
      <c r="C3222" t="s">
        <v>828</v>
      </c>
      <c r="D3222" t="s">
        <v>829</v>
      </c>
      <c r="E3222" t="s">
        <v>39</v>
      </c>
      <c r="F3222" t="s">
        <v>76</v>
      </c>
      <c r="G3222" t="s">
        <v>20</v>
      </c>
      <c r="H3222" t="s">
        <v>84</v>
      </c>
      <c r="I3222" t="s">
        <v>85</v>
      </c>
      <c r="J3222">
        <v>1</v>
      </c>
      <c r="K3222">
        <v>280</v>
      </c>
      <c r="L3222">
        <v>0.05</v>
      </c>
      <c r="M3222">
        <v>266</v>
      </c>
      <c r="N3222">
        <v>160</v>
      </c>
      <c r="O3222">
        <v>106</v>
      </c>
    </row>
    <row r="3223" spans="1:15" x14ac:dyDescent="0.25">
      <c r="A3223" t="s">
        <v>4288</v>
      </c>
      <c r="B3223" s="2">
        <v>48879</v>
      </c>
      <c r="C3223" t="s">
        <v>1006</v>
      </c>
      <c r="D3223" t="s">
        <v>1007</v>
      </c>
      <c r="E3223" t="s">
        <v>26</v>
      </c>
      <c r="F3223" t="s">
        <v>34</v>
      </c>
      <c r="G3223" t="s">
        <v>51</v>
      </c>
      <c r="H3223" t="s">
        <v>89</v>
      </c>
      <c r="I3223" t="s">
        <v>90</v>
      </c>
      <c r="J3223">
        <v>1</v>
      </c>
      <c r="K3223">
        <v>10500</v>
      </c>
      <c r="L3223">
        <v>0.25</v>
      </c>
      <c r="M3223">
        <v>7875</v>
      </c>
      <c r="N3223">
        <v>7600</v>
      </c>
      <c r="O3223">
        <v>275</v>
      </c>
    </row>
    <row r="3224" spans="1:15" x14ac:dyDescent="0.25">
      <c r="A3224" t="s">
        <v>4289</v>
      </c>
      <c r="B3224" s="2">
        <v>48880</v>
      </c>
      <c r="C3224" t="s">
        <v>983</v>
      </c>
      <c r="D3224" t="s">
        <v>984</v>
      </c>
      <c r="E3224" t="s">
        <v>96</v>
      </c>
      <c r="F3224" t="s">
        <v>196</v>
      </c>
      <c r="G3224" t="s">
        <v>28</v>
      </c>
      <c r="H3224" t="s">
        <v>29</v>
      </c>
      <c r="I3224" t="s">
        <v>35</v>
      </c>
      <c r="J3224">
        <v>1</v>
      </c>
      <c r="K3224">
        <v>4200</v>
      </c>
      <c r="L3224">
        <v>0.1</v>
      </c>
      <c r="M3224">
        <v>3780</v>
      </c>
      <c r="N3224">
        <v>2900</v>
      </c>
      <c r="O3224">
        <v>880</v>
      </c>
    </row>
    <row r="3225" spans="1:15" x14ac:dyDescent="0.25">
      <c r="A3225" t="s">
        <v>4290</v>
      </c>
      <c r="B3225" s="2">
        <v>48881</v>
      </c>
      <c r="C3225" t="s">
        <v>578</v>
      </c>
      <c r="D3225" t="s">
        <v>579</v>
      </c>
      <c r="E3225" t="s">
        <v>18</v>
      </c>
      <c r="F3225" t="s">
        <v>94</v>
      </c>
      <c r="G3225" t="s">
        <v>51</v>
      </c>
      <c r="H3225" t="s">
        <v>21</v>
      </c>
      <c r="I3225" t="s">
        <v>72</v>
      </c>
      <c r="J3225">
        <v>5</v>
      </c>
      <c r="K3225">
        <v>1800</v>
      </c>
      <c r="L3225">
        <v>0.05</v>
      </c>
      <c r="M3225">
        <v>8550</v>
      </c>
      <c r="N3225">
        <v>5500</v>
      </c>
      <c r="O3225">
        <v>3050</v>
      </c>
    </row>
    <row r="3226" spans="1:15" x14ac:dyDescent="0.25">
      <c r="A3226" t="s">
        <v>4291</v>
      </c>
      <c r="B3226" s="2">
        <v>48882</v>
      </c>
      <c r="C3226" t="s">
        <v>3080</v>
      </c>
      <c r="D3226" t="s">
        <v>3081</v>
      </c>
      <c r="E3226" t="s">
        <v>39</v>
      </c>
      <c r="F3226" t="s">
        <v>40</v>
      </c>
      <c r="G3226" t="s">
        <v>51</v>
      </c>
      <c r="H3226" t="s">
        <v>52</v>
      </c>
      <c r="I3226" t="s">
        <v>208</v>
      </c>
      <c r="J3226">
        <v>3</v>
      </c>
      <c r="K3226">
        <v>2800</v>
      </c>
      <c r="L3226">
        <v>0.15</v>
      </c>
      <c r="M3226">
        <v>7140</v>
      </c>
      <c r="N3226">
        <v>5400</v>
      </c>
      <c r="O3226">
        <v>1740</v>
      </c>
    </row>
    <row r="3227" spans="1:15" x14ac:dyDescent="0.25">
      <c r="A3227" t="s">
        <v>4292</v>
      </c>
      <c r="B3227" s="2">
        <v>48883</v>
      </c>
      <c r="C3227" t="s">
        <v>1671</v>
      </c>
      <c r="D3227" t="s">
        <v>1672</v>
      </c>
      <c r="E3227" t="s">
        <v>26</v>
      </c>
      <c r="F3227" t="s">
        <v>128</v>
      </c>
      <c r="G3227" t="s">
        <v>28</v>
      </c>
      <c r="H3227" t="s">
        <v>29</v>
      </c>
      <c r="I3227" t="s">
        <v>35</v>
      </c>
      <c r="J3227">
        <v>2</v>
      </c>
      <c r="K3227">
        <v>4200</v>
      </c>
      <c r="L3227">
        <v>0.05</v>
      </c>
      <c r="M3227">
        <v>7980</v>
      </c>
      <c r="N3227">
        <v>5800</v>
      </c>
      <c r="O3227">
        <v>2180</v>
      </c>
    </row>
    <row r="3228" spans="1:15" x14ac:dyDescent="0.25">
      <c r="A3228" t="s">
        <v>4293</v>
      </c>
      <c r="B3228" s="2">
        <v>48884</v>
      </c>
      <c r="C3228" t="s">
        <v>541</v>
      </c>
      <c r="D3228" t="s">
        <v>542</v>
      </c>
      <c r="E3228" t="s">
        <v>39</v>
      </c>
      <c r="F3228" t="s">
        <v>124</v>
      </c>
      <c r="G3228" t="s">
        <v>51</v>
      </c>
      <c r="H3228" t="s">
        <v>21</v>
      </c>
      <c r="I3228" t="s">
        <v>80</v>
      </c>
      <c r="J3228">
        <v>4</v>
      </c>
      <c r="K3228">
        <v>850</v>
      </c>
      <c r="L3228">
        <v>0.1</v>
      </c>
      <c r="M3228">
        <v>3060</v>
      </c>
      <c r="N3228">
        <v>2240</v>
      </c>
      <c r="O3228">
        <v>820</v>
      </c>
    </row>
    <row r="3229" spans="1:15" x14ac:dyDescent="0.25">
      <c r="A3229" t="s">
        <v>4294</v>
      </c>
      <c r="B3229" s="2">
        <v>48885</v>
      </c>
      <c r="C3229" t="s">
        <v>1037</v>
      </c>
      <c r="D3229" t="s">
        <v>1038</v>
      </c>
      <c r="E3229" t="s">
        <v>26</v>
      </c>
      <c r="F3229" t="s">
        <v>27</v>
      </c>
      <c r="G3229" t="s">
        <v>51</v>
      </c>
      <c r="H3229" t="s">
        <v>52</v>
      </c>
      <c r="I3229" t="s">
        <v>53</v>
      </c>
      <c r="J3229">
        <v>3</v>
      </c>
      <c r="K3229">
        <v>2200</v>
      </c>
      <c r="L3229">
        <v>0</v>
      </c>
      <c r="M3229">
        <v>6600</v>
      </c>
      <c r="N3229">
        <v>4350</v>
      </c>
      <c r="O3229">
        <v>2250</v>
      </c>
    </row>
    <row r="3230" spans="1:15" x14ac:dyDescent="0.25">
      <c r="A3230" t="s">
        <v>4295</v>
      </c>
      <c r="B3230" s="2">
        <v>48886</v>
      </c>
      <c r="C3230" t="s">
        <v>2052</v>
      </c>
      <c r="D3230" t="s">
        <v>2053</v>
      </c>
      <c r="E3230" t="s">
        <v>26</v>
      </c>
      <c r="F3230" t="s">
        <v>34</v>
      </c>
      <c r="G3230" t="s">
        <v>28</v>
      </c>
      <c r="H3230" t="s">
        <v>29</v>
      </c>
      <c r="I3230" t="s">
        <v>30</v>
      </c>
      <c r="J3230">
        <v>1</v>
      </c>
      <c r="K3230">
        <v>1900</v>
      </c>
      <c r="L3230">
        <v>0.1</v>
      </c>
      <c r="M3230">
        <v>1710</v>
      </c>
      <c r="N3230">
        <v>1250</v>
      </c>
      <c r="O3230">
        <v>460</v>
      </c>
    </row>
    <row r="3231" spans="1:15" x14ac:dyDescent="0.25">
      <c r="A3231" t="s">
        <v>4296</v>
      </c>
      <c r="B3231" s="2">
        <v>48887</v>
      </c>
      <c r="C3231" t="s">
        <v>2084</v>
      </c>
      <c r="D3231" t="s">
        <v>2085</v>
      </c>
      <c r="E3231" t="s">
        <v>39</v>
      </c>
      <c r="F3231" t="s">
        <v>76</v>
      </c>
      <c r="G3231" t="s">
        <v>28</v>
      </c>
      <c r="H3231" t="s">
        <v>29</v>
      </c>
      <c r="I3231" t="s">
        <v>35</v>
      </c>
      <c r="J3231">
        <v>2</v>
      </c>
      <c r="K3231">
        <v>4200</v>
      </c>
      <c r="L3231">
        <v>0.1</v>
      </c>
      <c r="M3231">
        <v>7560</v>
      </c>
      <c r="N3231">
        <v>5800</v>
      </c>
      <c r="O3231">
        <v>1760</v>
      </c>
    </row>
    <row r="3232" spans="1:15" x14ac:dyDescent="0.25">
      <c r="A3232" t="s">
        <v>4297</v>
      </c>
      <c r="B3232" s="2">
        <v>48888</v>
      </c>
      <c r="C3232" t="s">
        <v>423</v>
      </c>
      <c r="D3232" t="s">
        <v>424</v>
      </c>
      <c r="E3232" t="s">
        <v>26</v>
      </c>
      <c r="F3232" t="s">
        <v>204</v>
      </c>
      <c r="G3232" t="s">
        <v>20</v>
      </c>
      <c r="H3232" t="s">
        <v>84</v>
      </c>
      <c r="I3232" t="s">
        <v>85</v>
      </c>
      <c r="J3232">
        <v>3</v>
      </c>
      <c r="K3232">
        <v>280</v>
      </c>
      <c r="L3232">
        <v>0.15</v>
      </c>
      <c r="M3232">
        <v>714</v>
      </c>
      <c r="N3232">
        <v>480</v>
      </c>
      <c r="O3232">
        <v>234</v>
      </c>
    </row>
    <row r="3233" spans="1:15" x14ac:dyDescent="0.25">
      <c r="A3233" t="s">
        <v>4298</v>
      </c>
      <c r="B3233" s="2">
        <v>48889</v>
      </c>
      <c r="C3233" t="s">
        <v>918</v>
      </c>
      <c r="D3233" t="s">
        <v>919</v>
      </c>
      <c r="E3233" t="s">
        <v>39</v>
      </c>
      <c r="F3233" t="s">
        <v>40</v>
      </c>
      <c r="G3233" t="s">
        <v>57</v>
      </c>
      <c r="H3233" t="s">
        <v>104</v>
      </c>
      <c r="I3233" t="s">
        <v>105</v>
      </c>
      <c r="J3233">
        <v>3</v>
      </c>
      <c r="K3233">
        <v>7500</v>
      </c>
      <c r="L3233">
        <v>0.05</v>
      </c>
      <c r="M3233">
        <v>21375</v>
      </c>
      <c r="N3233">
        <v>15600</v>
      </c>
      <c r="O3233">
        <v>5775</v>
      </c>
    </row>
    <row r="3234" spans="1:15" x14ac:dyDescent="0.25">
      <c r="A3234" t="s">
        <v>4299</v>
      </c>
      <c r="B3234" s="2">
        <v>48890</v>
      </c>
      <c r="C3234" t="s">
        <v>1025</v>
      </c>
      <c r="D3234" t="s">
        <v>1026</v>
      </c>
      <c r="E3234" t="s">
        <v>39</v>
      </c>
      <c r="F3234" t="s">
        <v>76</v>
      </c>
      <c r="G3234" t="s">
        <v>57</v>
      </c>
      <c r="H3234" t="s">
        <v>58</v>
      </c>
      <c r="I3234" t="s">
        <v>129</v>
      </c>
      <c r="J3234">
        <v>4</v>
      </c>
      <c r="K3234">
        <v>4800</v>
      </c>
      <c r="L3234">
        <v>0.1</v>
      </c>
      <c r="M3234">
        <v>17280</v>
      </c>
      <c r="N3234">
        <v>13200</v>
      </c>
      <c r="O3234">
        <v>4080</v>
      </c>
    </row>
    <row r="3235" spans="1:15" x14ac:dyDescent="0.25">
      <c r="A3235" t="s">
        <v>4300</v>
      </c>
      <c r="B3235" s="2">
        <v>48891</v>
      </c>
      <c r="C3235" t="s">
        <v>1000</v>
      </c>
      <c r="D3235" t="s">
        <v>1001</v>
      </c>
      <c r="E3235" t="s">
        <v>26</v>
      </c>
      <c r="F3235" t="s">
        <v>34</v>
      </c>
      <c r="G3235" t="s">
        <v>51</v>
      </c>
      <c r="H3235" t="s">
        <v>21</v>
      </c>
      <c r="I3235" t="s">
        <v>72</v>
      </c>
      <c r="J3235">
        <v>1</v>
      </c>
      <c r="K3235">
        <v>1800</v>
      </c>
      <c r="L3235">
        <v>0.15</v>
      </c>
      <c r="M3235">
        <v>1530</v>
      </c>
      <c r="N3235">
        <v>1100</v>
      </c>
      <c r="O3235">
        <v>430</v>
      </c>
    </row>
    <row r="3236" spans="1:15" x14ac:dyDescent="0.25">
      <c r="A3236" t="s">
        <v>4301</v>
      </c>
      <c r="B3236" s="2">
        <v>48892</v>
      </c>
      <c r="C3236" t="s">
        <v>918</v>
      </c>
      <c r="D3236" t="s">
        <v>919</v>
      </c>
      <c r="E3236" t="s">
        <v>96</v>
      </c>
      <c r="F3236" t="s">
        <v>200</v>
      </c>
      <c r="G3236" t="s">
        <v>20</v>
      </c>
      <c r="H3236" t="s">
        <v>84</v>
      </c>
      <c r="I3236" t="s">
        <v>169</v>
      </c>
      <c r="J3236">
        <v>1</v>
      </c>
      <c r="K3236">
        <v>450</v>
      </c>
      <c r="L3236">
        <v>0.15</v>
      </c>
      <c r="M3236">
        <v>382.5</v>
      </c>
      <c r="N3236">
        <v>260</v>
      </c>
      <c r="O3236">
        <v>122.5</v>
      </c>
    </row>
    <row r="3237" spans="1:15" x14ac:dyDescent="0.25">
      <c r="A3237" t="s">
        <v>4302</v>
      </c>
      <c r="B3237" s="2">
        <v>48893</v>
      </c>
      <c r="C3237" t="s">
        <v>708</v>
      </c>
      <c r="D3237" t="s">
        <v>709</v>
      </c>
      <c r="E3237" t="s">
        <v>96</v>
      </c>
      <c r="F3237" t="s">
        <v>196</v>
      </c>
      <c r="G3237" t="s">
        <v>51</v>
      </c>
      <c r="H3237" t="s">
        <v>52</v>
      </c>
      <c r="I3237" t="s">
        <v>53</v>
      </c>
      <c r="J3237">
        <v>5</v>
      </c>
      <c r="K3237">
        <v>2200</v>
      </c>
      <c r="L3237">
        <v>0.05</v>
      </c>
      <c r="M3237">
        <v>10450</v>
      </c>
      <c r="N3237">
        <v>7250</v>
      </c>
      <c r="O3237">
        <v>3200</v>
      </c>
    </row>
    <row r="3238" spans="1:15" x14ac:dyDescent="0.25">
      <c r="A3238" t="s">
        <v>4303</v>
      </c>
      <c r="B3238" s="2">
        <v>48894</v>
      </c>
      <c r="C3238" t="s">
        <v>733</v>
      </c>
      <c r="D3238" t="s">
        <v>734</v>
      </c>
      <c r="E3238" t="s">
        <v>26</v>
      </c>
      <c r="F3238" t="s">
        <v>204</v>
      </c>
      <c r="G3238" t="s">
        <v>28</v>
      </c>
      <c r="H3238" t="s">
        <v>29</v>
      </c>
      <c r="I3238" t="s">
        <v>30</v>
      </c>
      <c r="J3238">
        <v>3</v>
      </c>
      <c r="K3238">
        <v>1900</v>
      </c>
      <c r="L3238">
        <v>0.15</v>
      </c>
      <c r="M3238">
        <v>4845</v>
      </c>
      <c r="N3238">
        <v>3750</v>
      </c>
      <c r="O3238">
        <v>1095</v>
      </c>
    </row>
    <row r="3239" spans="1:15" x14ac:dyDescent="0.25">
      <c r="A3239" t="s">
        <v>4304</v>
      </c>
      <c r="B3239" s="2">
        <v>48895</v>
      </c>
      <c r="C3239" t="s">
        <v>784</v>
      </c>
      <c r="D3239" t="s">
        <v>785</v>
      </c>
      <c r="E3239" t="s">
        <v>26</v>
      </c>
      <c r="F3239" t="s">
        <v>46</v>
      </c>
      <c r="G3239" t="s">
        <v>57</v>
      </c>
      <c r="H3239" t="s">
        <v>188</v>
      </c>
      <c r="I3239" t="s">
        <v>189</v>
      </c>
      <c r="J3239">
        <v>1</v>
      </c>
      <c r="K3239">
        <v>6200</v>
      </c>
      <c r="L3239">
        <v>0.1</v>
      </c>
      <c r="M3239">
        <v>5580</v>
      </c>
      <c r="N3239">
        <v>4300</v>
      </c>
      <c r="O3239">
        <v>1280</v>
      </c>
    </row>
    <row r="3240" spans="1:15" x14ac:dyDescent="0.25">
      <c r="A3240" t="s">
        <v>4305</v>
      </c>
      <c r="B3240" s="2">
        <v>48896</v>
      </c>
      <c r="C3240" t="s">
        <v>744</v>
      </c>
      <c r="D3240" t="s">
        <v>745</v>
      </c>
      <c r="E3240" t="s">
        <v>26</v>
      </c>
      <c r="F3240" t="s">
        <v>46</v>
      </c>
      <c r="G3240" t="s">
        <v>20</v>
      </c>
      <c r="H3240" t="s">
        <v>41</v>
      </c>
      <c r="I3240" t="s">
        <v>42</v>
      </c>
      <c r="J3240">
        <v>2</v>
      </c>
      <c r="K3240">
        <v>520</v>
      </c>
      <c r="L3240">
        <v>0.15</v>
      </c>
      <c r="M3240">
        <v>884</v>
      </c>
      <c r="N3240">
        <v>660</v>
      </c>
      <c r="O3240">
        <v>224</v>
      </c>
    </row>
    <row r="3241" spans="1:15" x14ac:dyDescent="0.25">
      <c r="A3241" t="s">
        <v>4306</v>
      </c>
      <c r="B3241" s="2">
        <v>48897</v>
      </c>
      <c r="C3241" t="s">
        <v>1003</v>
      </c>
      <c r="D3241" t="s">
        <v>1004</v>
      </c>
      <c r="E3241" t="s">
        <v>39</v>
      </c>
      <c r="F3241" t="s">
        <v>40</v>
      </c>
      <c r="G3241" t="s">
        <v>57</v>
      </c>
      <c r="H3241" t="s">
        <v>104</v>
      </c>
      <c r="I3241" t="s">
        <v>105</v>
      </c>
      <c r="J3241">
        <v>2</v>
      </c>
      <c r="K3241">
        <v>7500</v>
      </c>
      <c r="L3241">
        <v>0</v>
      </c>
      <c r="M3241">
        <v>15000</v>
      </c>
      <c r="N3241">
        <v>10400</v>
      </c>
      <c r="O3241">
        <v>4600</v>
      </c>
    </row>
    <row r="3242" spans="1:15" x14ac:dyDescent="0.25">
      <c r="A3242" t="s">
        <v>4307</v>
      </c>
      <c r="B3242" s="2">
        <v>48898</v>
      </c>
      <c r="C3242" t="s">
        <v>803</v>
      </c>
      <c r="D3242" t="s">
        <v>804</v>
      </c>
      <c r="E3242" t="s">
        <v>18</v>
      </c>
      <c r="F3242" t="s">
        <v>227</v>
      </c>
      <c r="G3242" t="s">
        <v>20</v>
      </c>
      <c r="H3242" t="s">
        <v>84</v>
      </c>
      <c r="I3242" t="s">
        <v>210</v>
      </c>
      <c r="J3242">
        <v>1</v>
      </c>
      <c r="K3242">
        <v>300</v>
      </c>
      <c r="L3242">
        <v>0.05</v>
      </c>
      <c r="M3242">
        <v>285</v>
      </c>
      <c r="N3242">
        <v>170</v>
      </c>
      <c r="O3242">
        <v>115</v>
      </c>
    </row>
    <row r="3243" spans="1:15" x14ac:dyDescent="0.25">
      <c r="A3243" t="s">
        <v>4308</v>
      </c>
      <c r="B3243" s="2">
        <v>48899</v>
      </c>
      <c r="C3243" t="s">
        <v>1287</v>
      </c>
      <c r="D3243" t="s">
        <v>1288</v>
      </c>
      <c r="E3243" t="s">
        <v>96</v>
      </c>
      <c r="F3243" t="s">
        <v>120</v>
      </c>
      <c r="G3243" t="s">
        <v>20</v>
      </c>
      <c r="H3243" t="s">
        <v>84</v>
      </c>
      <c r="I3243" t="s">
        <v>210</v>
      </c>
      <c r="J3243">
        <v>4</v>
      </c>
      <c r="K3243">
        <v>300</v>
      </c>
      <c r="L3243">
        <v>0</v>
      </c>
      <c r="M3243">
        <v>1200</v>
      </c>
      <c r="N3243">
        <v>680</v>
      </c>
      <c r="O3243">
        <v>520</v>
      </c>
    </row>
    <row r="3244" spans="1:15" x14ac:dyDescent="0.25">
      <c r="A3244" t="s">
        <v>4309</v>
      </c>
      <c r="B3244" s="2">
        <v>48900</v>
      </c>
      <c r="C3244" t="s">
        <v>126</v>
      </c>
      <c r="D3244" t="s">
        <v>127</v>
      </c>
      <c r="E3244" t="s">
        <v>26</v>
      </c>
      <c r="F3244" t="s">
        <v>34</v>
      </c>
      <c r="G3244" t="s">
        <v>57</v>
      </c>
      <c r="H3244" t="s">
        <v>58</v>
      </c>
      <c r="I3244" t="s">
        <v>129</v>
      </c>
      <c r="J3244">
        <v>5</v>
      </c>
      <c r="K3244">
        <v>4800</v>
      </c>
      <c r="L3244">
        <v>0.1</v>
      </c>
      <c r="M3244">
        <v>21600</v>
      </c>
      <c r="N3244">
        <v>16500</v>
      </c>
      <c r="O3244">
        <v>5100</v>
      </c>
    </row>
    <row r="3245" spans="1:15" x14ac:dyDescent="0.25">
      <c r="A3245" t="s">
        <v>4310</v>
      </c>
      <c r="B3245" s="2">
        <v>48901</v>
      </c>
      <c r="C3245" t="s">
        <v>2230</v>
      </c>
      <c r="D3245" t="s">
        <v>2231</v>
      </c>
      <c r="E3245" t="s">
        <v>26</v>
      </c>
      <c r="F3245" t="s">
        <v>34</v>
      </c>
      <c r="G3245" t="s">
        <v>28</v>
      </c>
      <c r="H3245" t="s">
        <v>29</v>
      </c>
      <c r="I3245" t="s">
        <v>30</v>
      </c>
      <c r="J3245">
        <v>3</v>
      </c>
      <c r="K3245">
        <v>1900</v>
      </c>
      <c r="L3245">
        <v>0.15</v>
      </c>
      <c r="M3245">
        <v>4845</v>
      </c>
      <c r="N3245">
        <v>3750</v>
      </c>
      <c r="O3245">
        <v>1095</v>
      </c>
    </row>
    <row r="3246" spans="1:15" x14ac:dyDescent="0.25">
      <c r="A3246" t="s">
        <v>4311</v>
      </c>
      <c r="B3246" s="2">
        <v>48902</v>
      </c>
      <c r="C3246" t="s">
        <v>1514</v>
      </c>
      <c r="D3246" t="s">
        <v>1515</v>
      </c>
      <c r="E3246" t="s">
        <v>18</v>
      </c>
      <c r="F3246" t="s">
        <v>19</v>
      </c>
      <c r="G3246" t="s">
        <v>51</v>
      </c>
      <c r="H3246" t="s">
        <v>21</v>
      </c>
      <c r="I3246" t="s">
        <v>80</v>
      </c>
      <c r="J3246">
        <v>2</v>
      </c>
      <c r="K3246">
        <v>850</v>
      </c>
      <c r="L3246">
        <v>0.2</v>
      </c>
      <c r="M3246">
        <v>1360</v>
      </c>
      <c r="N3246">
        <v>1120</v>
      </c>
      <c r="O3246">
        <v>240</v>
      </c>
    </row>
    <row r="3247" spans="1:15" x14ac:dyDescent="0.25">
      <c r="A3247" t="s">
        <v>4312</v>
      </c>
      <c r="B3247" s="2">
        <v>48903</v>
      </c>
      <c r="C3247" t="s">
        <v>1739</v>
      </c>
      <c r="D3247" t="s">
        <v>1740</v>
      </c>
      <c r="E3247" t="s">
        <v>26</v>
      </c>
      <c r="F3247" t="s">
        <v>128</v>
      </c>
      <c r="G3247" t="s">
        <v>51</v>
      </c>
      <c r="H3247" t="s">
        <v>52</v>
      </c>
      <c r="I3247" t="s">
        <v>208</v>
      </c>
      <c r="J3247">
        <v>4</v>
      </c>
      <c r="K3247">
        <v>2800</v>
      </c>
      <c r="L3247">
        <v>0</v>
      </c>
      <c r="M3247">
        <v>11200</v>
      </c>
      <c r="N3247">
        <v>7200</v>
      </c>
      <c r="O3247">
        <v>4000</v>
      </c>
    </row>
    <row r="3248" spans="1:15" x14ac:dyDescent="0.25">
      <c r="A3248" t="s">
        <v>4313</v>
      </c>
      <c r="B3248" s="2">
        <v>48904</v>
      </c>
      <c r="C3248" t="s">
        <v>1227</v>
      </c>
      <c r="D3248" t="s">
        <v>1228</v>
      </c>
      <c r="E3248" t="s">
        <v>26</v>
      </c>
      <c r="F3248" t="s">
        <v>34</v>
      </c>
      <c r="G3248" t="s">
        <v>28</v>
      </c>
      <c r="H3248" t="s">
        <v>29</v>
      </c>
      <c r="I3248" t="s">
        <v>47</v>
      </c>
      <c r="J3248">
        <v>5</v>
      </c>
      <c r="K3248">
        <v>6800</v>
      </c>
      <c r="L3248">
        <v>0.05</v>
      </c>
      <c r="M3248">
        <v>32300</v>
      </c>
      <c r="N3248">
        <v>23500</v>
      </c>
      <c r="O3248">
        <v>8800</v>
      </c>
    </row>
    <row r="3249" spans="1:15" x14ac:dyDescent="0.25">
      <c r="A3249" t="s">
        <v>4314</v>
      </c>
      <c r="B3249" s="2">
        <v>48905</v>
      </c>
      <c r="C3249" t="s">
        <v>1372</v>
      </c>
      <c r="D3249" t="s">
        <v>1373</v>
      </c>
      <c r="E3249" t="s">
        <v>39</v>
      </c>
      <c r="F3249" t="s">
        <v>40</v>
      </c>
      <c r="G3249" t="s">
        <v>51</v>
      </c>
      <c r="H3249" t="s">
        <v>21</v>
      </c>
      <c r="I3249" t="s">
        <v>116</v>
      </c>
      <c r="J3249">
        <v>2</v>
      </c>
      <c r="K3249">
        <v>1400</v>
      </c>
      <c r="L3249">
        <v>0</v>
      </c>
      <c r="M3249">
        <v>2800</v>
      </c>
      <c r="N3249">
        <v>1800</v>
      </c>
      <c r="O3249">
        <v>1000</v>
      </c>
    </row>
    <row r="3250" spans="1:15" x14ac:dyDescent="0.25">
      <c r="A3250" t="s">
        <v>4315</v>
      </c>
      <c r="B3250" s="2">
        <v>48906</v>
      </c>
      <c r="C3250" t="s">
        <v>384</v>
      </c>
      <c r="D3250" t="s">
        <v>385</v>
      </c>
      <c r="E3250" t="s">
        <v>26</v>
      </c>
      <c r="F3250" t="s">
        <v>204</v>
      </c>
      <c r="G3250" t="s">
        <v>57</v>
      </c>
      <c r="H3250" t="s">
        <v>58</v>
      </c>
      <c r="I3250" t="s">
        <v>129</v>
      </c>
      <c r="J3250">
        <v>4</v>
      </c>
      <c r="K3250">
        <v>4800</v>
      </c>
      <c r="L3250">
        <v>0</v>
      </c>
      <c r="M3250">
        <v>19200</v>
      </c>
      <c r="N3250">
        <v>13200</v>
      </c>
      <c r="O3250">
        <v>6000</v>
      </c>
    </row>
    <row r="3251" spans="1:15" x14ac:dyDescent="0.25">
      <c r="A3251" t="s">
        <v>4316</v>
      </c>
      <c r="B3251" s="2">
        <v>48907</v>
      </c>
      <c r="C3251" t="s">
        <v>149</v>
      </c>
      <c r="D3251" t="s">
        <v>150</v>
      </c>
      <c r="E3251" t="s">
        <v>26</v>
      </c>
      <c r="F3251" t="s">
        <v>46</v>
      </c>
      <c r="G3251" t="s">
        <v>20</v>
      </c>
      <c r="H3251" t="s">
        <v>84</v>
      </c>
      <c r="I3251" t="s">
        <v>169</v>
      </c>
      <c r="J3251">
        <v>5</v>
      </c>
      <c r="K3251">
        <v>450</v>
      </c>
      <c r="L3251">
        <v>0.05</v>
      </c>
      <c r="M3251">
        <v>2137.5</v>
      </c>
      <c r="N3251">
        <v>1300</v>
      </c>
      <c r="O3251">
        <v>837.5</v>
      </c>
    </row>
    <row r="3252" spans="1:15" x14ac:dyDescent="0.25">
      <c r="A3252" t="s">
        <v>4317</v>
      </c>
      <c r="B3252" s="2">
        <v>48908</v>
      </c>
      <c r="C3252" t="s">
        <v>301</v>
      </c>
      <c r="D3252" t="s">
        <v>302</v>
      </c>
      <c r="E3252" t="s">
        <v>18</v>
      </c>
      <c r="F3252" t="s">
        <v>115</v>
      </c>
      <c r="G3252" t="s">
        <v>57</v>
      </c>
      <c r="H3252" t="s">
        <v>58</v>
      </c>
      <c r="I3252" t="s">
        <v>129</v>
      </c>
      <c r="J3252">
        <v>3</v>
      </c>
      <c r="K3252">
        <v>4800</v>
      </c>
      <c r="L3252">
        <v>0.05</v>
      </c>
      <c r="M3252">
        <v>13680</v>
      </c>
      <c r="N3252">
        <v>9900</v>
      </c>
      <c r="O3252">
        <v>3780</v>
      </c>
    </row>
    <row r="3253" spans="1:15" x14ac:dyDescent="0.25">
      <c r="A3253" t="s">
        <v>4318</v>
      </c>
      <c r="B3253" s="2">
        <v>48909</v>
      </c>
      <c r="C3253" t="s">
        <v>164</v>
      </c>
      <c r="D3253" t="s">
        <v>165</v>
      </c>
      <c r="E3253" t="s">
        <v>18</v>
      </c>
      <c r="F3253" t="s">
        <v>227</v>
      </c>
      <c r="G3253" t="s">
        <v>28</v>
      </c>
      <c r="H3253" t="s">
        <v>29</v>
      </c>
      <c r="I3253" t="s">
        <v>30</v>
      </c>
      <c r="J3253">
        <v>5</v>
      </c>
      <c r="K3253">
        <v>1900</v>
      </c>
      <c r="L3253">
        <v>0.05</v>
      </c>
      <c r="M3253">
        <v>9025</v>
      </c>
      <c r="N3253">
        <v>6250</v>
      </c>
      <c r="O3253">
        <v>2775</v>
      </c>
    </row>
    <row r="3254" spans="1:15" x14ac:dyDescent="0.25">
      <c r="A3254" t="s">
        <v>4319</v>
      </c>
      <c r="B3254" s="2">
        <v>48910</v>
      </c>
      <c r="C3254" t="s">
        <v>1253</v>
      </c>
      <c r="D3254" t="s">
        <v>1254</v>
      </c>
      <c r="E3254" t="s">
        <v>96</v>
      </c>
      <c r="F3254" t="s">
        <v>97</v>
      </c>
      <c r="G3254" t="s">
        <v>28</v>
      </c>
      <c r="H3254" t="s">
        <v>29</v>
      </c>
      <c r="I3254" t="s">
        <v>30</v>
      </c>
      <c r="J3254">
        <v>4</v>
      </c>
      <c r="K3254">
        <v>1900</v>
      </c>
      <c r="L3254">
        <v>0.05</v>
      </c>
      <c r="M3254">
        <v>7220</v>
      </c>
      <c r="N3254">
        <v>5000</v>
      </c>
      <c r="O3254">
        <v>2220</v>
      </c>
    </row>
    <row r="3255" spans="1:15" x14ac:dyDescent="0.25">
      <c r="A3255" t="s">
        <v>4320</v>
      </c>
      <c r="B3255" s="2">
        <v>48911</v>
      </c>
      <c r="C3255" t="s">
        <v>784</v>
      </c>
      <c r="D3255" t="s">
        <v>785</v>
      </c>
      <c r="E3255" t="s">
        <v>26</v>
      </c>
      <c r="F3255" t="s">
        <v>204</v>
      </c>
      <c r="G3255" t="s">
        <v>51</v>
      </c>
      <c r="H3255" t="s">
        <v>21</v>
      </c>
      <c r="I3255" t="s">
        <v>72</v>
      </c>
      <c r="J3255">
        <v>3</v>
      </c>
      <c r="K3255">
        <v>1800</v>
      </c>
      <c r="L3255">
        <v>0.05</v>
      </c>
      <c r="M3255">
        <v>5130</v>
      </c>
      <c r="N3255">
        <v>3300</v>
      </c>
      <c r="O3255">
        <v>1830</v>
      </c>
    </row>
    <row r="3256" spans="1:15" x14ac:dyDescent="0.25">
      <c r="A3256" t="s">
        <v>4321</v>
      </c>
      <c r="B3256" s="2">
        <v>48912</v>
      </c>
      <c r="C3256" t="s">
        <v>611</v>
      </c>
      <c r="D3256" t="s">
        <v>612</v>
      </c>
      <c r="E3256" t="s">
        <v>39</v>
      </c>
      <c r="F3256" t="s">
        <v>71</v>
      </c>
      <c r="G3256" t="s">
        <v>51</v>
      </c>
      <c r="H3256" t="s">
        <v>21</v>
      </c>
      <c r="I3256" t="s">
        <v>116</v>
      </c>
      <c r="J3256">
        <v>5</v>
      </c>
      <c r="K3256">
        <v>1400</v>
      </c>
      <c r="L3256">
        <v>0.05</v>
      </c>
      <c r="M3256">
        <v>6650</v>
      </c>
      <c r="N3256">
        <v>4500</v>
      </c>
      <c r="O3256">
        <v>2150</v>
      </c>
    </row>
    <row r="3257" spans="1:15" x14ac:dyDescent="0.25">
      <c r="A3257" t="s">
        <v>4322</v>
      </c>
      <c r="B3257" s="2">
        <v>48913</v>
      </c>
      <c r="C3257" t="s">
        <v>2167</v>
      </c>
      <c r="D3257" t="s">
        <v>2168</v>
      </c>
      <c r="E3257" t="s">
        <v>96</v>
      </c>
      <c r="F3257" t="s">
        <v>97</v>
      </c>
      <c r="G3257" t="s">
        <v>28</v>
      </c>
      <c r="H3257" t="s">
        <v>29</v>
      </c>
      <c r="I3257" t="s">
        <v>30</v>
      </c>
      <c r="J3257">
        <v>5</v>
      </c>
      <c r="K3257">
        <v>1900</v>
      </c>
      <c r="L3257">
        <v>0.1</v>
      </c>
      <c r="M3257">
        <v>8550</v>
      </c>
      <c r="N3257">
        <v>6250</v>
      </c>
      <c r="O3257">
        <v>2300</v>
      </c>
    </row>
    <row r="3258" spans="1:15" x14ac:dyDescent="0.25">
      <c r="A3258" t="s">
        <v>4323</v>
      </c>
      <c r="B3258" s="2">
        <v>48914</v>
      </c>
      <c r="C3258" t="s">
        <v>633</v>
      </c>
      <c r="D3258" t="s">
        <v>634</v>
      </c>
      <c r="E3258" t="s">
        <v>26</v>
      </c>
      <c r="F3258" t="s">
        <v>204</v>
      </c>
      <c r="G3258" t="s">
        <v>51</v>
      </c>
      <c r="H3258" t="s">
        <v>89</v>
      </c>
      <c r="I3258" t="s">
        <v>90</v>
      </c>
      <c r="J3258">
        <v>2</v>
      </c>
      <c r="K3258">
        <v>10500</v>
      </c>
      <c r="L3258">
        <v>0.1</v>
      </c>
      <c r="M3258">
        <v>18900</v>
      </c>
      <c r="N3258">
        <v>15200</v>
      </c>
      <c r="O3258">
        <v>3700</v>
      </c>
    </row>
    <row r="3259" spans="1:15" x14ac:dyDescent="0.25">
      <c r="A3259" t="s">
        <v>4324</v>
      </c>
      <c r="B3259" s="2">
        <v>48915</v>
      </c>
      <c r="C3259" t="s">
        <v>2173</v>
      </c>
      <c r="D3259" t="s">
        <v>2174</v>
      </c>
      <c r="E3259" t="s">
        <v>26</v>
      </c>
      <c r="F3259" t="s">
        <v>34</v>
      </c>
      <c r="G3259" t="s">
        <v>28</v>
      </c>
      <c r="H3259" t="s">
        <v>29</v>
      </c>
      <c r="I3259" t="s">
        <v>35</v>
      </c>
      <c r="J3259">
        <v>2</v>
      </c>
      <c r="K3259">
        <v>4200</v>
      </c>
      <c r="L3259">
        <v>0.1</v>
      </c>
      <c r="M3259">
        <v>7560</v>
      </c>
      <c r="N3259">
        <v>5800</v>
      </c>
      <c r="O3259">
        <v>1760</v>
      </c>
    </row>
    <row r="3260" spans="1:15" x14ac:dyDescent="0.25">
      <c r="A3260" t="s">
        <v>4325</v>
      </c>
      <c r="B3260" s="2">
        <v>48916</v>
      </c>
      <c r="C3260" t="s">
        <v>2002</v>
      </c>
      <c r="D3260" t="s">
        <v>2003</v>
      </c>
      <c r="E3260" t="s">
        <v>26</v>
      </c>
      <c r="F3260" t="s">
        <v>34</v>
      </c>
      <c r="G3260" t="s">
        <v>28</v>
      </c>
      <c r="H3260" t="s">
        <v>29</v>
      </c>
      <c r="I3260" t="s">
        <v>35</v>
      </c>
      <c r="J3260">
        <v>4</v>
      </c>
      <c r="K3260">
        <v>4200</v>
      </c>
      <c r="L3260">
        <v>0.05</v>
      </c>
      <c r="M3260">
        <v>15960</v>
      </c>
      <c r="N3260">
        <v>11600</v>
      </c>
      <c r="O3260">
        <v>4360</v>
      </c>
    </row>
    <row r="3261" spans="1:15" x14ac:dyDescent="0.25">
      <c r="A3261" t="s">
        <v>4326</v>
      </c>
      <c r="B3261" s="2">
        <v>48917</v>
      </c>
      <c r="C3261" t="s">
        <v>1009</v>
      </c>
      <c r="D3261" t="s">
        <v>1010</v>
      </c>
      <c r="E3261" t="s">
        <v>18</v>
      </c>
      <c r="F3261" t="s">
        <v>227</v>
      </c>
      <c r="G3261" t="s">
        <v>28</v>
      </c>
      <c r="H3261" t="s">
        <v>29</v>
      </c>
      <c r="I3261" t="s">
        <v>30</v>
      </c>
      <c r="J3261">
        <v>1</v>
      </c>
      <c r="K3261">
        <v>1900</v>
      </c>
      <c r="L3261">
        <v>0.15</v>
      </c>
      <c r="M3261">
        <v>1615</v>
      </c>
      <c r="N3261">
        <v>1250</v>
      </c>
      <c r="O3261">
        <v>365</v>
      </c>
    </row>
    <row r="3262" spans="1:15" x14ac:dyDescent="0.25">
      <c r="A3262" t="s">
        <v>4327</v>
      </c>
      <c r="B3262" s="2">
        <v>48918</v>
      </c>
      <c r="C3262" t="s">
        <v>662</v>
      </c>
      <c r="D3262" t="s">
        <v>663</v>
      </c>
      <c r="E3262" t="s">
        <v>39</v>
      </c>
      <c r="F3262" t="s">
        <v>71</v>
      </c>
      <c r="G3262" t="s">
        <v>51</v>
      </c>
      <c r="H3262" t="s">
        <v>89</v>
      </c>
      <c r="I3262" t="s">
        <v>90</v>
      </c>
      <c r="J3262">
        <v>3</v>
      </c>
      <c r="K3262">
        <v>10500</v>
      </c>
      <c r="L3262">
        <v>0.1</v>
      </c>
      <c r="M3262">
        <v>28350</v>
      </c>
      <c r="N3262">
        <v>22800</v>
      </c>
      <c r="O3262">
        <v>5550</v>
      </c>
    </row>
    <row r="3263" spans="1:15" x14ac:dyDescent="0.25">
      <c r="A3263" t="s">
        <v>4328</v>
      </c>
      <c r="B3263" s="2">
        <v>48919</v>
      </c>
      <c r="C3263" t="s">
        <v>186</v>
      </c>
      <c r="D3263" t="s">
        <v>187</v>
      </c>
      <c r="E3263" t="s">
        <v>26</v>
      </c>
      <c r="F3263" t="s">
        <v>27</v>
      </c>
      <c r="G3263" t="s">
        <v>51</v>
      </c>
      <c r="H3263" t="s">
        <v>89</v>
      </c>
      <c r="I3263" t="s">
        <v>90</v>
      </c>
      <c r="J3263">
        <v>3</v>
      </c>
      <c r="K3263">
        <v>10500</v>
      </c>
      <c r="L3263">
        <v>0.2</v>
      </c>
      <c r="M3263">
        <v>25200</v>
      </c>
      <c r="N3263">
        <v>22800</v>
      </c>
      <c r="O3263">
        <v>2400</v>
      </c>
    </row>
    <row r="3264" spans="1:15" x14ac:dyDescent="0.25">
      <c r="A3264" t="s">
        <v>4329</v>
      </c>
      <c r="B3264" s="2">
        <v>48920</v>
      </c>
      <c r="C3264" t="s">
        <v>865</v>
      </c>
      <c r="D3264" t="s">
        <v>866</v>
      </c>
      <c r="E3264" t="s">
        <v>96</v>
      </c>
      <c r="F3264" t="s">
        <v>97</v>
      </c>
      <c r="G3264" t="s">
        <v>57</v>
      </c>
      <c r="H3264" t="s">
        <v>188</v>
      </c>
      <c r="I3264" t="s">
        <v>189</v>
      </c>
      <c r="J3264">
        <v>4</v>
      </c>
      <c r="K3264">
        <v>6200</v>
      </c>
      <c r="L3264">
        <v>0.1</v>
      </c>
      <c r="M3264">
        <v>22320</v>
      </c>
      <c r="N3264">
        <v>17200</v>
      </c>
      <c r="O3264">
        <v>5120</v>
      </c>
    </row>
    <row r="3265" spans="1:15" x14ac:dyDescent="0.25">
      <c r="A3265" t="s">
        <v>4330</v>
      </c>
      <c r="B3265" s="2">
        <v>48921</v>
      </c>
      <c r="C3265" t="s">
        <v>809</v>
      </c>
      <c r="D3265" t="s">
        <v>810</v>
      </c>
      <c r="E3265" t="s">
        <v>26</v>
      </c>
      <c r="F3265" t="s">
        <v>34</v>
      </c>
      <c r="G3265" t="s">
        <v>28</v>
      </c>
      <c r="H3265" t="s">
        <v>63</v>
      </c>
      <c r="I3265" t="s">
        <v>64</v>
      </c>
      <c r="J3265">
        <v>1</v>
      </c>
      <c r="K3265">
        <v>2400</v>
      </c>
      <c r="L3265">
        <v>0.1</v>
      </c>
      <c r="M3265">
        <v>2160</v>
      </c>
      <c r="N3265">
        <v>1650</v>
      </c>
      <c r="O3265">
        <v>510</v>
      </c>
    </row>
    <row r="3266" spans="1:15" x14ac:dyDescent="0.25">
      <c r="A3266" t="s">
        <v>4331</v>
      </c>
      <c r="B3266" s="2">
        <v>48922</v>
      </c>
      <c r="C3266" t="s">
        <v>588</v>
      </c>
      <c r="D3266" t="s">
        <v>589</v>
      </c>
      <c r="E3266" t="s">
        <v>26</v>
      </c>
      <c r="F3266" t="s">
        <v>46</v>
      </c>
      <c r="G3266" t="s">
        <v>51</v>
      </c>
      <c r="H3266" t="s">
        <v>52</v>
      </c>
      <c r="I3266" t="s">
        <v>53</v>
      </c>
      <c r="J3266">
        <v>5</v>
      </c>
      <c r="K3266">
        <v>2200</v>
      </c>
      <c r="L3266">
        <v>0.1</v>
      </c>
      <c r="M3266">
        <v>9900</v>
      </c>
      <c r="N3266">
        <v>7250</v>
      </c>
      <c r="O3266">
        <v>2650</v>
      </c>
    </row>
    <row r="3267" spans="1:15" x14ac:dyDescent="0.25">
      <c r="A3267" t="s">
        <v>4332</v>
      </c>
      <c r="B3267" s="2">
        <v>48923</v>
      </c>
      <c r="C3267" t="s">
        <v>333</v>
      </c>
      <c r="D3267" t="s">
        <v>334</v>
      </c>
      <c r="E3267" t="s">
        <v>39</v>
      </c>
      <c r="F3267" t="s">
        <v>124</v>
      </c>
      <c r="G3267" t="s">
        <v>20</v>
      </c>
      <c r="H3267" t="s">
        <v>41</v>
      </c>
      <c r="I3267" t="s">
        <v>42</v>
      </c>
      <c r="J3267">
        <v>1</v>
      </c>
      <c r="K3267">
        <v>520</v>
      </c>
      <c r="L3267">
        <v>0.05</v>
      </c>
      <c r="M3267">
        <v>494</v>
      </c>
      <c r="N3267">
        <v>330</v>
      </c>
      <c r="O3267">
        <v>164</v>
      </c>
    </row>
    <row r="3268" spans="1:15" x14ac:dyDescent="0.25">
      <c r="A3268" t="s">
        <v>4333</v>
      </c>
      <c r="B3268" s="2">
        <v>48924</v>
      </c>
      <c r="C3268" t="s">
        <v>813</v>
      </c>
      <c r="D3268" t="s">
        <v>814</v>
      </c>
      <c r="E3268" t="s">
        <v>39</v>
      </c>
      <c r="F3268" t="s">
        <v>40</v>
      </c>
      <c r="G3268" t="s">
        <v>20</v>
      </c>
      <c r="H3268" t="s">
        <v>84</v>
      </c>
      <c r="I3268" t="s">
        <v>169</v>
      </c>
      <c r="J3268">
        <v>1</v>
      </c>
      <c r="K3268">
        <v>450</v>
      </c>
      <c r="L3268">
        <v>0.05</v>
      </c>
      <c r="M3268">
        <v>427.5</v>
      </c>
      <c r="N3268">
        <v>260</v>
      </c>
      <c r="O3268">
        <v>167.5</v>
      </c>
    </row>
    <row r="3269" spans="1:15" x14ac:dyDescent="0.25">
      <c r="A3269" t="s">
        <v>4334</v>
      </c>
      <c r="B3269" s="2">
        <v>48925</v>
      </c>
      <c r="C3269" t="s">
        <v>876</v>
      </c>
      <c r="D3269" t="s">
        <v>877</v>
      </c>
      <c r="E3269" t="s">
        <v>26</v>
      </c>
      <c r="F3269" t="s">
        <v>204</v>
      </c>
      <c r="G3269" t="s">
        <v>20</v>
      </c>
      <c r="H3269" t="s">
        <v>21</v>
      </c>
      <c r="I3269" t="s">
        <v>22</v>
      </c>
      <c r="J3269">
        <v>5</v>
      </c>
      <c r="K3269">
        <v>650</v>
      </c>
      <c r="L3269">
        <v>0</v>
      </c>
      <c r="M3269">
        <v>3250</v>
      </c>
      <c r="N3269">
        <v>1950</v>
      </c>
      <c r="O3269">
        <v>1300</v>
      </c>
    </row>
    <row r="3270" spans="1:15" x14ac:dyDescent="0.25">
      <c r="A3270" t="s">
        <v>4335</v>
      </c>
      <c r="B3270" s="2">
        <v>48926</v>
      </c>
      <c r="C3270" t="s">
        <v>513</v>
      </c>
      <c r="D3270" t="s">
        <v>514</v>
      </c>
      <c r="E3270" t="s">
        <v>26</v>
      </c>
      <c r="F3270" t="s">
        <v>27</v>
      </c>
      <c r="G3270" t="s">
        <v>28</v>
      </c>
      <c r="H3270" t="s">
        <v>63</v>
      </c>
      <c r="I3270" t="s">
        <v>64</v>
      </c>
      <c r="J3270">
        <v>1</v>
      </c>
      <c r="K3270">
        <v>2400</v>
      </c>
      <c r="L3270">
        <v>0.1</v>
      </c>
      <c r="M3270">
        <v>2160</v>
      </c>
      <c r="N3270">
        <v>1650</v>
      </c>
      <c r="O3270">
        <v>510</v>
      </c>
    </row>
    <row r="3271" spans="1:15" x14ac:dyDescent="0.25">
      <c r="A3271" t="s">
        <v>4336</v>
      </c>
      <c r="B3271" s="2">
        <v>48927</v>
      </c>
      <c r="C3271" t="s">
        <v>1253</v>
      </c>
      <c r="D3271" t="s">
        <v>1254</v>
      </c>
      <c r="E3271" t="s">
        <v>26</v>
      </c>
      <c r="F3271" t="s">
        <v>204</v>
      </c>
      <c r="G3271" t="s">
        <v>57</v>
      </c>
      <c r="H3271" t="s">
        <v>188</v>
      </c>
      <c r="I3271" t="s">
        <v>189</v>
      </c>
      <c r="J3271">
        <v>3</v>
      </c>
      <c r="K3271">
        <v>6200</v>
      </c>
      <c r="L3271">
        <v>0.2</v>
      </c>
      <c r="M3271">
        <v>14880</v>
      </c>
      <c r="N3271">
        <v>12900</v>
      </c>
      <c r="O3271">
        <v>1980</v>
      </c>
    </row>
    <row r="3272" spans="1:15" x14ac:dyDescent="0.25">
      <c r="A3272" t="s">
        <v>4337</v>
      </c>
      <c r="B3272" s="2">
        <v>48928</v>
      </c>
      <c r="C3272" t="s">
        <v>134</v>
      </c>
      <c r="D3272" t="s">
        <v>135</v>
      </c>
      <c r="E3272" t="s">
        <v>26</v>
      </c>
      <c r="F3272" t="s">
        <v>27</v>
      </c>
      <c r="G3272" t="s">
        <v>57</v>
      </c>
      <c r="H3272" t="s">
        <v>58</v>
      </c>
      <c r="I3272" t="s">
        <v>129</v>
      </c>
      <c r="J3272">
        <v>1</v>
      </c>
      <c r="K3272">
        <v>4800</v>
      </c>
      <c r="L3272">
        <v>0.25</v>
      </c>
      <c r="M3272">
        <v>3600</v>
      </c>
      <c r="N3272">
        <v>3300</v>
      </c>
      <c r="O3272">
        <v>300</v>
      </c>
    </row>
    <row r="3273" spans="1:15" x14ac:dyDescent="0.25">
      <c r="A3273" t="s">
        <v>4338</v>
      </c>
      <c r="B3273" s="2">
        <v>48929</v>
      </c>
      <c r="C3273" t="s">
        <v>2241</v>
      </c>
      <c r="D3273" t="s">
        <v>2242</v>
      </c>
      <c r="E3273" t="s">
        <v>26</v>
      </c>
      <c r="F3273" t="s">
        <v>204</v>
      </c>
      <c r="G3273" t="s">
        <v>51</v>
      </c>
      <c r="H3273" t="s">
        <v>89</v>
      </c>
      <c r="I3273" t="s">
        <v>90</v>
      </c>
      <c r="J3273">
        <v>2</v>
      </c>
      <c r="K3273">
        <v>10500</v>
      </c>
      <c r="L3273">
        <v>0.1</v>
      </c>
      <c r="M3273">
        <v>18900</v>
      </c>
      <c r="N3273">
        <v>15200</v>
      </c>
      <c r="O3273">
        <v>3700</v>
      </c>
    </row>
    <row r="3274" spans="1:15" x14ac:dyDescent="0.25">
      <c r="A3274" t="s">
        <v>4339</v>
      </c>
      <c r="B3274" s="2">
        <v>48930</v>
      </c>
      <c r="C3274" t="s">
        <v>678</v>
      </c>
      <c r="D3274" t="s">
        <v>679</v>
      </c>
      <c r="E3274" t="s">
        <v>26</v>
      </c>
      <c r="F3274" t="s">
        <v>128</v>
      </c>
      <c r="G3274" t="s">
        <v>28</v>
      </c>
      <c r="H3274" t="s">
        <v>29</v>
      </c>
      <c r="I3274" t="s">
        <v>47</v>
      </c>
      <c r="J3274">
        <v>4</v>
      </c>
      <c r="K3274">
        <v>6800</v>
      </c>
      <c r="L3274">
        <v>0.05</v>
      </c>
      <c r="M3274">
        <v>25840</v>
      </c>
      <c r="N3274">
        <v>18800</v>
      </c>
      <c r="O3274">
        <v>7040</v>
      </c>
    </row>
    <row r="3275" spans="1:15" x14ac:dyDescent="0.25">
      <c r="A3275" t="s">
        <v>4340</v>
      </c>
      <c r="B3275" s="2">
        <v>48931</v>
      </c>
      <c r="C3275" t="s">
        <v>1246</v>
      </c>
      <c r="D3275" t="s">
        <v>1247</v>
      </c>
      <c r="E3275" t="s">
        <v>96</v>
      </c>
      <c r="F3275" t="s">
        <v>120</v>
      </c>
      <c r="G3275" t="s">
        <v>20</v>
      </c>
      <c r="H3275" t="s">
        <v>84</v>
      </c>
      <c r="I3275" t="s">
        <v>169</v>
      </c>
      <c r="J3275">
        <v>3</v>
      </c>
      <c r="K3275">
        <v>450</v>
      </c>
      <c r="L3275">
        <v>0.2</v>
      </c>
      <c r="M3275">
        <v>1080</v>
      </c>
      <c r="N3275">
        <v>780</v>
      </c>
      <c r="O3275">
        <v>300</v>
      </c>
    </row>
    <row r="3276" spans="1:15" x14ac:dyDescent="0.25">
      <c r="A3276" t="s">
        <v>4341</v>
      </c>
      <c r="B3276" s="2">
        <v>48932</v>
      </c>
      <c r="C3276" t="s">
        <v>603</v>
      </c>
      <c r="D3276" t="s">
        <v>604</v>
      </c>
      <c r="E3276" t="s">
        <v>26</v>
      </c>
      <c r="F3276" t="s">
        <v>34</v>
      </c>
      <c r="G3276" t="s">
        <v>20</v>
      </c>
      <c r="H3276" t="s">
        <v>41</v>
      </c>
      <c r="I3276" t="s">
        <v>42</v>
      </c>
      <c r="J3276">
        <v>5</v>
      </c>
      <c r="K3276">
        <v>520</v>
      </c>
      <c r="L3276">
        <v>0.1</v>
      </c>
      <c r="M3276">
        <v>2340</v>
      </c>
      <c r="N3276">
        <v>1650</v>
      </c>
      <c r="O3276">
        <v>690</v>
      </c>
    </row>
    <row r="3277" spans="1:15" x14ac:dyDescent="0.25">
      <c r="A3277" t="s">
        <v>4342</v>
      </c>
      <c r="B3277" s="2">
        <v>48933</v>
      </c>
      <c r="C3277" t="s">
        <v>1095</v>
      </c>
      <c r="D3277" t="s">
        <v>1096</v>
      </c>
      <c r="E3277" t="s">
        <v>39</v>
      </c>
      <c r="F3277" t="s">
        <v>40</v>
      </c>
      <c r="G3277" t="s">
        <v>20</v>
      </c>
      <c r="H3277" t="s">
        <v>21</v>
      </c>
      <c r="I3277" t="s">
        <v>22</v>
      </c>
      <c r="J3277">
        <v>3</v>
      </c>
      <c r="K3277">
        <v>650</v>
      </c>
      <c r="L3277">
        <v>0.15</v>
      </c>
      <c r="M3277">
        <v>1657.5</v>
      </c>
      <c r="N3277">
        <v>1170</v>
      </c>
      <c r="O3277">
        <v>487.5</v>
      </c>
    </row>
    <row r="3278" spans="1:15" x14ac:dyDescent="0.25">
      <c r="A3278" t="s">
        <v>4343</v>
      </c>
      <c r="B3278" s="2">
        <v>48934</v>
      </c>
      <c r="C3278" t="s">
        <v>1471</v>
      </c>
      <c r="D3278" t="s">
        <v>1472</v>
      </c>
      <c r="E3278" t="s">
        <v>96</v>
      </c>
      <c r="F3278" t="s">
        <v>196</v>
      </c>
      <c r="G3278" t="s">
        <v>20</v>
      </c>
      <c r="H3278" t="s">
        <v>21</v>
      </c>
      <c r="I3278" t="s">
        <v>22</v>
      </c>
      <c r="J3278">
        <v>5</v>
      </c>
      <c r="K3278">
        <v>650</v>
      </c>
      <c r="L3278">
        <v>0.1</v>
      </c>
      <c r="M3278">
        <v>2925</v>
      </c>
      <c r="N3278">
        <v>1950</v>
      </c>
      <c r="O3278">
        <v>975</v>
      </c>
    </row>
    <row r="3279" spans="1:15" x14ac:dyDescent="0.25">
      <c r="A3279" t="s">
        <v>4344</v>
      </c>
      <c r="B3279" s="2">
        <v>48935</v>
      </c>
      <c r="C3279" t="s">
        <v>301</v>
      </c>
      <c r="D3279" t="s">
        <v>302</v>
      </c>
      <c r="E3279" t="s">
        <v>39</v>
      </c>
      <c r="F3279" t="s">
        <v>71</v>
      </c>
      <c r="G3279" t="s">
        <v>20</v>
      </c>
      <c r="H3279" t="s">
        <v>84</v>
      </c>
      <c r="I3279" t="s">
        <v>85</v>
      </c>
      <c r="J3279">
        <v>5</v>
      </c>
      <c r="K3279">
        <v>280</v>
      </c>
      <c r="L3279">
        <v>0</v>
      </c>
      <c r="M3279">
        <v>1400</v>
      </c>
      <c r="N3279">
        <v>800</v>
      </c>
      <c r="O3279">
        <v>600</v>
      </c>
    </row>
    <row r="3280" spans="1:15" x14ac:dyDescent="0.25">
      <c r="A3280" t="s">
        <v>4345</v>
      </c>
      <c r="B3280" s="2">
        <v>48936</v>
      </c>
      <c r="C3280" t="s">
        <v>1739</v>
      </c>
      <c r="D3280" t="s">
        <v>1740</v>
      </c>
      <c r="E3280" t="s">
        <v>96</v>
      </c>
      <c r="F3280" t="s">
        <v>97</v>
      </c>
      <c r="G3280" t="s">
        <v>51</v>
      </c>
      <c r="H3280" t="s">
        <v>52</v>
      </c>
      <c r="I3280" t="s">
        <v>53</v>
      </c>
      <c r="J3280">
        <v>4</v>
      </c>
      <c r="K3280">
        <v>2200</v>
      </c>
      <c r="L3280">
        <v>0.15</v>
      </c>
      <c r="M3280">
        <v>7480</v>
      </c>
      <c r="N3280">
        <v>5800</v>
      </c>
      <c r="O3280">
        <v>1680</v>
      </c>
    </row>
    <row r="3281" spans="1:15" x14ac:dyDescent="0.25">
      <c r="A3281" t="s">
        <v>4346</v>
      </c>
      <c r="B3281" s="2">
        <v>48937</v>
      </c>
      <c r="C3281" t="s">
        <v>541</v>
      </c>
      <c r="D3281" t="s">
        <v>542</v>
      </c>
      <c r="E3281" t="s">
        <v>26</v>
      </c>
      <c r="F3281" t="s">
        <v>34</v>
      </c>
      <c r="G3281" t="s">
        <v>20</v>
      </c>
      <c r="H3281" t="s">
        <v>84</v>
      </c>
      <c r="I3281" t="s">
        <v>210</v>
      </c>
      <c r="J3281">
        <v>3</v>
      </c>
      <c r="K3281">
        <v>300</v>
      </c>
      <c r="L3281">
        <v>0.15</v>
      </c>
      <c r="M3281">
        <v>765</v>
      </c>
      <c r="N3281">
        <v>510</v>
      </c>
      <c r="O3281">
        <v>255</v>
      </c>
    </row>
    <row r="3282" spans="1:15" x14ac:dyDescent="0.25">
      <c r="A3282" t="s">
        <v>4347</v>
      </c>
      <c r="B3282" s="2">
        <v>48938</v>
      </c>
      <c r="C3282" t="s">
        <v>1514</v>
      </c>
      <c r="D3282" t="s">
        <v>1515</v>
      </c>
      <c r="E3282" t="s">
        <v>39</v>
      </c>
      <c r="F3282" t="s">
        <v>71</v>
      </c>
      <c r="G3282" t="s">
        <v>57</v>
      </c>
      <c r="H3282" t="s">
        <v>58</v>
      </c>
      <c r="I3282" t="s">
        <v>59</v>
      </c>
      <c r="J3282">
        <v>5</v>
      </c>
      <c r="K3282">
        <v>5600</v>
      </c>
      <c r="L3282">
        <v>0.1</v>
      </c>
      <c r="M3282">
        <v>25200</v>
      </c>
      <c r="N3282">
        <v>19500</v>
      </c>
      <c r="O3282">
        <v>5700</v>
      </c>
    </row>
    <row r="3283" spans="1:15" x14ac:dyDescent="0.25">
      <c r="A3283" t="s">
        <v>4348</v>
      </c>
      <c r="B3283" s="2">
        <v>48939</v>
      </c>
      <c r="C3283" t="s">
        <v>1720</v>
      </c>
      <c r="D3283" t="s">
        <v>1721</v>
      </c>
      <c r="E3283" t="s">
        <v>26</v>
      </c>
      <c r="F3283" t="s">
        <v>46</v>
      </c>
      <c r="G3283" t="s">
        <v>20</v>
      </c>
      <c r="H3283" t="s">
        <v>84</v>
      </c>
      <c r="I3283" t="s">
        <v>210</v>
      </c>
      <c r="J3283">
        <v>2</v>
      </c>
      <c r="K3283">
        <v>300</v>
      </c>
      <c r="L3283">
        <v>0.1</v>
      </c>
      <c r="M3283">
        <v>540</v>
      </c>
      <c r="N3283">
        <v>340</v>
      </c>
      <c r="O3283">
        <v>200</v>
      </c>
    </row>
    <row r="3284" spans="1:15" x14ac:dyDescent="0.25">
      <c r="A3284" t="s">
        <v>4349</v>
      </c>
      <c r="B3284" s="2">
        <v>48940</v>
      </c>
      <c r="C3284" t="s">
        <v>2292</v>
      </c>
      <c r="D3284" t="s">
        <v>2293</v>
      </c>
      <c r="E3284" t="s">
        <v>96</v>
      </c>
      <c r="F3284" t="s">
        <v>97</v>
      </c>
      <c r="G3284" t="s">
        <v>51</v>
      </c>
      <c r="H3284" t="s">
        <v>89</v>
      </c>
      <c r="I3284" t="s">
        <v>90</v>
      </c>
      <c r="J3284">
        <v>2</v>
      </c>
      <c r="K3284">
        <v>10500</v>
      </c>
      <c r="L3284">
        <v>0.25</v>
      </c>
      <c r="M3284">
        <v>15750</v>
      </c>
      <c r="N3284">
        <v>15200</v>
      </c>
      <c r="O3284">
        <v>550</v>
      </c>
    </row>
    <row r="3285" spans="1:15" x14ac:dyDescent="0.25">
      <c r="A3285" t="s">
        <v>4350</v>
      </c>
      <c r="B3285" s="2">
        <v>48941</v>
      </c>
      <c r="C3285" t="s">
        <v>393</v>
      </c>
      <c r="D3285" t="s">
        <v>394</v>
      </c>
      <c r="E3285" t="s">
        <v>18</v>
      </c>
      <c r="F3285" t="s">
        <v>94</v>
      </c>
      <c r="G3285" t="s">
        <v>20</v>
      </c>
      <c r="H3285" t="s">
        <v>21</v>
      </c>
      <c r="I3285" t="s">
        <v>22</v>
      </c>
      <c r="J3285">
        <v>5</v>
      </c>
      <c r="K3285">
        <v>650</v>
      </c>
      <c r="L3285">
        <v>0</v>
      </c>
      <c r="M3285">
        <v>3250</v>
      </c>
      <c r="N3285">
        <v>1950</v>
      </c>
      <c r="O3285">
        <v>1300</v>
      </c>
    </row>
    <row r="3286" spans="1:15" x14ac:dyDescent="0.25">
      <c r="A3286" t="s">
        <v>4351</v>
      </c>
      <c r="B3286" s="2">
        <v>48942</v>
      </c>
      <c r="C3286" t="s">
        <v>450</v>
      </c>
      <c r="D3286" t="s">
        <v>451</v>
      </c>
      <c r="E3286" t="s">
        <v>39</v>
      </c>
      <c r="F3286" t="s">
        <v>124</v>
      </c>
      <c r="G3286" t="s">
        <v>28</v>
      </c>
      <c r="H3286" t="s">
        <v>63</v>
      </c>
      <c r="I3286" t="s">
        <v>64</v>
      </c>
      <c r="J3286">
        <v>2</v>
      </c>
      <c r="K3286">
        <v>2400</v>
      </c>
      <c r="L3286">
        <v>0.05</v>
      </c>
      <c r="M3286">
        <v>4560</v>
      </c>
      <c r="N3286">
        <v>3300</v>
      </c>
      <c r="O3286">
        <v>1260</v>
      </c>
    </row>
    <row r="3287" spans="1:15" x14ac:dyDescent="0.25">
      <c r="A3287" t="s">
        <v>4352</v>
      </c>
      <c r="B3287" s="2">
        <v>48943</v>
      </c>
      <c r="C3287" t="s">
        <v>778</v>
      </c>
      <c r="D3287" t="s">
        <v>779</v>
      </c>
      <c r="E3287" t="s">
        <v>26</v>
      </c>
      <c r="F3287" t="s">
        <v>128</v>
      </c>
      <c r="G3287" t="s">
        <v>20</v>
      </c>
      <c r="H3287" t="s">
        <v>84</v>
      </c>
      <c r="I3287" t="s">
        <v>210</v>
      </c>
      <c r="J3287">
        <v>5</v>
      </c>
      <c r="K3287">
        <v>300</v>
      </c>
      <c r="L3287">
        <v>0.1</v>
      </c>
      <c r="M3287">
        <v>1350</v>
      </c>
      <c r="N3287">
        <v>850</v>
      </c>
      <c r="O3287">
        <v>500</v>
      </c>
    </row>
    <row r="3288" spans="1:15" x14ac:dyDescent="0.25">
      <c r="A3288" t="s">
        <v>4353</v>
      </c>
      <c r="B3288" s="2">
        <v>48944</v>
      </c>
      <c r="C3288" t="s">
        <v>691</v>
      </c>
      <c r="D3288" t="s">
        <v>692</v>
      </c>
      <c r="E3288" t="s">
        <v>26</v>
      </c>
      <c r="F3288" t="s">
        <v>46</v>
      </c>
      <c r="G3288" t="s">
        <v>20</v>
      </c>
      <c r="H3288" t="s">
        <v>84</v>
      </c>
      <c r="I3288" t="s">
        <v>169</v>
      </c>
      <c r="J3288">
        <v>3</v>
      </c>
      <c r="K3288">
        <v>450</v>
      </c>
      <c r="L3288">
        <v>0.25</v>
      </c>
      <c r="M3288">
        <v>1012.5</v>
      </c>
      <c r="N3288">
        <v>780</v>
      </c>
      <c r="O3288">
        <v>232.5</v>
      </c>
    </row>
    <row r="3289" spans="1:15" x14ac:dyDescent="0.25">
      <c r="A3289" t="s">
        <v>4354</v>
      </c>
      <c r="B3289" s="2">
        <v>48945</v>
      </c>
      <c r="C3289" t="s">
        <v>2102</v>
      </c>
      <c r="D3289" t="s">
        <v>2103</v>
      </c>
      <c r="E3289" t="s">
        <v>96</v>
      </c>
      <c r="F3289" t="s">
        <v>196</v>
      </c>
      <c r="G3289" t="s">
        <v>51</v>
      </c>
      <c r="H3289" t="s">
        <v>52</v>
      </c>
      <c r="I3289" t="s">
        <v>53</v>
      </c>
      <c r="J3289">
        <v>3</v>
      </c>
      <c r="K3289">
        <v>2200</v>
      </c>
      <c r="L3289">
        <v>0</v>
      </c>
      <c r="M3289">
        <v>6600</v>
      </c>
      <c r="N3289">
        <v>4350</v>
      </c>
      <c r="O3289">
        <v>2250</v>
      </c>
    </row>
    <row r="3290" spans="1:15" x14ac:dyDescent="0.25">
      <c r="A3290" t="s">
        <v>4355</v>
      </c>
      <c r="B3290" s="2">
        <v>48946</v>
      </c>
      <c r="C3290" t="s">
        <v>444</v>
      </c>
      <c r="D3290" t="s">
        <v>445</v>
      </c>
      <c r="E3290" t="s">
        <v>39</v>
      </c>
      <c r="F3290" t="s">
        <v>71</v>
      </c>
      <c r="G3290" t="s">
        <v>51</v>
      </c>
      <c r="H3290" t="s">
        <v>21</v>
      </c>
      <c r="I3290" t="s">
        <v>72</v>
      </c>
      <c r="J3290">
        <v>3</v>
      </c>
      <c r="K3290">
        <v>1800</v>
      </c>
      <c r="L3290">
        <v>0</v>
      </c>
      <c r="M3290">
        <v>5400</v>
      </c>
      <c r="N3290">
        <v>3300</v>
      </c>
      <c r="O3290">
        <v>2100</v>
      </c>
    </row>
    <row r="3291" spans="1:15" x14ac:dyDescent="0.25">
      <c r="A3291" t="s">
        <v>4356</v>
      </c>
      <c r="B3291" s="2">
        <v>48947</v>
      </c>
      <c r="C3291" t="s">
        <v>340</v>
      </c>
      <c r="D3291" t="s">
        <v>341</v>
      </c>
      <c r="E3291" t="s">
        <v>96</v>
      </c>
      <c r="F3291" t="s">
        <v>120</v>
      </c>
      <c r="G3291" t="s">
        <v>51</v>
      </c>
      <c r="H3291" t="s">
        <v>21</v>
      </c>
      <c r="I3291" t="s">
        <v>80</v>
      </c>
      <c r="J3291">
        <v>1</v>
      </c>
      <c r="K3291">
        <v>850</v>
      </c>
      <c r="L3291">
        <v>0.05</v>
      </c>
      <c r="M3291">
        <v>807.5</v>
      </c>
      <c r="N3291">
        <v>560</v>
      </c>
      <c r="O3291">
        <v>247.5</v>
      </c>
    </row>
    <row r="3292" spans="1:15" x14ac:dyDescent="0.25">
      <c r="A3292" t="s">
        <v>4357</v>
      </c>
      <c r="B3292" s="2">
        <v>48948</v>
      </c>
      <c r="C3292" t="s">
        <v>2285</v>
      </c>
      <c r="D3292" t="s">
        <v>2286</v>
      </c>
      <c r="E3292" t="s">
        <v>26</v>
      </c>
      <c r="F3292" t="s">
        <v>128</v>
      </c>
      <c r="G3292" t="s">
        <v>57</v>
      </c>
      <c r="H3292" t="s">
        <v>188</v>
      </c>
      <c r="I3292" t="s">
        <v>189</v>
      </c>
      <c r="J3292">
        <v>2</v>
      </c>
      <c r="K3292">
        <v>6200</v>
      </c>
      <c r="L3292">
        <v>0.1</v>
      </c>
      <c r="M3292">
        <v>11160</v>
      </c>
      <c r="N3292">
        <v>8600</v>
      </c>
      <c r="O3292">
        <v>2560</v>
      </c>
    </row>
    <row r="3293" spans="1:15" x14ac:dyDescent="0.25">
      <c r="A3293" t="s">
        <v>4358</v>
      </c>
      <c r="B3293" s="2">
        <v>48949</v>
      </c>
      <c r="C3293" t="s">
        <v>1287</v>
      </c>
      <c r="D3293" t="s">
        <v>1288</v>
      </c>
      <c r="E3293" t="s">
        <v>39</v>
      </c>
      <c r="F3293" t="s">
        <v>76</v>
      </c>
      <c r="G3293" t="s">
        <v>57</v>
      </c>
      <c r="H3293" t="s">
        <v>104</v>
      </c>
      <c r="I3293" t="s">
        <v>105</v>
      </c>
      <c r="J3293">
        <v>5</v>
      </c>
      <c r="K3293">
        <v>7500</v>
      </c>
      <c r="L3293">
        <v>0</v>
      </c>
      <c r="M3293">
        <v>37500</v>
      </c>
      <c r="N3293">
        <v>26000</v>
      </c>
      <c r="O3293">
        <v>11500</v>
      </c>
    </row>
    <row r="3294" spans="1:15" x14ac:dyDescent="0.25">
      <c r="A3294" t="s">
        <v>4359</v>
      </c>
      <c r="B3294" s="2">
        <v>48950</v>
      </c>
      <c r="C3294" t="s">
        <v>2687</v>
      </c>
      <c r="D3294" t="s">
        <v>2688</v>
      </c>
      <c r="E3294" t="s">
        <v>96</v>
      </c>
      <c r="F3294" t="s">
        <v>196</v>
      </c>
      <c r="G3294" t="s">
        <v>51</v>
      </c>
      <c r="H3294" t="s">
        <v>52</v>
      </c>
      <c r="I3294" t="s">
        <v>53</v>
      </c>
      <c r="J3294">
        <v>2</v>
      </c>
      <c r="K3294">
        <v>2200</v>
      </c>
      <c r="L3294">
        <v>0.25</v>
      </c>
      <c r="M3294">
        <v>3300</v>
      </c>
      <c r="N3294">
        <v>2900</v>
      </c>
      <c r="O3294">
        <v>400</v>
      </c>
    </row>
    <row r="3295" spans="1:15" x14ac:dyDescent="0.25">
      <c r="A3295" t="s">
        <v>4360</v>
      </c>
      <c r="B3295" s="2">
        <v>48951</v>
      </c>
      <c r="C3295" t="s">
        <v>1502</v>
      </c>
      <c r="D3295" t="s">
        <v>1503</v>
      </c>
      <c r="E3295" t="s">
        <v>26</v>
      </c>
      <c r="F3295" t="s">
        <v>204</v>
      </c>
      <c r="G3295" t="s">
        <v>20</v>
      </c>
      <c r="H3295" t="s">
        <v>21</v>
      </c>
      <c r="I3295" t="s">
        <v>22</v>
      </c>
      <c r="J3295">
        <v>5</v>
      </c>
      <c r="K3295">
        <v>650</v>
      </c>
      <c r="L3295">
        <v>0</v>
      </c>
      <c r="M3295">
        <v>3250</v>
      </c>
      <c r="N3295">
        <v>1950</v>
      </c>
      <c r="O3295">
        <v>1300</v>
      </c>
    </row>
    <row r="3296" spans="1:15" x14ac:dyDescent="0.25">
      <c r="A3296" t="s">
        <v>4361</v>
      </c>
      <c r="B3296" s="2">
        <v>48952</v>
      </c>
      <c r="C3296" t="s">
        <v>1809</v>
      </c>
      <c r="D3296" t="s">
        <v>1810</v>
      </c>
      <c r="E3296" t="s">
        <v>18</v>
      </c>
      <c r="F3296" t="s">
        <v>94</v>
      </c>
      <c r="G3296" t="s">
        <v>28</v>
      </c>
      <c r="H3296" t="s">
        <v>29</v>
      </c>
      <c r="I3296" t="s">
        <v>35</v>
      </c>
      <c r="J3296">
        <v>4</v>
      </c>
      <c r="K3296">
        <v>4200</v>
      </c>
      <c r="L3296">
        <v>0.1</v>
      </c>
      <c r="M3296">
        <v>15120</v>
      </c>
      <c r="N3296">
        <v>11600</v>
      </c>
      <c r="O3296">
        <v>3520</v>
      </c>
    </row>
    <row r="3297" spans="1:15" x14ac:dyDescent="0.25">
      <c r="A3297" t="s">
        <v>4362</v>
      </c>
      <c r="B3297" s="2">
        <v>48953</v>
      </c>
      <c r="C3297" t="s">
        <v>24</v>
      </c>
      <c r="D3297" t="s">
        <v>25</v>
      </c>
      <c r="E3297" t="s">
        <v>26</v>
      </c>
      <c r="F3297" t="s">
        <v>34</v>
      </c>
      <c r="G3297" t="s">
        <v>28</v>
      </c>
      <c r="H3297" t="s">
        <v>29</v>
      </c>
      <c r="I3297" t="s">
        <v>47</v>
      </c>
      <c r="J3297">
        <v>4</v>
      </c>
      <c r="K3297">
        <v>6800</v>
      </c>
      <c r="L3297">
        <v>0.2</v>
      </c>
      <c r="M3297">
        <v>21760</v>
      </c>
      <c r="N3297">
        <v>18800</v>
      </c>
      <c r="O3297">
        <v>2960</v>
      </c>
    </row>
    <row r="3298" spans="1:15" x14ac:dyDescent="0.25">
      <c r="A3298" t="s">
        <v>4363</v>
      </c>
      <c r="B3298" s="2">
        <v>48954</v>
      </c>
      <c r="C3298" t="s">
        <v>152</v>
      </c>
      <c r="D3298" t="s">
        <v>153</v>
      </c>
      <c r="E3298" t="s">
        <v>26</v>
      </c>
      <c r="F3298" t="s">
        <v>128</v>
      </c>
      <c r="G3298" t="s">
        <v>20</v>
      </c>
      <c r="H3298" t="s">
        <v>41</v>
      </c>
      <c r="I3298" t="s">
        <v>42</v>
      </c>
      <c r="J3298">
        <v>5</v>
      </c>
      <c r="K3298">
        <v>520</v>
      </c>
      <c r="L3298">
        <v>0.2</v>
      </c>
      <c r="M3298">
        <v>2080</v>
      </c>
      <c r="N3298">
        <v>1650</v>
      </c>
      <c r="O3298">
        <v>430</v>
      </c>
    </row>
    <row r="3299" spans="1:15" x14ac:dyDescent="0.25">
      <c r="A3299" t="s">
        <v>4364</v>
      </c>
      <c r="B3299" s="2">
        <v>48955</v>
      </c>
      <c r="C3299" t="s">
        <v>1152</v>
      </c>
      <c r="D3299" t="s">
        <v>1153</v>
      </c>
      <c r="E3299" t="s">
        <v>18</v>
      </c>
      <c r="F3299" t="s">
        <v>94</v>
      </c>
      <c r="G3299" t="s">
        <v>20</v>
      </c>
      <c r="H3299" t="s">
        <v>21</v>
      </c>
      <c r="I3299" t="s">
        <v>22</v>
      </c>
      <c r="J3299">
        <v>1</v>
      </c>
      <c r="K3299">
        <v>650</v>
      </c>
      <c r="L3299">
        <v>0.15</v>
      </c>
      <c r="M3299">
        <v>552.5</v>
      </c>
      <c r="N3299">
        <v>390</v>
      </c>
      <c r="O3299">
        <v>162.5</v>
      </c>
    </row>
    <row r="3300" spans="1:15" x14ac:dyDescent="0.25">
      <c r="A3300" t="s">
        <v>4365</v>
      </c>
      <c r="B3300" s="2">
        <v>48956</v>
      </c>
      <c r="C3300" t="s">
        <v>2131</v>
      </c>
      <c r="D3300" t="s">
        <v>2132</v>
      </c>
      <c r="E3300" t="s">
        <v>26</v>
      </c>
      <c r="F3300" t="s">
        <v>46</v>
      </c>
      <c r="G3300" t="s">
        <v>20</v>
      </c>
      <c r="H3300" t="s">
        <v>41</v>
      </c>
      <c r="I3300" t="s">
        <v>42</v>
      </c>
      <c r="J3300">
        <v>1</v>
      </c>
      <c r="K3300">
        <v>520</v>
      </c>
      <c r="L3300">
        <v>0.15</v>
      </c>
      <c r="M3300">
        <v>442</v>
      </c>
      <c r="N3300">
        <v>330</v>
      </c>
      <c r="O3300">
        <v>112</v>
      </c>
    </row>
    <row r="3301" spans="1:15" x14ac:dyDescent="0.25">
      <c r="A3301" t="s">
        <v>4366</v>
      </c>
      <c r="B3301" s="2">
        <v>48957</v>
      </c>
      <c r="C3301" t="s">
        <v>408</v>
      </c>
      <c r="D3301" t="s">
        <v>409</v>
      </c>
      <c r="E3301" t="s">
        <v>96</v>
      </c>
      <c r="F3301" t="s">
        <v>120</v>
      </c>
      <c r="G3301" t="s">
        <v>20</v>
      </c>
      <c r="H3301" t="s">
        <v>21</v>
      </c>
      <c r="I3301" t="s">
        <v>22</v>
      </c>
      <c r="J3301">
        <v>2</v>
      </c>
      <c r="K3301">
        <v>650</v>
      </c>
      <c r="L3301">
        <v>0.25</v>
      </c>
      <c r="M3301">
        <v>975</v>
      </c>
      <c r="N3301">
        <v>780</v>
      </c>
      <c r="O3301">
        <v>195</v>
      </c>
    </row>
    <row r="3302" spans="1:15" x14ac:dyDescent="0.25">
      <c r="A3302" t="s">
        <v>4367</v>
      </c>
      <c r="B3302" s="2">
        <v>48958</v>
      </c>
      <c r="C3302" t="s">
        <v>1138</v>
      </c>
      <c r="D3302" t="s">
        <v>1139</v>
      </c>
      <c r="E3302" t="s">
        <v>26</v>
      </c>
      <c r="F3302" t="s">
        <v>46</v>
      </c>
      <c r="G3302" t="s">
        <v>20</v>
      </c>
      <c r="H3302" t="s">
        <v>41</v>
      </c>
      <c r="I3302" t="s">
        <v>42</v>
      </c>
      <c r="J3302">
        <v>4</v>
      </c>
      <c r="K3302">
        <v>520</v>
      </c>
      <c r="L3302">
        <v>0.05</v>
      </c>
      <c r="M3302">
        <v>1976</v>
      </c>
      <c r="N3302">
        <v>1320</v>
      </c>
      <c r="O3302">
        <v>656</v>
      </c>
    </row>
    <row r="3303" spans="1:15" x14ac:dyDescent="0.25">
      <c r="A3303" t="s">
        <v>4368</v>
      </c>
      <c r="B3303" s="2">
        <v>48959</v>
      </c>
      <c r="C3303" t="s">
        <v>1231</v>
      </c>
      <c r="D3303" t="s">
        <v>1232</v>
      </c>
      <c r="E3303" t="s">
        <v>26</v>
      </c>
      <c r="F3303" t="s">
        <v>128</v>
      </c>
      <c r="G3303" t="s">
        <v>28</v>
      </c>
      <c r="H3303" t="s">
        <v>63</v>
      </c>
      <c r="I3303" t="s">
        <v>64</v>
      </c>
      <c r="J3303">
        <v>4</v>
      </c>
      <c r="K3303">
        <v>2400</v>
      </c>
      <c r="L3303">
        <v>0.05</v>
      </c>
      <c r="M3303">
        <v>9120</v>
      </c>
      <c r="N3303">
        <v>6600</v>
      </c>
      <c r="O3303">
        <v>2520</v>
      </c>
    </row>
    <row r="3304" spans="1:15" x14ac:dyDescent="0.25">
      <c r="A3304" t="s">
        <v>4369</v>
      </c>
      <c r="B3304" s="2">
        <v>48960</v>
      </c>
      <c r="C3304" t="s">
        <v>688</v>
      </c>
      <c r="D3304" t="s">
        <v>689</v>
      </c>
      <c r="E3304" t="s">
        <v>39</v>
      </c>
      <c r="F3304" t="s">
        <v>71</v>
      </c>
      <c r="G3304" t="s">
        <v>20</v>
      </c>
      <c r="H3304" t="s">
        <v>84</v>
      </c>
      <c r="I3304" t="s">
        <v>85</v>
      </c>
      <c r="J3304">
        <v>3</v>
      </c>
      <c r="K3304">
        <v>280</v>
      </c>
      <c r="L3304">
        <v>0.1</v>
      </c>
      <c r="M3304">
        <v>756</v>
      </c>
      <c r="N3304">
        <v>480</v>
      </c>
      <c r="O3304">
        <v>276</v>
      </c>
    </row>
    <row r="3305" spans="1:15" x14ac:dyDescent="0.25">
      <c r="A3305" t="s">
        <v>4370</v>
      </c>
      <c r="B3305" s="2">
        <v>48961</v>
      </c>
      <c r="C3305" t="s">
        <v>259</v>
      </c>
      <c r="D3305" t="s">
        <v>260</v>
      </c>
      <c r="E3305" t="s">
        <v>26</v>
      </c>
      <c r="F3305" t="s">
        <v>46</v>
      </c>
      <c r="G3305" t="s">
        <v>20</v>
      </c>
      <c r="H3305" t="s">
        <v>21</v>
      </c>
      <c r="I3305" t="s">
        <v>22</v>
      </c>
      <c r="J3305">
        <v>5</v>
      </c>
      <c r="K3305">
        <v>650</v>
      </c>
      <c r="L3305">
        <v>0.1</v>
      </c>
      <c r="M3305">
        <v>2925</v>
      </c>
      <c r="N3305">
        <v>1950</v>
      </c>
      <c r="O3305">
        <v>975</v>
      </c>
    </row>
    <row r="3306" spans="1:15" x14ac:dyDescent="0.25">
      <c r="A3306" t="s">
        <v>4371</v>
      </c>
      <c r="B3306" s="2">
        <v>48962</v>
      </c>
      <c r="C3306" t="s">
        <v>1836</v>
      </c>
      <c r="D3306" t="s">
        <v>1837</v>
      </c>
      <c r="E3306" t="s">
        <v>26</v>
      </c>
      <c r="F3306" t="s">
        <v>204</v>
      </c>
      <c r="G3306" t="s">
        <v>20</v>
      </c>
      <c r="H3306" t="s">
        <v>41</v>
      </c>
      <c r="I3306" t="s">
        <v>42</v>
      </c>
      <c r="J3306">
        <v>4</v>
      </c>
      <c r="K3306">
        <v>520</v>
      </c>
      <c r="L3306">
        <v>0.1</v>
      </c>
      <c r="M3306">
        <v>1872</v>
      </c>
      <c r="N3306">
        <v>1320</v>
      </c>
      <c r="O3306">
        <v>552</v>
      </c>
    </row>
    <row r="3307" spans="1:15" x14ac:dyDescent="0.25">
      <c r="A3307" t="s">
        <v>4372</v>
      </c>
      <c r="B3307" s="2">
        <v>48963</v>
      </c>
      <c r="C3307" t="s">
        <v>831</v>
      </c>
      <c r="D3307" t="s">
        <v>832</v>
      </c>
      <c r="E3307" t="s">
        <v>26</v>
      </c>
      <c r="F3307" t="s">
        <v>27</v>
      </c>
      <c r="G3307" t="s">
        <v>57</v>
      </c>
      <c r="H3307" t="s">
        <v>104</v>
      </c>
      <c r="I3307" t="s">
        <v>105</v>
      </c>
      <c r="J3307">
        <v>5</v>
      </c>
      <c r="K3307">
        <v>7500</v>
      </c>
      <c r="L3307">
        <v>0.05</v>
      </c>
      <c r="M3307">
        <v>35625</v>
      </c>
      <c r="N3307">
        <v>26000</v>
      </c>
      <c r="O3307">
        <v>9625</v>
      </c>
    </row>
    <row r="3308" spans="1:15" x14ac:dyDescent="0.25">
      <c r="A3308" t="s">
        <v>4373</v>
      </c>
      <c r="B3308" s="2">
        <v>48964</v>
      </c>
      <c r="C3308" t="s">
        <v>2574</v>
      </c>
      <c r="D3308" t="s">
        <v>2575</v>
      </c>
      <c r="E3308" t="s">
        <v>26</v>
      </c>
      <c r="F3308" t="s">
        <v>128</v>
      </c>
      <c r="G3308" t="s">
        <v>51</v>
      </c>
      <c r="H3308" t="s">
        <v>89</v>
      </c>
      <c r="I3308" t="s">
        <v>90</v>
      </c>
      <c r="J3308">
        <v>1</v>
      </c>
      <c r="K3308">
        <v>10500</v>
      </c>
      <c r="L3308">
        <v>0</v>
      </c>
      <c r="M3308">
        <v>10500</v>
      </c>
      <c r="N3308">
        <v>7600</v>
      </c>
      <c r="O3308">
        <v>2900</v>
      </c>
    </row>
    <row r="3309" spans="1:15" x14ac:dyDescent="0.25">
      <c r="A3309" t="s">
        <v>4374</v>
      </c>
      <c r="B3309" s="2">
        <v>48965</v>
      </c>
      <c r="C3309" t="s">
        <v>484</v>
      </c>
      <c r="D3309" t="s">
        <v>485</v>
      </c>
      <c r="E3309" t="s">
        <v>26</v>
      </c>
      <c r="F3309" t="s">
        <v>34</v>
      </c>
      <c r="G3309" t="s">
        <v>57</v>
      </c>
      <c r="H3309" t="s">
        <v>188</v>
      </c>
      <c r="I3309" t="s">
        <v>189</v>
      </c>
      <c r="J3309">
        <v>5</v>
      </c>
      <c r="K3309">
        <v>6200</v>
      </c>
      <c r="L3309">
        <v>0</v>
      </c>
      <c r="M3309">
        <v>31000</v>
      </c>
      <c r="N3309">
        <v>21500</v>
      </c>
      <c r="O3309">
        <v>9500</v>
      </c>
    </row>
    <row r="3310" spans="1:15" x14ac:dyDescent="0.25">
      <c r="A3310" t="s">
        <v>4375</v>
      </c>
      <c r="B3310" s="2">
        <v>48966</v>
      </c>
      <c r="C3310" t="s">
        <v>562</v>
      </c>
      <c r="D3310" t="s">
        <v>563</v>
      </c>
      <c r="E3310" t="s">
        <v>18</v>
      </c>
      <c r="F3310" t="s">
        <v>94</v>
      </c>
      <c r="G3310" t="s">
        <v>57</v>
      </c>
      <c r="H3310" t="s">
        <v>188</v>
      </c>
      <c r="I3310" t="s">
        <v>189</v>
      </c>
      <c r="J3310">
        <v>2</v>
      </c>
      <c r="K3310">
        <v>6200</v>
      </c>
      <c r="L3310">
        <v>0.05</v>
      </c>
      <c r="M3310">
        <v>11780</v>
      </c>
      <c r="N3310">
        <v>8600</v>
      </c>
      <c r="O3310">
        <v>3180</v>
      </c>
    </row>
    <row r="3311" spans="1:15" x14ac:dyDescent="0.25">
      <c r="A3311" t="s">
        <v>4376</v>
      </c>
      <c r="B3311" s="2">
        <v>48967</v>
      </c>
      <c r="C3311" t="s">
        <v>1075</v>
      </c>
      <c r="D3311" t="s">
        <v>1076</v>
      </c>
      <c r="E3311" t="s">
        <v>18</v>
      </c>
      <c r="F3311" t="s">
        <v>115</v>
      </c>
      <c r="G3311" t="s">
        <v>20</v>
      </c>
      <c r="H3311" t="s">
        <v>84</v>
      </c>
      <c r="I3311" t="s">
        <v>169</v>
      </c>
      <c r="J3311">
        <v>3</v>
      </c>
      <c r="K3311">
        <v>450</v>
      </c>
      <c r="L3311">
        <v>0.1</v>
      </c>
      <c r="M3311">
        <v>1215</v>
      </c>
      <c r="N3311">
        <v>780</v>
      </c>
      <c r="O3311">
        <v>435</v>
      </c>
    </row>
    <row r="3312" spans="1:15" x14ac:dyDescent="0.25">
      <c r="A3312" t="s">
        <v>4377</v>
      </c>
      <c r="B3312" s="2">
        <v>48968</v>
      </c>
      <c r="C3312" t="s">
        <v>1448</v>
      </c>
      <c r="D3312" t="s">
        <v>1449</v>
      </c>
      <c r="E3312" t="s">
        <v>18</v>
      </c>
      <c r="F3312" t="s">
        <v>94</v>
      </c>
      <c r="G3312" t="s">
        <v>28</v>
      </c>
      <c r="H3312" t="s">
        <v>29</v>
      </c>
      <c r="I3312" t="s">
        <v>35</v>
      </c>
      <c r="J3312">
        <v>5</v>
      </c>
      <c r="K3312">
        <v>4200</v>
      </c>
      <c r="L3312">
        <v>0.15</v>
      </c>
      <c r="M3312">
        <v>17850</v>
      </c>
      <c r="N3312">
        <v>14500</v>
      </c>
      <c r="O3312">
        <v>3350</v>
      </c>
    </row>
    <row r="3313" spans="1:15" x14ac:dyDescent="0.25">
      <c r="A3313" t="s">
        <v>4378</v>
      </c>
      <c r="B3313" s="2">
        <v>48969</v>
      </c>
      <c r="C3313" t="s">
        <v>516</v>
      </c>
      <c r="D3313" t="s">
        <v>517</v>
      </c>
      <c r="E3313" t="s">
        <v>96</v>
      </c>
      <c r="F3313" t="s">
        <v>196</v>
      </c>
      <c r="G3313" t="s">
        <v>57</v>
      </c>
      <c r="H3313" t="s">
        <v>104</v>
      </c>
      <c r="I3313" t="s">
        <v>105</v>
      </c>
      <c r="J3313">
        <v>1</v>
      </c>
      <c r="K3313">
        <v>7500</v>
      </c>
      <c r="L3313">
        <v>0.2</v>
      </c>
      <c r="M3313">
        <v>6000</v>
      </c>
      <c r="N3313">
        <v>5200</v>
      </c>
      <c r="O3313">
        <v>800</v>
      </c>
    </row>
    <row r="3314" spans="1:15" x14ac:dyDescent="0.25">
      <c r="A3314" t="s">
        <v>4379</v>
      </c>
      <c r="B3314" s="2">
        <v>48970</v>
      </c>
      <c r="C3314" t="s">
        <v>1130</v>
      </c>
      <c r="D3314" t="s">
        <v>1131</v>
      </c>
      <c r="E3314" t="s">
        <v>26</v>
      </c>
      <c r="F3314" t="s">
        <v>34</v>
      </c>
      <c r="G3314" t="s">
        <v>51</v>
      </c>
      <c r="H3314" t="s">
        <v>21</v>
      </c>
      <c r="I3314" t="s">
        <v>80</v>
      </c>
      <c r="J3314">
        <v>4</v>
      </c>
      <c r="K3314">
        <v>850</v>
      </c>
      <c r="L3314">
        <v>0.2</v>
      </c>
      <c r="M3314">
        <v>2720</v>
      </c>
      <c r="N3314">
        <v>2240</v>
      </c>
      <c r="O3314">
        <v>480</v>
      </c>
    </row>
    <row r="3315" spans="1:15" x14ac:dyDescent="0.25">
      <c r="A3315" t="s">
        <v>4380</v>
      </c>
      <c r="B3315" s="2">
        <v>48971</v>
      </c>
      <c r="C3315" t="s">
        <v>1629</v>
      </c>
      <c r="D3315" t="s">
        <v>1630</v>
      </c>
      <c r="E3315" t="s">
        <v>18</v>
      </c>
      <c r="F3315" t="s">
        <v>115</v>
      </c>
      <c r="G3315" t="s">
        <v>57</v>
      </c>
      <c r="H3315" t="s">
        <v>58</v>
      </c>
      <c r="I3315" t="s">
        <v>59</v>
      </c>
      <c r="J3315">
        <v>4</v>
      </c>
      <c r="K3315">
        <v>5600</v>
      </c>
      <c r="L3315">
        <v>0.1</v>
      </c>
      <c r="M3315">
        <v>20160</v>
      </c>
      <c r="N3315">
        <v>15600</v>
      </c>
      <c r="O3315">
        <v>4560</v>
      </c>
    </row>
    <row r="3316" spans="1:15" x14ac:dyDescent="0.25">
      <c r="A3316" t="s">
        <v>4381</v>
      </c>
      <c r="B3316" s="2">
        <v>48972</v>
      </c>
      <c r="C3316" t="s">
        <v>1786</v>
      </c>
      <c r="D3316" t="s">
        <v>1787</v>
      </c>
      <c r="E3316" t="s">
        <v>26</v>
      </c>
      <c r="F3316" t="s">
        <v>204</v>
      </c>
      <c r="G3316" t="s">
        <v>20</v>
      </c>
      <c r="H3316" t="s">
        <v>84</v>
      </c>
      <c r="I3316" t="s">
        <v>210</v>
      </c>
      <c r="J3316">
        <v>5</v>
      </c>
      <c r="K3316">
        <v>300</v>
      </c>
      <c r="L3316">
        <v>0</v>
      </c>
      <c r="M3316">
        <v>1500</v>
      </c>
      <c r="N3316">
        <v>850</v>
      </c>
      <c r="O3316">
        <v>650</v>
      </c>
    </row>
    <row r="3317" spans="1:15" x14ac:dyDescent="0.25">
      <c r="A3317" t="s">
        <v>4382</v>
      </c>
      <c r="B3317" s="2">
        <v>48973</v>
      </c>
      <c r="C3317" t="s">
        <v>744</v>
      </c>
      <c r="D3317" t="s">
        <v>745</v>
      </c>
      <c r="E3317" t="s">
        <v>96</v>
      </c>
      <c r="F3317" t="s">
        <v>200</v>
      </c>
      <c r="G3317" t="s">
        <v>20</v>
      </c>
      <c r="H3317" t="s">
        <v>21</v>
      </c>
      <c r="I3317" t="s">
        <v>22</v>
      </c>
      <c r="J3317">
        <v>5</v>
      </c>
      <c r="K3317">
        <v>650</v>
      </c>
      <c r="L3317">
        <v>0.15</v>
      </c>
      <c r="M3317">
        <v>2762.5</v>
      </c>
      <c r="N3317">
        <v>1950</v>
      </c>
      <c r="O3317">
        <v>812.5</v>
      </c>
    </row>
    <row r="3318" spans="1:15" x14ac:dyDescent="0.25">
      <c r="A3318" t="s">
        <v>4383</v>
      </c>
      <c r="B3318" s="2">
        <v>48974</v>
      </c>
      <c r="C3318" t="s">
        <v>1858</v>
      </c>
      <c r="D3318" t="s">
        <v>1859</v>
      </c>
      <c r="E3318" t="s">
        <v>26</v>
      </c>
      <c r="F3318" t="s">
        <v>204</v>
      </c>
      <c r="G3318" t="s">
        <v>20</v>
      </c>
      <c r="H3318" t="s">
        <v>84</v>
      </c>
      <c r="I3318" t="s">
        <v>210</v>
      </c>
      <c r="J3318">
        <v>1</v>
      </c>
      <c r="K3318">
        <v>300</v>
      </c>
      <c r="L3318">
        <v>0.2</v>
      </c>
      <c r="M3318">
        <v>240</v>
      </c>
      <c r="N3318">
        <v>170</v>
      </c>
      <c r="O3318">
        <v>70</v>
      </c>
    </row>
    <row r="3319" spans="1:15" x14ac:dyDescent="0.25">
      <c r="A3319" t="s">
        <v>4384</v>
      </c>
      <c r="B3319" s="2">
        <v>48975</v>
      </c>
      <c r="C3319" t="s">
        <v>336</v>
      </c>
      <c r="D3319" t="s">
        <v>337</v>
      </c>
      <c r="E3319" t="s">
        <v>96</v>
      </c>
      <c r="F3319" t="s">
        <v>196</v>
      </c>
      <c r="G3319" t="s">
        <v>28</v>
      </c>
      <c r="H3319" t="s">
        <v>29</v>
      </c>
      <c r="I3319" t="s">
        <v>30</v>
      </c>
      <c r="J3319">
        <v>2</v>
      </c>
      <c r="K3319">
        <v>1900</v>
      </c>
      <c r="L3319">
        <v>0.1</v>
      </c>
      <c r="M3319">
        <v>3420</v>
      </c>
      <c r="N3319">
        <v>2500</v>
      </c>
      <c r="O3319">
        <v>920</v>
      </c>
    </row>
    <row r="3320" spans="1:15" x14ac:dyDescent="0.25">
      <c r="A3320" t="s">
        <v>4385</v>
      </c>
      <c r="B3320" s="2">
        <v>48976</v>
      </c>
      <c r="C3320" t="s">
        <v>881</v>
      </c>
      <c r="D3320" t="s">
        <v>882</v>
      </c>
      <c r="E3320" t="s">
        <v>26</v>
      </c>
      <c r="F3320" t="s">
        <v>204</v>
      </c>
      <c r="G3320" t="s">
        <v>20</v>
      </c>
      <c r="H3320" t="s">
        <v>84</v>
      </c>
      <c r="I3320" t="s">
        <v>85</v>
      </c>
      <c r="J3320">
        <v>4</v>
      </c>
      <c r="K3320">
        <v>280</v>
      </c>
      <c r="L3320">
        <v>0.15</v>
      </c>
      <c r="M3320">
        <v>952</v>
      </c>
      <c r="N3320">
        <v>640</v>
      </c>
      <c r="O3320">
        <v>312</v>
      </c>
    </row>
    <row r="3321" spans="1:15" x14ac:dyDescent="0.25">
      <c r="A3321" t="s">
        <v>4386</v>
      </c>
      <c r="B3321" s="2">
        <v>48977</v>
      </c>
      <c r="C3321" t="s">
        <v>1384</v>
      </c>
      <c r="D3321" t="s">
        <v>1385</v>
      </c>
      <c r="E3321" t="s">
        <v>26</v>
      </c>
      <c r="F3321" t="s">
        <v>128</v>
      </c>
      <c r="G3321" t="s">
        <v>28</v>
      </c>
      <c r="H3321" t="s">
        <v>29</v>
      </c>
      <c r="I3321" t="s">
        <v>47</v>
      </c>
      <c r="J3321">
        <v>5</v>
      </c>
      <c r="K3321">
        <v>6800</v>
      </c>
      <c r="L3321">
        <v>0.15</v>
      </c>
      <c r="M3321">
        <v>28900</v>
      </c>
      <c r="N3321">
        <v>23500</v>
      </c>
      <c r="O3321">
        <v>5400</v>
      </c>
    </row>
    <row r="3322" spans="1:15" x14ac:dyDescent="0.25">
      <c r="A3322" t="s">
        <v>4387</v>
      </c>
      <c r="B3322" s="2">
        <v>48978</v>
      </c>
      <c r="C3322" t="s">
        <v>433</v>
      </c>
      <c r="D3322" t="s">
        <v>434</v>
      </c>
      <c r="E3322" t="s">
        <v>39</v>
      </c>
      <c r="F3322" t="s">
        <v>40</v>
      </c>
      <c r="G3322" t="s">
        <v>51</v>
      </c>
      <c r="H3322" t="s">
        <v>52</v>
      </c>
      <c r="I3322" t="s">
        <v>208</v>
      </c>
      <c r="J3322">
        <v>2</v>
      </c>
      <c r="K3322">
        <v>2800</v>
      </c>
      <c r="L3322">
        <v>0.05</v>
      </c>
      <c r="M3322">
        <v>5320</v>
      </c>
      <c r="N3322">
        <v>3600</v>
      </c>
      <c r="O3322">
        <v>1720</v>
      </c>
    </row>
    <row r="3323" spans="1:15" x14ac:dyDescent="0.25">
      <c r="A3323" t="s">
        <v>4388</v>
      </c>
      <c r="B3323" s="2">
        <v>48979</v>
      </c>
      <c r="C3323" t="s">
        <v>831</v>
      </c>
      <c r="D3323" t="s">
        <v>832</v>
      </c>
      <c r="E3323" t="s">
        <v>39</v>
      </c>
      <c r="F3323" t="s">
        <v>71</v>
      </c>
      <c r="G3323" t="s">
        <v>51</v>
      </c>
      <c r="H3323" t="s">
        <v>21</v>
      </c>
      <c r="I3323" t="s">
        <v>116</v>
      </c>
      <c r="J3323">
        <v>5</v>
      </c>
      <c r="K3323">
        <v>1400</v>
      </c>
      <c r="L3323">
        <v>0.1</v>
      </c>
      <c r="M3323">
        <v>6300</v>
      </c>
      <c r="N3323">
        <v>4500</v>
      </c>
      <c r="O3323">
        <v>1800</v>
      </c>
    </row>
    <row r="3324" spans="1:15" x14ac:dyDescent="0.25">
      <c r="A3324" t="s">
        <v>4389</v>
      </c>
      <c r="B3324" s="2">
        <v>48980</v>
      </c>
      <c r="C3324" t="s">
        <v>1079</v>
      </c>
      <c r="D3324" t="s">
        <v>1080</v>
      </c>
      <c r="E3324" t="s">
        <v>26</v>
      </c>
      <c r="F3324" t="s">
        <v>27</v>
      </c>
      <c r="G3324" t="s">
        <v>51</v>
      </c>
      <c r="H3324" t="s">
        <v>89</v>
      </c>
      <c r="I3324" t="s">
        <v>90</v>
      </c>
      <c r="J3324">
        <v>2</v>
      </c>
      <c r="K3324">
        <v>10500</v>
      </c>
      <c r="L3324">
        <v>0</v>
      </c>
      <c r="M3324">
        <v>21000</v>
      </c>
      <c r="N3324">
        <v>15200</v>
      </c>
      <c r="O3324">
        <v>5800</v>
      </c>
    </row>
    <row r="3325" spans="1:15" x14ac:dyDescent="0.25">
      <c r="A3325" t="s">
        <v>4390</v>
      </c>
      <c r="B3325" s="2">
        <v>48981</v>
      </c>
      <c r="C3325" t="s">
        <v>1480</v>
      </c>
      <c r="D3325" t="s">
        <v>1481</v>
      </c>
      <c r="E3325" t="s">
        <v>39</v>
      </c>
      <c r="F3325" t="s">
        <v>76</v>
      </c>
      <c r="G3325" t="s">
        <v>28</v>
      </c>
      <c r="H3325" t="s">
        <v>29</v>
      </c>
      <c r="I3325" t="s">
        <v>35</v>
      </c>
      <c r="J3325">
        <v>3</v>
      </c>
      <c r="K3325">
        <v>4200</v>
      </c>
      <c r="L3325">
        <v>0</v>
      </c>
      <c r="M3325">
        <v>12600</v>
      </c>
      <c r="N3325">
        <v>8700</v>
      </c>
      <c r="O3325">
        <v>3900</v>
      </c>
    </row>
    <row r="3326" spans="1:15" x14ac:dyDescent="0.25">
      <c r="A3326" t="s">
        <v>4391</v>
      </c>
      <c r="B3326" s="2">
        <v>48982</v>
      </c>
      <c r="C3326" t="s">
        <v>1498</v>
      </c>
      <c r="D3326" t="s">
        <v>1499</v>
      </c>
      <c r="E3326" t="s">
        <v>96</v>
      </c>
      <c r="F3326" t="s">
        <v>200</v>
      </c>
      <c r="G3326" t="s">
        <v>20</v>
      </c>
      <c r="H3326" t="s">
        <v>41</v>
      </c>
      <c r="I3326" t="s">
        <v>42</v>
      </c>
      <c r="J3326">
        <v>2</v>
      </c>
      <c r="K3326">
        <v>520</v>
      </c>
      <c r="L3326">
        <v>0</v>
      </c>
      <c r="M3326">
        <v>1040</v>
      </c>
      <c r="N3326">
        <v>660</v>
      </c>
      <c r="O3326">
        <v>380</v>
      </c>
    </row>
    <row r="3327" spans="1:15" x14ac:dyDescent="0.25">
      <c r="A3327" t="s">
        <v>4392</v>
      </c>
      <c r="B3327" s="2">
        <v>48983</v>
      </c>
      <c r="C3327" t="s">
        <v>2687</v>
      </c>
      <c r="D3327" t="s">
        <v>2688</v>
      </c>
      <c r="E3327" t="s">
        <v>26</v>
      </c>
      <c r="F3327" t="s">
        <v>128</v>
      </c>
      <c r="G3327" t="s">
        <v>57</v>
      </c>
      <c r="H3327" t="s">
        <v>58</v>
      </c>
      <c r="I3327" t="s">
        <v>129</v>
      </c>
      <c r="J3327">
        <v>3</v>
      </c>
      <c r="K3327">
        <v>4800</v>
      </c>
      <c r="L3327">
        <v>0.15</v>
      </c>
      <c r="M3327">
        <v>12240</v>
      </c>
      <c r="N3327">
        <v>9900</v>
      </c>
      <c r="O3327">
        <v>2340</v>
      </c>
    </row>
    <row r="3328" spans="1:15" x14ac:dyDescent="0.25">
      <c r="A3328" t="s">
        <v>4393</v>
      </c>
      <c r="B3328" s="2">
        <v>48984</v>
      </c>
      <c r="C3328" t="s">
        <v>1183</v>
      </c>
      <c r="D3328" t="s">
        <v>1184</v>
      </c>
      <c r="E3328" t="s">
        <v>96</v>
      </c>
      <c r="F3328" t="s">
        <v>97</v>
      </c>
      <c r="G3328" t="s">
        <v>20</v>
      </c>
      <c r="H3328" t="s">
        <v>21</v>
      </c>
      <c r="I3328" t="s">
        <v>22</v>
      </c>
      <c r="J3328">
        <v>5</v>
      </c>
      <c r="K3328">
        <v>650</v>
      </c>
      <c r="L3328">
        <v>0.15</v>
      </c>
      <c r="M3328">
        <v>2762.5</v>
      </c>
      <c r="N3328">
        <v>1950</v>
      </c>
      <c r="O3328">
        <v>812.5</v>
      </c>
    </row>
    <row r="3329" spans="1:15" x14ac:dyDescent="0.25">
      <c r="A3329" t="s">
        <v>4394</v>
      </c>
      <c r="B3329" s="2">
        <v>48985</v>
      </c>
      <c r="C3329" t="s">
        <v>1589</v>
      </c>
      <c r="D3329" t="s">
        <v>1590</v>
      </c>
      <c r="E3329" t="s">
        <v>39</v>
      </c>
      <c r="F3329" t="s">
        <v>40</v>
      </c>
      <c r="G3329" t="s">
        <v>57</v>
      </c>
      <c r="H3329" t="s">
        <v>104</v>
      </c>
      <c r="I3329" t="s">
        <v>105</v>
      </c>
      <c r="J3329">
        <v>2</v>
      </c>
      <c r="K3329">
        <v>7500</v>
      </c>
      <c r="L3329">
        <v>0.2</v>
      </c>
      <c r="M3329">
        <v>12000</v>
      </c>
      <c r="N3329">
        <v>10400</v>
      </c>
      <c r="O3329">
        <v>1600</v>
      </c>
    </row>
    <row r="3330" spans="1:15" x14ac:dyDescent="0.25">
      <c r="A3330" t="s">
        <v>4395</v>
      </c>
      <c r="B3330" s="2">
        <v>48986</v>
      </c>
      <c r="C3330" t="s">
        <v>881</v>
      </c>
      <c r="D3330" t="s">
        <v>882</v>
      </c>
      <c r="E3330" t="s">
        <v>96</v>
      </c>
      <c r="F3330" t="s">
        <v>120</v>
      </c>
      <c r="G3330" t="s">
        <v>20</v>
      </c>
      <c r="H3330" t="s">
        <v>84</v>
      </c>
      <c r="I3330" t="s">
        <v>85</v>
      </c>
      <c r="J3330">
        <v>2</v>
      </c>
      <c r="K3330">
        <v>280</v>
      </c>
      <c r="L3330">
        <v>0</v>
      </c>
      <c r="M3330">
        <v>560</v>
      </c>
      <c r="N3330">
        <v>320</v>
      </c>
      <c r="O3330">
        <v>240</v>
      </c>
    </row>
    <row r="3331" spans="1:15" x14ac:dyDescent="0.25">
      <c r="A3331" t="s">
        <v>4396</v>
      </c>
      <c r="B3331" s="2">
        <v>48987</v>
      </c>
      <c r="C3331" t="s">
        <v>1281</v>
      </c>
      <c r="D3331" t="s">
        <v>1282</v>
      </c>
      <c r="E3331" t="s">
        <v>26</v>
      </c>
      <c r="F3331" t="s">
        <v>34</v>
      </c>
      <c r="G3331" t="s">
        <v>28</v>
      </c>
      <c r="H3331" t="s">
        <v>29</v>
      </c>
      <c r="I3331" t="s">
        <v>35</v>
      </c>
      <c r="J3331">
        <v>5</v>
      </c>
      <c r="K3331">
        <v>4200</v>
      </c>
      <c r="L3331">
        <v>0.15</v>
      </c>
      <c r="M3331">
        <v>17850</v>
      </c>
      <c r="N3331">
        <v>14500</v>
      </c>
      <c r="O3331">
        <v>3350</v>
      </c>
    </row>
    <row r="3332" spans="1:15" x14ac:dyDescent="0.25">
      <c r="A3332" t="s">
        <v>4397</v>
      </c>
      <c r="B3332" s="2">
        <v>48988</v>
      </c>
      <c r="C3332" t="s">
        <v>1243</v>
      </c>
      <c r="D3332" t="s">
        <v>1244</v>
      </c>
      <c r="E3332" t="s">
        <v>26</v>
      </c>
      <c r="F3332" t="s">
        <v>204</v>
      </c>
      <c r="G3332" t="s">
        <v>51</v>
      </c>
      <c r="H3332" t="s">
        <v>21</v>
      </c>
      <c r="I3332" t="s">
        <v>72</v>
      </c>
      <c r="J3332">
        <v>1</v>
      </c>
      <c r="K3332">
        <v>1800</v>
      </c>
      <c r="L3332">
        <v>0</v>
      </c>
      <c r="M3332">
        <v>1800</v>
      </c>
      <c r="N3332">
        <v>1100</v>
      </c>
      <c r="O3332">
        <v>700</v>
      </c>
    </row>
    <row r="3333" spans="1:15" x14ac:dyDescent="0.25">
      <c r="A3333" t="s">
        <v>4398</v>
      </c>
      <c r="B3333" s="2">
        <v>48989</v>
      </c>
      <c r="C3333" t="s">
        <v>1623</v>
      </c>
      <c r="D3333" t="s">
        <v>1624</v>
      </c>
      <c r="E3333" t="s">
        <v>26</v>
      </c>
      <c r="F3333" t="s">
        <v>46</v>
      </c>
      <c r="G3333" t="s">
        <v>51</v>
      </c>
      <c r="H3333" t="s">
        <v>89</v>
      </c>
      <c r="I3333" t="s">
        <v>90</v>
      </c>
      <c r="J3333">
        <v>5</v>
      </c>
      <c r="K3333">
        <v>10500</v>
      </c>
      <c r="L3333">
        <v>0.05</v>
      </c>
      <c r="M3333">
        <v>49875</v>
      </c>
      <c r="N3333">
        <v>38000</v>
      </c>
      <c r="O3333">
        <v>11875</v>
      </c>
    </row>
    <row r="3334" spans="1:15" x14ac:dyDescent="0.25">
      <c r="A3334" t="s">
        <v>4399</v>
      </c>
      <c r="B3334" s="2">
        <v>48990</v>
      </c>
      <c r="C3334" t="s">
        <v>1430</v>
      </c>
      <c r="D3334" t="s">
        <v>1431</v>
      </c>
      <c r="E3334" t="s">
        <v>39</v>
      </c>
      <c r="F3334" t="s">
        <v>71</v>
      </c>
      <c r="G3334" t="s">
        <v>51</v>
      </c>
      <c r="H3334" t="s">
        <v>52</v>
      </c>
      <c r="I3334" t="s">
        <v>208</v>
      </c>
      <c r="J3334">
        <v>2</v>
      </c>
      <c r="K3334">
        <v>2800</v>
      </c>
      <c r="L3334">
        <v>0.05</v>
      </c>
      <c r="M3334">
        <v>5320</v>
      </c>
      <c r="N3334">
        <v>3600</v>
      </c>
      <c r="O3334">
        <v>1720</v>
      </c>
    </row>
    <row r="3335" spans="1:15" x14ac:dyDescent="0.25">
      <c r="A3335" t="s">
        <v>4400</v>
      </c>
      <c r="B3335" s="2">
        <v>48991</v>
      </c>
      <c r="C3335" t="s">
        <v>1031</v>
      </c>
      <c r="D3335" t="s">
        <v>1032</v>
      </c>
      <c r="E3335" t="s">
        <v>26</v>
      </c>
      <c r="F3335" t="s">
        <v>46</v>
      </c>
      <c r="G3335" t="s">
        <v>20</v>
      </c>
      <c r="H3335" t="s">
        <v>84</v>
      </c>
      <c r="I3335" t="s">
        <v>210</v>
      </c>
      <c r="J3335">
        <v>5</v>
      </c>
      <c r="K3335">
        <v>300</v>
      </c>
      <c r="L3335">
        <v>0.05</v>
      </c>
      <c r="M3335">
        <v>1425</v>
      </c>
      <c r="N3335">
        <v>850</v>
      </c>
      <c r="O3335">
        <v>575</v>
      </c>
    </row>
    <row r="3336" spans="1:15" x14ac:dyDescent="0.25">
      <c r="A3336" t="s">
        <v>4401</v>
      </c>
      <c r="B3336" s="2">
        <v>48992</v>
      </c>
      <c r="C3336" t="s">
        <v>922</v>
      </c>
      <c r="D3336" t="s">
        <v>923</v>
      </c>
      <c r="E3336" t="s">
        <v>39</v>
      </c>
      <c r="F3336" t="s">
        <v>124</v>
      </c>
      <c r="G3336" t="s">
        <v>57</v>
      </c>
      <c r="H3336" t="s">
        <v>104</v>
      </c>
      <c r="I3336" t="s">
        <v>105</v>
      </c>
      <c r="J3336">
        <v>3</v>
      </c>
      <c r="K3336">
        <v>7500</v>
      </c>
      <c r="L3336">
        <v>0.05</v>
      </c>
      <c r="M3336">
        <v>21375</v>
      </c>
      <c r="N3336">
        <v>15600</v>
      </c>
      <c r="O3336">
        <v>5775</v>
      </c>
    </row>
    <row r="3337" spans="1:15" x14ac:dyDescent="0.25">
      <c r="A3337" t="s">
        <v>4402</v>
      </c>
      <c r="B3337" s="2">
        <v>48993</v>
      </c>
      <c r="C3337" t="s">
        <v>1471</v>
      </c>
      <c r="D3337" t="s">
        <v>1472</v>
      </c>
      <c r="E3337" t="s">
        <v>26</v>
      </c>
      <c r="F3337" t="s">
        <v>46</v>
      </c>
      <c r="G3337" t="s">
        <v>51</v>
      </c>
      <c r="H3337" t="s">
        <v>21</v>
      </c>
      <c r="I3337" t="s">
        <v>72</v>
      </c>
      <c r="J3337">
        <v>3</v>
      </c>
      <c r="K3337">
        <v>1800</v>
      </c>
      <c r="L3337">
        <v>0.15</v>
      </c>
      <c r="M3337">
        <v>4590</v>
      </c>
      <c r="N3337">
        <v>3300</v>
      </c>
      <c r="O3337">
        <v>1290</v>
      </c>
    </row>
    <row r="3338" spans="1:15" x14ac:dyDescent="0.25">
      <c r="A3338" t="s">
        <v>4403</v>
      </c>
      <c r="B3338" s="2">
        <v>48994</v>
      </c>
      <c r="C3338" t="s">
        <v>44</v>
      </c>
      <c r="D3338" t="s">
        <v>45</v>
      </c>
      <c r="E3338" t="s">
        <v>26</v>
      </c>
      <c r="F3338" t="s">
        <v>46</v>
      </c>
      <c r="G3338" t="s">
        <v>51</v>
      </c>
      <c r="H3338" t="s">
        <v>89</v>
      </c>
      <c r="I3338" t="s">
        <v>90</v>
      </c>
      <c r="J3338">
        <v>1</v>
      </c>
      <c r="K3338">
        <v>10500</v>
      </c>
      <c r="L3338">
        <v>0.05</v>
      </c>
      <c r="M3338">
        <v>9975</v>
      </c>
      <c r="N3338">
        <v>7600</v>
      </c>
      <c r="O3338">
        <v>2375</v>
      </c>
    </row>
    <row r="3339" spans="1:15" x14ac:dyDescent="0.25">
      <c r="A3339" t="s">
        <v>4404</v>
      </c>
      <c r="B3339" s="2">
        <v>48995</v>
      </c>
      <c r="C3339" t="s">
        <v>244</v>
      </c>
      <c r="D3339" t="s">
        <v>245</v>
      </c>
      <c r="E3339" t="s">
        <v>39</v>
      </c>
      <c r="F3339" t="s">
        <v>124</v>
      </c>
      <c r="G3339" t="s">
        <v>57</v>
      </c>
      <c r="H3339" t="s">
        <v>58</v>
      </c>
      <c r="I3339" t="s">
        <v>129</v>
      </c>
      <c r="J3339">
        <v>2</v>
      </c>
      <c r="K3339">
        <v>4800</v>
      </c>
      <c r="L3339">
        <v>0.15</v>
      </c>
      <c r="M3339">
        <v>8160</v>
      </c>
      <c r="N3339">
        <v>6600</v>
      </c>
      <c r="O3339">
        <v>1560</v>
      </c>
    </row>
    <row r="3340" spans="1:15" x14ac:dyDescent="0.25">
      <c r="A3340" t="s">
        <v>4405</v>
      </c>
      <c r="B3340" s="2">
        <v>48996</v>
      </c>
      <c r="C3340" t="s">
        <v>1636</v>
      </c>
      <c r="D3340" t="s">
        <v>1637</v>
      </c>
      <c r="E3340" t="s">
        <v>39</v>
      </c>
      <c r="F3340" t="s">
        <v>40</v>
      </c>
      <c r="G3340" t="s">
        <v>20</v>
      </c>
      <c r="H3340" t="s">
        <v>84</v>
      </c>
      <c r="I3340" t="s">
        <v>169</v>
      </c>
      <c r="J3340">
        <v>5</v>
      </c>
      <c r="K3340">
        <v>450</v>
      </c>
      <c r="L3340">
        <v>0.1</v>
      </c>
      <c r="M3340">
        <v>2025</v>
      </c>
      <c r="N3340">
        <v>1300</v>
      </c>
      <c r="O3340">
        <v>725</v>
      </c>
    </row>
    <row r="3341" spans="1:15" x14ac:dyDescent="0.25">
      <c r="A3341" t="s">
        <v>4406</v>
      </c>
      <c r="B3341" s="2">
        <v>48997</v>
      </c>
      <c r="C3341" t="s">
        <v>74</v>
      </c>
      <c r="D3341" t="s">
        <v>75</v>
      </c>
      <c r="E3341" t="s">
        <v>18</v>
      </c>
      <c r="F3341" t="s">
        <v>94</v>
      </c>
      <c r="G3341" t="s">
        <v>20</v>
      </c>
      <c r="H3341" t="s">
        <v>41</v>
      </c>
      <c r="I3341" t="s">
        <v>42</v>
      </c>
      <c r="J3341">
        <v>2</v>
      </c>
      <c r="K3341">
        <v>520</v>
      </c>
      <c r="L3341">
        <v>0.05</v>
      </c>
      <c r="M3341">
        <v>988</v>
      </c>
      <c r="N3341">
        <v>660</v>
      </c>
      <c r="O3341">
        <v>328</v>
      </c>
    </row>
    <row r="3342" spans="1:15" x14ac:dyDescent="0.25">
      <c r="A3342" t="s">
        <v>4407</v>
      </c>
      <c r="B3342" s="2">
        <v>48998</v>
      </c>
      <c r="C3342" t="s">
        <v>393</v>
      </c>
      <c r="D3342" t="s">
        <v>394</v>
      </c>
      <c r="E3342" t="s">
        <v>26</v>
      </c>
      <c r="F3342" t="s">
        <v>27</v>
      </c>
      <c r="G3342" t="s">
        <v>20</v>
      </c>
      <c r="H3342" t="s">
        <v>41</v>
      </c>
      <c r="I3342" t="s">
        <v>42</v>
      </c>
      <c r="J3342">
        <v>5</v>
      </c>
      <c r="K3342">
        <v>520</v>
      </c>
      <c r="L3342">
        <v>0.25</v>
      </c>
      <c r="M3342">
        <v>1950</v>
      </c>
      <c r="N3342">
        <v>1650</v>
      </c>
      <c r="O3342">
        <v>300</v>
      </c>
    </row>
    <row r="3343" spans="1:15" x14ac:dyDescent="0.25">
      <c r="A3343" t="s">
        <v>4408</v>
      </c>
      <c r="B3343" s="2">
        <v>48999</v>
      </c>
      <c r="C3343" t="s">
        <v>606</v>
      </c>
      <c r="D3343" t="s">
        <v>607</v>
      </c>
      <c r="E3343" t="s">
        <v>26</v>
      </c>
      <c r="F3343" t="s">
        <v>128</v>
      </c>
      <c r="G3343" t="s">
        <v>20</v>
      </c>
      <c r="H3343" t="s">
        <v>21</v>
      </c>
      <c r="I3343" t="s">
        <v>22</v>
      </c>
      <c r="J3343">
        <v>1</v>
      </c>
      <c r="K3343">
        <v>650</v>
      </c>
      <c r="L3343">
        <v>0.1</v>
      </c>
      <c r="M3343">
        <v>585</v>
      </c>
      <c r="N3343">
        <v>390</v>
      </c>
      <c r="O3343">
        <v>195</v>
      </c>
    </row>
    <row r="3344" spans="1:15" x14ac:dyDescent="0.25">
      <c r="A3344" t="s">
        <v>4409</v>
      </c>
      <c r="B3344" s="2">
        <v>49000</v>
      </c>
      <c r="C3344" t="s">
        <v>535</v>
      </c>
      <c r="D3344" t="s">
        <v>536</v>
      </c>
      <c r="E3344" t="s">
        <v>26</v>
      </c>
      <c r="F3344" t="s">
        <v>34</v>
      </c>
      <c r="G3344" t="s">
        <v>51</v>
      </c>
      <c r="H3344" t="s">
        <v>21</v>
      </c>
      <c r="I3344" t="s">
        <v>80</v>
      </c>
      <c r="J3344">
        <v>2</v>
      </c>
      <c r="K3344">
        <v>850</v>
      </c>
      <c r="L3344">
        <v>0</v>
      </c>
      <c r="M3344">
        <v>1700</v>
      </c>
      <c r="N3344">
        <v>1120</v>
      </c>
      <c r="O3344">
        <v>580</v>
      </c>
    </row>
    <row r="3345" spans="1:15" x14ac:dyDescent="0.25">
      <c r="A3345" t="s">
        <v>4410</v>
      </c>
      <c r="B3345" s="2">
        <v>49001</v>
      </c>
      <c r="C3345" t="s">
        <v>2648</v>
      </c>
      <c r="D3345" t="s">
        <v>2649</v>
      </c>
      <c r="E3345" t="s">
        <v>18</v>
      </c>
      <c r="F3345" t="s">
        <v>115</v>
      </c>
      <c r="G3345" t="s">
        <v>20</v>
      </c>
      <c r="H3345" t="s">
        <v>84</v>
      </c>
      <c r="I3345" t="s">
        <v>85</v>
      </c>
      <c r="J3345">
        <v>2</v>
      </c>
      <c r="K3345">
        <v>280</v>
      </c>
      <c r="L3345">
        <v>0.25</v>
      </c>
      <c r="M3345">
        <v>420</v>
      </c>
      <c r="N3345">
        <v>320</v>
      </c>
      <c r="O3345">
        <v>100</v>
      </c>
    </row>
    <row r="3346" spans="1:15" x14ac:dyDescent="0.25">
      <c r="A3346" t="s">
        <v>4411</v>
      </c>
      <c r="B3346" s="2">
        <v>49002</v>
      </c>
      <c r="C3346" t="s">
        <v>1204</v>
      </c>
      <c r="D3346" t="s">
        <v>1205</v>
      </c>
      <c r="E3346" t="s">
        <v>26</v>
      </c>
      <c r="F3346" t="s">
        <v>46</v>
      </c>
      <c r="G3346" t="s">
        <v>51</v>
      </c>
      <c r="H3346" t="s">
        <v>89</v>
      </c>
      <c r="I3346" t="s">
        <v>90</v>
      </c>
      <c r="J3346">
        <v>3</v>
      </c>
      <c r="K3346">
        <v>10500</v>
      </c>
      <c r="L3346">
        <v>0.1</v>
      </c>
      <c r="M3346">
        <v>28350</v>
      </c>
      <c r="N3346">
        <v>22800</v>
      </c>
      <c r="O3346">
        <v>5550</v>
      </c>
    </row>
    <row r="3347" spans="1:15" x14ac:dyDescent="0.25">
      <c r="A3347" t="s">
        <v>4412</v>
      </c>
      <c r="B3347" s="2">
        <v>49003</v>
      </c>
      <c r="C3347" t="s">
        <v>1186</v>
      </c>
      <c r="D3347" t="s">
        <v>1187</v>
      </c>
      <c r="E3347" t="s">
        <v>26</v>
      </c>
      <c r="F3347" t="s">
        <v>128</v>
      </c>
      <c r="G3347" t="s">
        <v>28</v>
      </c>
      <c r="H3347" t="s">
        <v>29</v>
      </c>
      <c r="I3347" t="s">
        <v>35</v>
      </c>
      <c r="J3347">
        <v>4</v>
      </c>
      <c r="K3347">
        <v>4200</v>
      </c>
      <c r="L3347">
        <v>0.05</v>
      </c>
      <c r="M3347">
        <v>15960</v>
      </c>
      <c r="N3347">
        <v>11600</v>
      </c>
      <c r="O3347">
        <v>4360</v>
      </c>
    </row>
    <row r="3348" spans="1:15" x14ac:dyDescent="0.25">
      <c r="A3348" t="s">
        <v>4413</v>
      </c>
      <c r="B3348" s="2">
        <v>49004</v>
      </c>
      <c r="C3348" t="s">
        <v>1210</v>
      </c>
      <c r="D3348" t="s">
        <v>1211</v>
      </c>
      <c r="E3348" t="s">
        <v>26</v>
      </c>
      <c r="F3348" t="s">
        <v>46</v>
      </c>
      <c r="G3348" t="s">
        <v>57</v>
      </c>
      <c r="H3348" t="s">
        <v>104</v>
      </c>
      <c r="I3348" t="s">
        <v>105</v>
      </c>
      <c r="J3348">
        <v>2</v>
      </c>
      <c r="K3348">
        <v>7500</v>
      </c>
      <c r="L3348">
        <v>0.2</v>
      </c>
      <c r="M3348">
        <v>12000</v>
      </c>
      <c r="N3348">
        <v>10400</v>
      </c>
      <c r="O3348">
        <v>1600</v>
      </c>
    </row>
    <row r="3349" spans="1:15" x14ac:dyDescent="0.25">
      <c r="A3349" t="s">
        <v>4414</v>
      </c>
      <c r="B3349" s="2">
        <v>49005</v>
      </c>
      <c r="C3349" t="s">
        <v>3080</v>
      </c>
      <c r="D3349" t="s">
        <v>3081</v>
      </c>
      <c r="E3349" t="s">
        <v>18</v>
      </c>
      <c r="F3349" t="s">
        <v>227</v>
      </c>
      <c r="G3349" t="s">
        <v>51</v>
      </c>
      <c r="H3349" t="s">
        <v>89</v>
      </c>
      <c r="I3349" t="s">
        <v>90</v>
      </c>
      <c r="J3349">
        <v>1</v>
      </c>
      <c r="K3349">
        <v>10500</v>
      </c>
      <c r="L3349">
        <v>0.05</v>
      </c>
      <c r="M3349">
        <v>9975</v>
      </c>
      <c r="N3349">
        <v>7600</v>
      </c>
      <c r="O3349">
        <v>2375</v>
      </c>
    </row>
    <row r="3350" spans="1:15" x14ac:dyDescent="0.25">
      <c r="A3350" t="s">
        <v>4415</v>
      </c>
      <c r="B3350" s="2">
        <v>49006</v>
      </c>
      <c r="C3350" t="s">
        <v>1108</v>
      </c>
      <c r="D3350" t="s">
        <v>1109</v>
      </c>
      <c r="E3350" t="s">
        <v>26</v>
      </c>
      <c r="F3350" t="s">
        <v>128</v>
      </c>
      <c r="G3350" t="s">
        <v>20</v>
      </c>
      <c r="H3350" t="s">
        <v>84</v>
      </c>
      <c r="I3350" t="s">
        <v>85</v>
      </c>
      <c r="J3350">
        <v>1</v>
      </c>
      <c r="K3350">
        <v>280</v>
      </c>
      <c r="L3350">
        <v>0.1</v>
      </c>
      <c r="M3350">
        <v>252</v>
      </c>
      <c r="N3350">
        <v>160</v>
      </c>
      <c r="O3350">
        <v>92</v>
      </c>
    </row>
    <row r="3351" spans="1:15" x14ac:dyDescent="0.25">
      <c r="A3351" t="s">
        <v>4416</v>
      </c>
      <c r="B3351" s="2">
        <v>49007</v>
      </c>
      <c r="C3351" t="s">
        <v>317</v>
      </c>
      <c r="D3351" t="s">
        <v>318</v>
      </c>
      <c r="E3351" t="s">
        <v>39</v>
      </c>
      <c r="F3351" t="s">
        <v>40</v>
      </c>
      <c r="G3351" t="s">
        <v>20</v>
      </c>
      <c r="H3351" t="s">
        <v>41</v>
      </c>
      <c r="I3351" t="s">
        <v>42</v>
      </c>
      <c r="J3351">
        <v>2</v>
      </c>
      <c r="K3351">
        <v>520</v>
      </c>
      <c r="L3351">
        <v>0.1</v>
      </c>
      <c r="M3351">
        <v>936</v>
      </c>
      <c r="N3351">
        <v>660</v>
      </c>
      <c r="O3351">
        <v>276</v>
      </c>
    </row>
    <row r="3352" spans="1:15" x14ac:dyDescent="0.25">
      <c r="A3352" t="s">
        <v>4417</v>
      </c>
      <c r="B3352" s="2">
        <v>49008</v>
      </c>
      <c r="C3352" t="s">
        <v>1556</v>
      </c>
      <c r="D3352" t="s">
        <v>1557</v>
      </c>
      <c r="E3352" t="s">
        <v>39</v>
      </c>
      <c r="F3352" t="s">
        <v>40</v>
      </c>
      <c r="G3352" t="s">
        <v>51</v>
      </c>
      <c r="H3352" t="s">
        <v>21</v>
      </c>
      <c r="I3352" t="s">
        <v>116</v>
      </c>
      <c r="J3352">
        <v>1</v>
      </c>
      <c r="K3352">
        <v>1400</v>
      </c>
      <c r="L3352">
        <v>0</v>
      </c>
      <c r="M3352">
        <v>1400</v>
      </c>
      <c r="N3352">
        <v>900</v>
      </c>
      <c r="O3352">
        <v>500</v>
      </c>
    </row>
    <row r="3353" spans="1:15" x14ac:dyDescent="0.25">
      <c r="A3353" t="s">
        <v>4418</v>
      </c>
      <c r="B3353" s="2">
        <v>49009</v>
      </c>
      <c r="C3353" t="s">
        <v>769</v>
      </c>
      <c r="D3353" t="s">
        <v>770</v>
      </c>
      <c r="E3353" t="s">
        <v>18</v>
      </c>
      <c r="F3353" t="s">
        <v>94</v>
      </c>
      <c r="G3353" t="s">
        <v>51</v>
      </c>
      <c r="H3353" t="s">
        <v>52</v>
      </c>
      <c r="I3353" t="s">
        <v>53</v>
      </c>
      <c r="J3353">
        <v>1</v>
      </c>
      <c r="K3353">
        <v>2200</v>
      </c>
      <c r="L3353">
        <v>0</v>
      </c>
      <c r="M3353">
        <v>2200</v>
      </c>
      <c r="N3353">
        <v>1450</v>
      </c>
      <c r="O3353">
        <v>750</v>
      </c>
    </row>
    <row r="3354" spans="1:15" x14ac:dyDescent="0.25">
      <c r="A3354" t="s">
        <v>4419</v>
      </c>
      <c r="B3354" s="2">
        <v>49010</v>
      </c>
      <c r="C3354" t="s">
        <v>281</v>
      </c>
      <c r="D3354" t="s">
        <v>282</v>
      </c>
      <c r="E3354" t="s">
        <v>26</v>
      </c>
      <c r="F3354" t="s">
        <v>27</v>
      </c>
      <c r="G3354" t="s">
        <v>28</v>
      </c>
      <c r="H3354" t="s">
        <v>29</v>
      </c>
      <c r="I3354" t="s">
        <v>35</v>
      </c>
      <c r="J3354">
        <v>2</v>
      </c>
      <c r="K3354">
        <v>4200</v>
      </c>
      <c r="L3354">
        <v>0.15</v>
      </c>
      <c r="M3354">
        <v>7140</v>
      </c>
      <c r="N3354">
        <v>5800</v>
      </c>
      <c r="O3354">
        <v>1340</v>
      </c>
    </row>
    <row r="3355" spans="1:15" x14ac:dyDescent="0.25">
      <c r="A3355" t="s">
        <v>4420</v>
      </c>
      <c r="B3355" s="2">
        <v>49011</v>
      </c>
      <c r="C3355" t="s">
        <v>78</v>
      </c>
      <c r="D3355" t="s">
        <v>79</v>
      </c>
      <c r="E3355" t="s">
        <v>26</v>
      </c>
      <c r="F3355" t="s">
        <v>46</v>
      </c>
      <c r="G3355" t="s">
        <v>20</v>
      </c>
      <c r="H3355" t="s">
        <v>84</v>
      </c>
      <c r="I3355" t="s">
        <v>210</v>
      </c>
      <c r="J3355">
        <v>2</v>
      </c>
      <c r="K3355">
        <v>300</v>
      </c>
      <c r="L3355">
        <v>0.2</v>
      </c>
      <c r="M3355">
        <v>480</v>
      </c>
      <c r="N3355">
        <v>340</v>
      </c>
      <c r="O3355">
        <v>140</v>
      </c>
    </row>
    <row r="3356" spans="1:15" x14ac:dyDescent="0.25">
      <c r="A3356" t="s">
        <v>4421</v>
      </c>
      <c r="B3356" s="2">
        <v>49012</v>
      </c>
      <c r="C3356" t="s">
        <v>343</v>
      </c>
      <c r="D3356" t="s">
        <v>344</v>
      </c>
      <c r="E3356" t="s">
        <v>96</v>
      </c>
      <c r="F3356" t="s">
        <v>97</v>
      </c>
      <c r="G3356" t="s">
        <v>51</v>
      </c>
      <c r="H3356" t="s">
        <v>21</v>
      </c>
      <c r="I3356" t="s">
        <v>80</v>
      </c>
      <c r="J3356">
        <v>4</v>
      </c>
      <c r="K3356">
        <v>850</v>
      </c>
      <c r="L3356">
        <v>0.1</v>
      </c>
      <c r="M3356">
        <v>3060</v>
      </c>
      <c r="N3356">
        <v>2240</v>
      </c>
      <c r="O3356">
        <v>820</v>
      </c>
    </row>
    <row r="3357" spans="1:15" x14ac:dyDescent="0.25">
      <c r="A3357" t="s">
        <v>4422</v>
      </c>
      <c r="B3357" s="2">
        <v>49013</v>
      </c>
      <c r="C3357" t="s">
        <v>453</v>
      </c>
      <c r="D3357" t="s">
        <v>454</v>
      </c>
      <c r="E3357" t="s">
        <v>39</v>
      </c>
      <c r="F3357" t="s">
        <v>124</v>
      </c>
      <c r="G3357" t="s">
        <v>51</v>
      </c>
      <c r="H3357" t="s">
        <v>21</v>
      </c>
      <c r="I3357" t="s">
        <v>116</v>
      </c>
      <c r="J3357">
        <v>1</v>
      </c>
      <c r="K3357">
        <v>1400</v>
      </c>
      <c r="L3357">
        <v>0.1</v>
      </c>
      <c r="M3357">
        <v>1260</v>
      </c>
      <c r="N3357">
        <v>900</v>
      </c>
      <c r="O3357">
        <v>360</v>
      </c>
    </row>
    <row r="3358" spans="1:15" x14ac:dyDescent="0.25">
      <c r="A3358" t="s">
        <v>4423</v>
      </c>
      <c r="B3358" s="2">
        <v>49014</v>
      </c>
      <c r="C3358" t="s">
        <v>980</v>
      </c>
      <c r="D3358" t="s">
        <v>981</v>
      </c>
      <c r="E3358" t="s">
        <v>18</v>
      </c>
      <c r="F3358" t="s">
        <v>227</v>
      </c>
      <c r="G3358" t="s">
        <v>51</v>
      </c>
      <c r="H3358" t="s">
        <v>21</v>
      </c>
      <c r="I3358" t="s">
        <v>116</v>
      </c>
      <c r="J3358">
        <v>4</v>
      </c>
      <c r="K3358">
        <v>1400</v>
      </c>
      <c r="L3358">
        <v>0.15</v>
      </c>
      <c r="M3358">
        <v>4760</v>
      </c>
      <c r="N3358">
        <v>3600</v>
      </c>
      <c r="O3358">
        <v>1160</v>
      </c>
    </row>
    <row r="3359" spans="1:15" x14ac:dyDescent="0.25">
      <c r="A3359" t="s">
        <v>4424</v>
      </c>
      <c r="B3359" s="2">
        <v>49015</v>
      </c>
      <c r="C3359" t="s">
        <v>1750</v>
      </c>
      <c r="D3359" t="s">
        <v>1751</v>
      </c>
      <c r="E3359" t="s">
        <v>26</v>
      </c>
      <c r="F3359" t="s">
        <v>128</v>
      </c>
      <c r="G3359" t="s">
        <v>28</v>
      </c>
      <c r="H3359" t="s">
        <v>29</v>
      </c>
      <c r="I3359" t="s">
        <v>35</v>
      </c>
      <c r="J3359">
        <v>2</v>
      </c>
      <c r="K3359">
        <v>4200</v>
      </c>
      <c r="L3359">
        <v>0.15</v>
      </c>
      <c r="M3359">
        <v>7140</v>
      </c>
      <c r="N3359">
        <v>5800</v>
      </c>
      <c r="O3359">
        <v>1340</v>
      </c>
    </row>
    <row r="3360" spans="1:15" x14ac:dyDescent="0.25">
      <c r="A3360" t="s">
        <v>4425</v>
      </c>
      <c r="B3360" s="2">
        <v>49016</v>
      </c>
      <c r="C3360" t="s">
        <v>501</v>
      </c>
      <c r="D3360" t="s">
        <v>502</v>
      </c>
      <c r="E3360" t="s">
        <v>96</v>
      </c>
      <c r="F3360" t="s">
        <v>196</v>
      </c>
      <c r="G3360" t="s">
        <v>20</v>
      </c>
      <c r="H3360" t="s">
        <v>84</v>
      </c>
      <c r="I3360" t="s">
        <v>210</v>
      </c>
      <c r="J3360">
        <v>1</v>
      </c>
      <c r="K3360">
        <v>300</v>
      </c>
      <c r="L3360">
        <v>0.05</v>
      </c>
      <c r="M3360">
        <v>285</v>
      </c>
      <c r="N3360">
        <v>170</v>
      </c>
      <c r="O3360">
        <v>115</v>
      </c>
    </row>
    <row r="3361" spans="1:15" x14ac:dyDescent="0.25">
      <c r="A3361" t="s">
        <v>4426</v>
      </c>
      <c r="B3361" s="2">
        <v>49017</v>
      </c>
      <c r="C3361" t="s">
        <v>834</v>
      </c>
      <c r="D3361" t="s">
        <v>835</v>
      </c>
      <c r="E3361" t="s">
        <v>26</v>
      </c>
      <c r="F3361" t="s">
        <v>27</v>
      </c>
      <c r="G3361" t="s">
        <v>51</v>
      </c>
      <c r="H3361" t="s">
        <v>89</v>
      </c>
      <c r="I3361" t="s">
        <v>90</v>
      </c>
      <c r="J3361">
        <v>4</v>
      </c>
      <c r="K3361">
        <v>10500</v>
      </c>
      <c r="L3361">
        <v>0.15</v>
      </c>
      <c r="M3361">
        <v>35700</v>
      </c>
      <c r="N3361">
        <v>30400</v>
      </c>
      <c r="O3361">
        <v>5300</v>
      </c>
    </row>
    <row r="3362" spans="1:15" x14ac:dyDescent="0.25">
      <c r="A3362" t="s">
        <v>4427</v>
      </c>
      <c r="B3362" s="2">
        <v>49018</v>
      </c>
      <c r="C3362" t="s">
        <v>1623</v>
      </c>
      <c r="D3362" t="s">
        <v>1624</v>
      </c>
      <c r="E3362" t="s">
        <v>26</v>
      </c>
      <c r="F3362" t="s">
        <v>34</v>
      </c>
      <c r="G3362" t="s">
        <v>20</v>
      </c>
      <c r="H3362" t="s">
        <v>84</v>
      </c>
      <c r="I3362" t="s">
        <v>210</v>
      </c>
      <c r="J3362">
        <v>4</v>
      </c>
      <c r="K3362">
        <v>300</v>
      </c>
      <c r="L3362">
        <v>0.2</v>
      </c>
      <c r="M3362">
        <v>960</v>
      </c>
      <c r="N3362">
        <v>680</v>
      </c>
      <c r="O3362">
        <v>280</v>
      </c>
    </row>
    <row r="3363" spans="1:15" x14ac:dyDescent="0.25">
      <c r="A3363" t="s">
        <v>4428</v>
      </c>
      <c r="B3363" s="2">
        <v>49019</v>
      </c>
      <c r="C3363" t="s">
        <v>2002</v>
      </c>
      <c r="D3363" t="s">
        <v>2003</v>
      </c>
      <c r="E3363" t="s">
        <v>39</v>
      </c>
      <c r="F3363" t="s">
        <v>40</v>
      </c>
      <c r="G3363" t="s">
        <v>20</v>
      </c>
      <c r="H3363" t="s">
        <v>84</v>
      </c>
      <c r="I3363" t="s">
        <v>169</v>
      </c>
      <c r="J3363">
        <v>3</v>
      </c>
      <c r="K3363">
        <v>450</v>
      </c>
      <c r="L3363">
        <v>0.25</v>
      </c>
      <c r="M3363">
        <v>1012.5</v>
      </c>
      <c r="N3363">
        <v>780</v>
      </c>
      <c r="O3363">
        <v>232.5</v>
      </c>
    </row>
    <row r="3364" spans="1:15" x14ac:dyDescent="0.25">
      <c r="A3364" t="s">
        <v>4429</v>
      </c>
      <c r="B3364" s="2">
        <v>49020</v>
      </c>
      <c r="C3364" t="s">
        <v>259</v>
      </c>
      <c r="D3364" t="s">
        <v>260</v>
      </c>
      <c r="E3364" t="s">
        <v>39</v>
      </c>
      <c r="F3364" t="s">
        <v>76</v>
      </c>
      <c r="G3364" t="s">
        <v>51</v>
      </c>
      <c r="H3364" t="s">
        <v>21</v>
      </c>
      <c r="I3364" t="s">
        <v>116</v>
      </c>
      <c r="J3364">
        <v>4</v>
      </c>
      <c r="K3364">
        <v>1400</v>
      </c>
      <c r="L3364">
        <v>0.05</v>
      </c>
      <c r="M3364">
        <v>5320</v>
      </c>
      <c r="N3364">
        <v>3600</v>
      </c>
      <c r="O3364">
        <v>1720</v>
      </c>
    </row>
    <row r="3365" spans="1:15" x14ac:dyDescent="0.25">
      <c r="A3365" t="s">
        <v>4430</v>
      </c>
      <c r="B3365" s="2">
        <v>49021</v>
      </c>
      <c r="C3365" t="s">
        <v>781</v>
      </c>
      <c r="D3365" t="s">
        <v>782</v>
      </c>
      <c r="E3365" t="s">
        <v>96</v>
      </c>
      <c r="F3365" t="s">
        <v>200</v>
      </c>
      <c r="G3365" t="s">
        <v>20</v>
      </c>
      <c r="H3365" t="s">
        <v>84</v>
      </c>
      <c r="I3365" t="s">
        <v>169</v>
      </c>
      <c r="J3365">
        <v>3</v>
      </c>
      <c r="K3365">
        <v>450</v>
      </c>
      <c r="L3365">
        <v>0.25</v>
      </c>
      <c r="M3365">
        <v>1012.5</v>
      </c>
      <c r="N3365">
        <v>780</v>
      </c>
      <c r="O3365">
        <v>232.5</v>
      </c>
    </row>
    <row r="3366" spans="1:15" x14ac:dyDescent="0.25">
      <c r="A3366" t="s">
        <v>4431</v>
      </c>
      <c r="B3366" s="2">
        <v>49022</v>
      </c>
      <c r="C3366" t="s">
        <v>623</v>
      </c>
      <c r="D3366" t="s">
        <v>624</v>
      </c>
      <c r="E3366" t="s">
        <v>39</v>
      </c>
      <c r="F3366" t="s">
        <v>124</v>
      </c>
      <c r="G3366" t="s">
        <v>20</v>
      </c>
      <c r="H3366" t="s">
        <v>41</v>
      </c>
      <c r="I3366" t="s">
        <v>42</v>
      </c>
      <c r="J3366">
        <v>1</v>
      </c>
      <c r="K3366">
        <v>520</v>
      </c>
      <c r="L3366">
        <v>0.05</v>
      </c>
      <c r="M3366">
        <v>494</v>
      </c>
      <c r="N3366">
        <v>330</v>
      </c>
      <c r="O3366">
        <v>164</v>
      </c>
    </row>
    <row r="3367" spans="1:15" x14ac:dyDescent="0.25">
      <c r="A3367" t="s">
        <v>4432</v>
      </c>
      <c r="B3367" s="2">
        <v>49023</v>
      </c>
      <c r="C3367" t="s">
        <v>1920</v>
      </c>
      <c r="D3367" t="s">
        <v>1921</v>
      </c>
      <c r="E3367" t="s">
        <v>96</v>
      </c>
      <c r="F3367" t="s">
        <v>200</v>
      </c>
      <c r="G3367" t="s">
        <v>57</v>
      </c>
      <c r="H3367" t="s">
        <v>58</v>
      </c>
      <c r="I3367" t="s">
        <v>59</v>
      </c>
      <c r="J3367">
        <v>1</v>
      </c>
      <c r="K3367">
        <v>5600</v>
      </c>
      <c r="L3367">
        <v>0.05</v>
      </c>
      <c r="M3367">
        <v>5320</v>
      </c>
      <c r="N3367">
        <v>3900</v>
      </c>
      <c r="O3367">
        <v>1420</v>
      </c>
    </row>
    <row r="3368" spans="1:15" x14ac:dyDescent="0.25">
      <c r="A3368" t="s">
        <v>4433</v>
      </c>
      <c r="B3368" s="2">
        <v>49024</v>
      </c>
      <c r="C3368" t="s">
        <v>711</v>
      </c>
      <c r="D3368" t="s">
        <v>712</v>
      </c>
      <c r="E3368" t="s">
        <v>39</v>
      </c>
      <c r="F3368" t="s">
        <v>124</v>
      </c>
      <c r="G3368" t="s">
        <v>51</v>
      </c>
      <c r="H3368" t="s">
        <v>21</v>
      </c>
      <c r="I3368" t="s">
        <v>116</v>
      </c>
      <c r="J3368">
        <v>5</v>
      </c>
      <c r="K3368">
        <v>1400</v>
      </c>
      <c r="L3368">
        <v>0</v>
      </c>
      <c r="M3368">
        <v>7000</v>
      </c>
      <c r="N3368">
        <v>4500</v>
      </c>
      <c r="O3368">
        <v>2500</v>
      </c>
    </row>
    <row r="3369" spans="1:15" x14ac:dyDescent="0.25">
      <c r="A3369" t="s">
        <v>4434</v>
      </c>
      <c r="B3369" s="2">
        <v>49025</v>
      </c>
      <c r="C3369" t="s">
        <v>206</v>
      </c>
      <c r="D3369" t="s">
        <v>207</v>
      </c>
      <c r="E3369" t="s">
        <v>26</v>
      </c>
      <c r="F3369" t="s">
        <v>27</v>
      </c>
      <c r="G3369" t="s">
        <v>20</v>
      </c>
      <c r="H3369" t="s">
        <v>84</v>
      </c>
      <c r="I3369" t="s">
        <v>210</v>
      </c>
      <c r="J3369">
        <v>1</v>
      </c>
      <c r="K3369">
        <v>300</v>
      </c>
      <c r="L3369">
        <v>0.05</v>
      </c>
      <c r="M3369">
        <v>285</v>
      </c>
      <c r="N3369">
        <v>170</v>
      </c>
      <c r="O3369">
        <v>115</v>
      </c>
    </row>
    <row r="3370" spans="1:15" x14ac:dyDescent="0.25">
      <c r="A3370" t="s">
        <v>4435</v>
      </c>
      <c r="B3370" s="2">
        <v>49026</v>
      </c>
      <c r="C3370" t="s">
        <v>369</v>
      </c>
      <c r="D3370" t="s">
        <v>370</v>
      </c>
      <c r="E3370" t="s">
        <v>26</v>
      </c>
      <c r="F3370" t="s">
        <v>204</v>
      </c>
      <c r="G3370" t="s">
        <v>20</v>
      </c>
      <c r="H3370" t="s">
        <v>41</v>
      </c>
      <c r="I3370" t="s">
        <v>42</v>
      </c>
      <c r="J3370">
        <v>3</v>
      </c>
      <c r="K3370">
        <v>520</v>
      </c>
      <c r="L3370">
        <v>0.05</v>
      </c>
      <c r="M3370">
        <v>1482</v>
      </c>
      <c r="N3370">
        <v>990</v>
      </c>
      <c r="O3370">
        <v>492</v>
      </c>
    </row>
    <row r="3371" spans="1:15" x14ac:dyDescent="0.25">
      <c r="A3371" t="s">
        <v>4436</v>
      </c>
      <c r="B3371" s="2">
        <v>49027</v>
      </c>
      <c r="C3371" t="s">
        <v>369</v>
      </c>
      <c r="D3371" t="s">
        <v>370</v>
      </c>
      <c r="E3371" t="s">
        <v>26</v>
      </c>
      <c r="F3371" t="s">
        <v>46</v>
      </c>
      <c r="G3371" t="s">
        <v>51</v>
      </c>
      <c r="H3371" t="s">
        <v>21</v>
      </c>
      <c r="I3371" t="s">
        <v>80</v>
      </c>
      <c r="J3371">
        <v>5</v>
      </c>
      <c r="K3371">
        <v>850</v>
      </c>
      <c r="L3371">
        <v>0.1</v>
      </c>
      <c r="M3371">
        <v>3825</v>
      </c>
      <c r="N3371">
        <v>2800</v>
      </c>
      <c r="O3371">
        <v>1025</v>
      </c>
    </row>
    <row r="3372" spans="1:15" x14ac:dyDescent="0.25">
      <c r="A3372" t="s">
        <v>4437</v>
      </c>
      <c r="B3372" s="2">
        <v>49028</v>
      </c>
      <c r="C3372" t="s">
        <v>821</v>
      </c>
      <c r="D3372" t="s">
        <v>822</v>
      </c>
      <c r="E3372" t="s">
        <v>96</v>
      </c>
      <c r="F3372" t="s">
        <v>120</v>
      </c>
      <c r="G3372" t="s">
        <v>20</v>
      </c>
      <c r="H3372" t="s">
        <v>84</v>
      </c>
      <c r="I3372" t="s">
        <v>169</v>
      </c>
      <c r="J3372">
        <v>2</v>
      </c>
      <c r="K3372">
        <v>450</v>
      </c>
      <c r="L3372">
        <v>0.05</v>
      </c>
      <c r="M3372">
        <v>855</v>
      </c>
      <c r="N3372">
        <v>520</v>
      </c>
      <c r="O3372">
        <v>335</v>
      </c>
    </row>
    <row r="3373" spans="1:15" x14ac:dyDescent="0.25">
      <c r="A3373" t="s">
        <v>4438</v>
      </c>
      <c r="B3373" s="2">
        <v>49029</v>
      </c>
      <c r="C3373" t="s">
        <v>396</v>
      </c>
      <c r="D3373" t="s">
        <v>397</v>
      </c>
      <c r="E3373" t="s">
        <v>26</v>
      </c>
      <c r="F3373" t="s">
        <v>27</v>
      </c>
      <c r="G3373" t="s">
        <v>20</v>
      </c>
      <c r="H3373" t="s">
        <v>41</v>
      </c>
      <c r="I3373" t="s">
        <v>42</v>
      </c>
      <c r="J3373">
        <v>3</v>
      </c>
      <c r="K3373">
        <v>520</v>
      </c>
      <c r="L3373">
        <v>0</v>
      </c>
      <c r="M3373">
        <v>1560</v>
      </c>
      <c r="N3373">
        <v>990</v>
      </c>
      <c r="O3373">
        <v>570</v>
      </c>
    </row>
    <row r="3374" spans="1:15" x14ac:dyDescent="0.25">
      <c r="A3374" t="s">
        <v>4439</v>
      </c>
      <c r="B3374" s="2">
        <v>49030</v>
      </c>
      <c r="C3374" t="s">
        <v>585</v>
      </c>
      <c r="D3374" t="s">
        <v>586</v>
      </c>
      <c r="E3374" t="s">
        <v>96</v>
      </c>
      <c r="F3374" t="s">
        <v>200</v>
      </c>
      <c r="G3374" t="s">
        <v>28</v>
      </c>
      <c r="H3374" t="s">
        <v>29</v>
      </c>
      <c r="I3374" t="s">
        <v>47</v>
      </c>
      <c r="J3374">
        <v>2</v>
      </c>
      <c r="K3374">
        <v>6800</v>
      </c>
      <c r="L3374">
        <v>0.05</v>
      </c>
      <c r="M3374">
        <v>12920</v>
      </c>
      <c r="N3374">
        <v>9400</v>
      </c>
      <c r="O3374">
        <v>3520</v>
      </c>
    </row>
    <row r="3375" spans="1:15" x14ac:dyDescent="0.25">
      <c r="A3375" t="s">
        <v>4440</v>
      </c>
      <c r="B3375" s="2">
        <v>49031</v>
      </c>
      <c r="C3375" t="s">
        <v>980</v>
      </c>
      <c r="D3375" t="s">
        <v>981</v>
      </c>
      <c r="E3375" t="s">
        <v>18</v>
      </c>
      <c r="F3375" t="s">
        <v>227</v>
      </c>
      <c r="G3375" t="s">
        <v>28</v>
      </c>
      <c r="H3375" t="s">
        <v>29</v>
      </c>
      <c r="I3375" t="s">
        <v>47</v>
      </c>
      <c r="J3375">
        <v>2</v>
      </c>
      <c r="K3375">
        <v>6800</v>
      </c>
      <c r="L3375">
        <v>0.25</v>
      </c>
      <c r="M3375">
        <v>10200</v>
      </c>
      <c r="N3375">
        <v>9400</v>
      </c>
      <c r="O3375">
        <v>800</v>
      </c>
    </row>
    <row r="3376" spans="1:15" x14ac:dyDescent="0.25">
      <c r="A3376" t="s">
        <v>4441</v>
      </c>
      <c r="B3376" s="2">
        <v>49032</v>
      </c>
      <c r="C3376" t="s">
        <v>918</v>
      </c>
      <c r="D3376" t="s">
        <v>919</v>
      </c>
      <c r="E3376" t="s">
        <v>26</v>
      </c>
      <c r="F3376" t="s">
        <v>34</v>
      </c>
      <c r="G3376" t="s">
        <v>57</v>
      </c>
      <c r="H3376" t="s">
        <v>58</v>
      </c>
      <c r="I3376" t="s">
        <v>129</v>
      </c>
      <c r="J3376">
        <v>5</v>
      </c>
      <c r="K3376">
        <v>4800</v>
      </c>
      <c r="L3376">
        <v>0.15</v>
      </c>
      <c r="M3376">
        <v>20400</v>
      </c>
      <c r="N3376">
        <v>16500</v>
      </c>
      <c r="O3376">
        <v>3900</v>
      </c>
    </row>
    <row r="3377" spans="1:15" x14ac:dyDescent="0.25">
      <c r="A3377" t="s">
        <v>4442</v>
      </c>
      <c r="B3377" s="2">
        <v>49033</v>
      </c>
      <c r="C3377" t="s">
        <v>2785</v>
      </c>
      <c r="D3377" t="s">
        <v>2786</v>
      </c>
      <c r="E3377" t="s">
        <v>39</v>
      </c>
      <c r="F3377" t="s">
        <v>40</v>
      </c>
      <c r="G3377" t="s">
        <v>51</v>
      </c>
      <c r="H3377" t="s">
        <v>21</v>
      </c>
      <c r="I3377" t="s">
        <v>80</v>
      </c>
      <c r="J3377">
        <v>3</v>
      </c>
      <c r="K3377">
        <v>850</v>
      </c>
      <c r="L3377">
        <v>0.25</v>
      </c>
      <c r="M3377">
        <v>1912.5</v>
      </c>
      <c r="N3377">
        <v>1680</v>
      </c>
      <c r="O3377">
        <v>232.5</v>
      </c>
    </row>
    <row r="3378" spans="1:15" x14ac:dyDescent="0.25">
      <c r="A3378" t="s">
        <v>4443</v>
      </c>
      <c r="B3378" s="2">
        <v>49034</v>
      </c>
      <c r="C3378" t="s">
        <v>1384</v>
      </c>
      <c r="D3378" t="s">
        <v>1385</v>
      </c>
      <c r="E3378" t="s">
        <v>39</v>
      </c>
      <c r="F3378" t="s">
        <v>124</v>
      </c>
      <c r="G3378" t="s">
        <v>51</v>
      </c>
      <c r="H3378" t="s">
        <v>89</v>
      </c>
      <c r="I3378" t="s">
        <v>90</v>
      </c>
      <c r="J3378">
        <v>3</v>
      </c>
      <c r="K3378">
        <v>10500</v>
      </c>
      <c r="L3378">
        <v>0</v>
      </c>
      <c r="M3378">
        <v>31500</v>
      </c>
      <c r="N3378">
        <v>22800</v>
      </c>
      <c r="O3378">
        <v>8700</v>
      </c>
    </row>
    <row r="3379" spans="1:15" x14ac:dyDescent="0.25">
      <c r="A3379" t="s">
        <v>4444</v>
      </c>
      <c r="B3379" s="2">
        <v>49035</v>
      </c>
      <c r="C3379" t="s">
        <v>3602</v>
      </c>
      <c r="D3379" t="s">
        <v>3603</v>
      </c>
      <c r="E3379" t="s">
        <v>96</v>
      </c>
      <c r="F3379" t="s">
        <v>200</v>
      </c>
      <c r="G3379" t="s">
        <v>20</v>
      </c>
      <c r="H3379" t="s">
        <v>84</v>
      </c>
      <c r="I3379" t="s">
        <v>210</v>
      </c>
      <c r="J3379">
        <v>4</v>
      </c>
      <c r="K3379">
        <v>300</v>
      </c>
      <c r="L3379">
        <v>0.2</v>
      </c>
      <c r="M3379">
        <v>960</v>
      </c>
      <c r="N3379">
        <v>680</v>
      </c>
      <c r="O3379">
        <v>280</v>
      </c>
    </row>
    <row r="3380" spans="1:15" x14ac:dyDescent="0.25">
      <c r="A3380" t="s">
        <v>4445</v>
      </c>
      <c r="B3380" s="2">
        <v>49036</v>
      </c>
      <c r="C3380" t="s">
        <v>1629</v>
      </c>
      <c r="D3380" t="s">
        <v>1630</v>
      </c>
      <c r="E3380" t="s">
        <v>96</v>
      </c>
      <c r="F3380" t="s">
        <v>97</v>
      </c>
      <c r="G3380" t="s">
        <v>57</v>
      </c>
      <c r="H3380" t="s">
        <v>58</v>
      </c>
      <c r="I3380" t="s">
        <v>59</v>
      </c>
      <c r="J3380">
        <v>4</v>
      </c>
      <c r="K3380">
        <v>5600</v>
      </c>
      <c r="L3380">
        <v>0</v>
      </c>
      <c r="M3380">
        <v>22400</v>
      </c>
      <c r="N3380">
        <v>15600</v>
      </c>
      <c r="O3380">
        <v>6800</v>
      </c>
    </row>
    <row r="3381" spans="1:15" x14ac:dyDescent="0.25">
      <c r="A3381" t="s">
        <v>4446</v>
      </c>
      <c r="B3381" s="2">
        <v>49037</v>
      </c>
      <c r="C3381" t="s">
        <v>652</v>
      </c>
      <c r="D3381" t="s">
        <v>653</v>
      </c>
      <c r="E3381" t="s">
        <v>96</v>
      </c>
      <c r="F3381" t="s">
        <v>200</v>
      </c>
      <c r="G3381" t="s">
        <v>28</v>
      </c>
      <c r="H3381" t="s">
        <v>63</v>
      </c>
      <c r="I3381" t="s">
        <v>64</v>
      </c>
      <c r="J3381">
        <v>3</v>
      </c>
      <c r="K3381">
        <v>2400</v>
      </c>
      <c r="L3381">
        <v>0.1</v>
      </c>
      <c r="M3381">
        <v>6480</v>
      </c>
      <c r="N3381">
        <v>4950</v>
      </c>
      <c r="O3381">
        <v>1530</v>
      </c>
    </row>
    <row r="3382" spans="1:15" x14ac:dyDescent="0.25">
      <c r="A3382" t="s">
        <v>4447</v>
      </c>
      <c r="B3382" s="2">
        <v>49038</v>
      </c>
      <c r="C3382" t="s">
        <v>813</v>
      </c>
      <c r="D3382" t="s">
        <v>814</v>
      </c>
      <c r="E3382" t="s">
        <v>96</v>
      </c>
      <c r="F3382" t="s">
        <v>120</v>
      </c>
      <c r="G3382" t="s">
        <v>51</v>
      </c>
      <c r="H3382" t="s">
        <v>52</v>
      </c>
      <c r="I3382" t="s">
        <v>53</v>
      </c>
      <c r="J3382">
        <v>3</v>
      </c>
      <c r="K3382">
        <v>2200</v>
      </c>
      <c r="L3382">
        <v>0.05</v>
      </c>
      <c r="M3382">
        <v>6270</v>
      </c>
      <c r="N3382">
        <v>4350</v>
      </c>
      <c r="O3382">
        <v>1920</v>
      </c>
    </row>
    <row r="3383" spans="1:15" x14ac:dyDescent="0.25">
      <c r="A3383" t="s">
        <v>4448</v>
      </c>
      <c r="B3383" s="2">
        <v>49039</v>
      </c>
      <c r="C3383" t="s">
        <v>2031</v>
      </c>
      <c r="D3383" t="s">
        <v>2032</v>
      </c>
      <c r="E3383" t="s">
        <v>26</v>
      </c>
      <c r="F3383" t="s">
        <v>46</v>
      </c>
      <c r="G3383" t="s">
        <v>28</v>
      </c>
      <c r="H3383" t="s">
        <v>29</v>
      </c>
      <c r="I3383" t="s">
        <v>47</v>
      </c>
      <c r="J3383">
        <v>4</v>
      </c>
      <c r="K3383">
        <v>6800</v>
      </c>
      <c r="L3383">
        <v>0</v>
      </c>
      <c r="M3383">
        <v>27200</v>
      </c>
      <c r="N3383">
        <v>18800</v>
      </c>
      <c r="O3383">
        <v>8400</v>
      </c>
    </row>
    <row r="3384" spans="1:15" x14ac:dyDescent="0.25">
      <c r="A3384" t="s">
        <v>4449</v>
      </c>
      <c r="B3384" s="2">
        <v>49040</v>
      </c>
      <c r="C3384" t="s">
        <v>323</v>
      </c>
      <c r="D3384" t="s">
        <v>324</v>
      </c>
      <c r="E3384" t="s">
        <v>26</v>
      </c>
      <c r="F3384" t="s">
        <v>34</v>
      </c>
      <c r="G3384" t="s">
        <v>51</v>
      </c>
      <c r="H3384" t="s">
        <v>89</v>
      </c>
      <c r="I3384" t="s">
        <v>90</v>
      </c>
      <c r="J3384">
        <v>3</v>
      </c>
      <c r="K3384">
        <v>10500</v>
      </c>
      <c r="L3384">
        <v>0.15</v>
      </c>
      <c r="M3384">
        <v>26775</v>
      </c>
      <c r="N3384">
        <v>22800</v>
      </c>
      <c r="O3384">
        <v>3975</v>
      </c>
    </row>
    <row r="3385" spans="1:15" x14ac:dyDescent="0.25">
      <c r="A3385" t="s">
        <v>4450</v>
      </c>
      <c r="B3385" s="2">
        <v>49041</v>
      </c>
      <c r="C3385" t="s">
        <v>902</v>
      </c>
      <c r="D3385" t="s">
        <v>903</v>
      </c>
      <c r="E3385" t="s">
        <v>26</v>
      </c>
      <c r="F3385" t="s">
        <v>204</v>
      </c>
      <c r="G3385" t="s">
        <v>51</v>
      </c>
      <c r="H3385" t="s">
        <v>21</v>
      </c>
      <c r="I3385" t="s">
        <v>72</v>
      </c>
      <c r="J3385">
        <v>2</v>
      </c>
      <c r="K3385">
        <v>1800</v>
      </c>
      <c r="L3385">
        <v>0.15</v>
      </c>
      <c r="M3385">
        <v>3060</v>
      </c>
      <c r="N3385">
        <v>2200</v>
      </c>
      <c r="O3385">
        <v>860</v>
      </c>
    </row>
    <row r="3386" spans="1:15" x14ac:dyDescent="0.25">
      <c r="A3386" t="s">
        <v>4451</v>
      </c>
      <c r="B3386" s="2">
        <v>49042</v>
      </c>
      <c r="C3386" t="s">
        <v>327</v>
      </c>
      <c r="D3386" t="s">
        <v>328</v>
      </c>
      <c r="E3386" t="s">
        <v>26</v>
      </c>
      <c r="F3386" t="s">
        <v>46</v>
      </c>
      <c r="G3386" t="s">
        <v>51</v>
      </c>
      <c r="H3386" t="s">
        <v>21</v>
      </c>
      <c r="I3386" t="s">
        <v>72</v>
      </c>
      <c r="J3386">
        <v>1</v>
      </c>
      <c r="K3386">
        <v>1800</v>
      </c>
      <c r="L3386">
        <v>0.15</v>
      </c>
      <c r="M3386">
        <v>1530</v>
      </c>
      <c r="N3386">
        <v>1100</v>
      </c>
      <c r="O3386">
        <v>430</v>
      </c>
    </row>
    <row r="3387" spans="1:15" x14ac:dyDescent="0.25">
      <c r="A3387" t="s">
        <v>4452</v>
      </c>
      <c r="B3387" s="2">
        <v>49043</v>
      </c>
      <c r="C3387" t="s">
        <v>1186</v>
      </c>
      <c r="D3387" t="s">
        <v>1187</v>
      </c>
      <c r="E3387" t="s">
        <v>39</v>
      </c>
      <c r="F3387" t="s">
        <v>124</v>
      </c>
      <c r="G3387" t="s">
        <v>20</v>
      </c>
      <c r="H3387" t="s">
        <v>84</v>
      </c>
      <c r="I3387" t="s">
        <v>169</v>
      </c>
      <c r="J3387">
        <v>1</v>
      </c>
      <c r="K3387">
        <v>450</v>
      </c>
      <c r="L3387">
        <v>0.05</v>
      </c>
      <c r="M3387">
        <v>427.5</v>
      </c>
      <c r="N3387">
        <v>260</v>
      </c>
      <c r="O3387">
        <v>167.5</v>
      </c>
    </row>
    <row r="3388" spans="1:15" x14ac:dyDescent="0.25">
      <c r="A3388" t="s">
        <v>4453</v>
      </c>
      <c r="B3388" s="2">
        <v>49044</v>
      </c>
      <c r="C3388" t="s">
        <v>757</v>
      </c>
      <c r="D3388" t="s">
        <v>758</v>
      </c>
      <c r="E3388" t="s">
        <v>26</v>
      </c>
      <c r="F3388" t="s">
        <v>27</v>
      </c>
      <c r="G3388" t="s">
        <v>57</v>
      </c>
      <c r="H3388" t="s">
        <v>58</v>
      </c>
      <c r="I3388" t="s">
        <v>129</v>
      </c>
      <c r="J3388">
        <v>3</v>
      </c>
      <c r="K3388">
        <v>4800</v>
      </c>
      <c r="L3388">
        <v>0</v>
      </c>
      <c r="M3388">
        <v>14400</v>
      </c>
      <c r="N3388">
        <v>9900</v>
      </c>
      <c r="O3388">
        <v>4500</v>
      </c>
    </row>
    <row r="3389" spans="1:15" x14ac:dyDescent="0.25">
      <c r="A3389" t="s">
        <v>4454</v>
      </c>
      <c r="B3389" s="2">
        <v>49045</v>
      </c>
      <c r="C3389" t="s">
        <v>1932</v>
      </c>
      <c r="D3389" t="s">
        <v>1933</v>
      </c>
      <c r="E3389" t="s">
        <v>18</v>
      </c>
      <c r="F3389" t="s">
        <v>227</v>
      </c>
      <c r="G3389" t="s">
        <v>51</v>
      </c>
      <c r="H3389" t="s">
        <v>21</v>
      </c>
      <c r="I3389" t="s">
        <v>72</v>
      </c>
      <c r="J3389">
        <v>2</v>
      </c>
      <c r="K3389">
        <v>1800</v>
      </c>
      <c r="L3389">
        <v>0.1</v>
      </c>
      <c r="M3389">
        <v>3240</v>
      </c>
      <c r="N3389">
        <v>2200</v>
      </c>
      <c r="O3389">
        <v>1040</v>
      </c>
    </row>
    <row r="3390" spans="1:15" x14ac:dyDescent="0.25">
      <c r="A3390" t="s">
        <v>4455</v>
      </c>
      <c r="B3390" s="2">
        <v>49046</v>
      </c>
      <c r="C3390" t="s">
        <v>1940</v>
      </c>
      <c r="D3390" t="s">
        <v>1941</v>
      </c>
      <c r="E3390" t="s">
        <v>96</v>
      </c>
      <c r="F3390" t="s">
        <v>196</v>
      </c>
      <c r="G3390" t="s">
        <v>28</v>
      </c>
      <c r="H3390" t="s">
        <v>29</v>
      </c>
      <c r="I3390" t="s">
        <v>30</v>
      </c>
      <c r="J3390">
        <v>3</v>
      </c>
      <c r="K3390">
        <v>1900</v>
      </c>
      <c r="L3390">
        <v>0.15</v>
      </c>
      <c r="M3390">
        <v>4845</v>
      </c>
      <c r="N3390">
        <v>3750</v>
      </c>
      <c r="O3390">
        <v>1095</v>
      </c>
    </row>
    <row r="3391" spans="1:15" x14ac:dyDescent="0.25">
      <c r="A3391" t="s">
        <v>4456</v>
      </c>
      <c r="B3391" s="2">
        <v>49047</v>
      </c>
      <c r="C3391" t="s">
        <v>265</v>
      </c>
      <c r="D3391" t="s">
        <v>266</v>
      </c>
      <c r="E3391" t="s">
        <v>18</v>
      </c>
      <c r="F3391" t="s">
        <v>115</v>
      </c>
      <c r="G3391" t="s">
        <v>20</v>
      </c>
      <c r="H3391" t="s">
        <v>84</v>
      </c>
      <c r="I3391" t="s">
        <v>85</v>
      </c>
      <c r="J3391">
        <v>5</v>
      </c>
      <c r="K3391">
        <v>280</v>
      </c>
      <c r="L3391">
        <v>0.1</v>
      </c>
      <c r="M3391">
        <v>1260</v>
      </c>
      <c r="N3391">
        <v>800</v>
      </c>
      <c r="O3391">
        <v>460</v>
      </c>
    </row>
    <row r="3392" spans="1:15" x14ac:dyDescent="0.25">
      <c r="A3392" t="s">
        <v>4457</v>
      </c>
      <c r="B3392" s="2">
        <v>49048</v>
      </c>
      <c r="C3392" t="s">
        <v>110</v>
      </c>
      <c r="D3392" t="s">
        <v>111</v>
      </c>
      <c r="E3392" t="s">
        <v>26</v>
      </c>
      <c r="F3392" t="s">
        <v>27</v>
      </c>
      <c r="G3392" t="s">
        <v>20</v>
      </c>
      <c r="H3392" t="s">
        <v>84</v>
      </c>
      <c r="I3392" t="s">
        <v>85</v>
      </c>
      <c r="J3392">
        <v>3</v>
      </c>
      <c r="K3392">
        <v>280</v>
      </c>
      <c r="L3392">
        <v>0.2</v>
      </c>
      <c r="M3392">
        <v>672</v>
      </c>
      <c r="N3392">
        <v>480</v>
      </c>
      <c r="O3392">
        <v>192</v>
      </c>
    </row>
    <row r="3393" spans="1:15" x14ac:dyDescent="0.25">
      <c r="A3393" t="s">
        <v>4458</v>
      </c>
      <c r="B3393" s="2">
        <v>49049</v>
      </c>
      <c r="C3393" t="s">
        <v>408</v>
      </c>
      <c r="D3393" t="s">
        <v>409</v>
      </c>
      <c r="E3393" t="s">
        <v>96</v>
      </c>
      <c r="F3393" t="s">
        <v>120</v>
      </c>
      <c r="G3393" t="s">
        <v>20</v>
      </c>
      <c r="H3393" t="s">
        <v>84</v>
      </c>
      <c r="I3393" t="s">
        <v>210</v>
      </c>
      <c r="J3393">
        <v>3</v>
      </c>
      <c r="K3393">
        <v>300</v>
      </c>
      <c r="L3393">
        <v>0.1</v>
      </c>
      <c r="M3393">
        <v>810</v>
      </c>
      <c r="N3393">
        <v>510</v>
      </c>
      <c r="O3393">
        <v>300</v>
      </c>
    </row>
    <row r="3394" spans="1:15" x14ac:dyDescent="0.25">
      <c r="A3394" t="s">
        <v>4459</v>
      </c>
      <c r="B3394" s="2">
        <v>49050</v>
      </c>
      <c r="C3394" t="s">
        <v>1494</v>
      </c>
      <c r="D3394" t="s">
        <v>1495</v>
      </c>
      <c r="E3394" t="s">
        <v>39</v>
      </c>
      <c r="F3394" t="s">
        <v>124</v>
      </c>
      <c r="G3394" t="s">
        <v>57</v>
      </c>
      <c r="H3394" t="s">
        <v>58</v>
      </c>
      <c r="I3394" t="s">
        <v>129</v>
      </c>
      <c r="J3394">
        <v>4</v>
      </c>
      <c r="K3394">
        <v>4800</v>
      </c>
      <c r="L3394">
        <v>0.15</v>
      </c>
      <c r="M3394">
        <v>16320</v>
      </c>
      <c r="N3394">
        <v>13200</v>
      </c>
      <c r="O3394">
        <v>3120</v>
      </c>
    </row>
    <row r="3395" spans="1:15" x14ac:dyDescent="0.25">
      <c r="A3395" t="s">
        <v>4460</v>
      </c>
      <c r="B3395" s="2">
        <v>49051</v>
      </c>
      <c r="C3395" t="s">
        <v>784</v>
      </c>
      <c r="D3395" t="s">
        <v>785</v>
      </c>
      <c r="E3395" t="s">
        <v>26</v>
      </c>
      <c r="F3395" t="s">
        <v>204</v>
      </c>
      <c r="G3395" t="s">
        <v>57</v>
      </c>
      <c r="H3395" t="s">
        <v>104</v>
      </c>
      <c r="I3395" t="s">
        <v>105</v>
      </c>
      <c r="J3395">
        <v>5</v>
      </c>
      <c r="K3395">
        <v>7500</v>
      </c>
      <c r="L3395">
        <v>0.25</v>
      </c>
      <c r="M3395">
        <v>28125</v>
      </c>
      <c r="N3395">
        <v>26000</v>
      </c>
      <c r="O3395">
        <v>2125</v>
      </c>
    </row>
    <row r="3396" spans="1:15" x14ac:dyDescent="0.25">
      <c r="A3396" t="s">
        <v>4461</v>
      </c>
      <c r="B3396" s="2">
        <v>49052</v>
      </c>
      <c r="C3396" t="s">
        <v>1031</v>
      </c>
      <c r="D3396" t="s">
        <v>1032</v>
      </c>
      <c r="E3396" t="s">
        <v>39</v>
      </c>
      <c r="F3396" t="s">
        <v>76</v>
      </c>
      <c r="G3396" t="s">
        <v>57</v>
      </c>
      <c r="H3396" t="s">
        <v>188</v>
      </c>
      <c r="I3396" t="s">
        <v>189</v>
      </c>
      <c r="J3396">
        <v>3</v>
      </c>
      <c r="K3396">
        <v>6200</v>
      </c>
      <c r="L3396">
        <v>0</v>
      </c>
      <c r="M3396">
        <v>18600</v>
      </c>
      <c r="N3396">
        <v>12900</v>
      </c>
      <c r="O3396">
        <v>5700</v>
      </c>
    </row>
    <row r="3397" spans="1:15" x14ac:dyDescent="0.25">
      <c r="A3397" t="s">
        <v>4462</v>
      </c>
      <c r="B3397" s="2">
        <v>49053</v>
      </c>
      <c r="C3397" t="s">
        <v>2374</v>
      </c>
      <c r="D3397" t="s">
        <v>2375</v>
      </c>
      <c r="E3397" t="s">
        <v>18</v>
      </c>
      <c r="F3397" t="s">
        <v>227</v>
      </c>
      <c r="G3397" t="s">
        <v>20</v>
      </c>
      <c r="H3397" t="s">
        <v>41</v>
      </c>
      <c r="I3397" t="s">
        <v>42</v>
      </c>
      <c r="J3397">
        <v>2</v>
      </c>
      <c r="K3397">
        <v>520</v>
      </c>
      <c r="L3397">
        <v>0.15</v>
      </c>
      <c r="M3397">
        <v>884</v>
      </c>
      <c r="N3397">
        <v>660</v>
      </c>
      <c r="O3397">
        <v>224</v>
      </c>
    </row>
    <row r="3398" spans="1:15" x14ac:dyDescent="0.25">
      <c r="A3398" t="s">
        <v>4463</v>
      </c>
      <c r="B3398" s="2">
        <v>49054</v>
      </c>
      <c r="C3398" t="s">
        <v>573</v>
      </c>
      <c r="D3398" t="s">
        <v>574</v>
      </c>
      <c r="E3398" t="s">
        <v>39</v>
      </c>
      <c r="F3398" t="s">
        <v>76</v>
      </c>
      <c r="G3398" t="s">
        <v>20</v>
      </c>
      <c r="H3398" t="s">
        <v>21</v>
      </c>
      <c r="I3398" t="s">
        <v>22</v>
      </c>
      <c r="J3398">
        <v>3</v>
      </c>
      <c r="K3398">
        <v>650</v>
      </c>
      <c r="L3398">
        <v>0.15</v>
      </c>
      <c r="M3398">
        <v>1657.5</v>
      </c>
      <c r="N3398">
        <v>1170</v>
      </c>
      <c r="O3398">
        <v>487.5</v>
      </c>
    </row>
    <row r="3399" spans="1:15" x14ac:dyDescent="0.25">
      <c r="A3399" t="s">
        <v>4464</v>
      </c>
      <c r="B3399" s="2">
        <v>49055</v>
      </c>
      <c r="C3399" t="s">
        <v>216</v>
      </c>
      <c r="D3399" t="s">
        <v>217</v>
      </c>
      <c r="E3399" t="s">
        <v>26</v>
      </c>
      <c r="F3399" t="s">
        <v>34</v>
      </c>
      <c r="G3399" t="s">
        <v>51</v>
      </c>
      <c r="H3399" t="s">
        <v>89</v>
      </c>
      <c r="I3399" t="s">
        <v>90</v>
      </c>
      <c r="J3399">
        <v>4</v>
      </c>
      <c r="K3399">
        <v>10500</v>
      </c>
      <c r="L3399">
        <v>0.2</v>
      </c>
      <c r="M3399">
        <v>33600</v>
      </c>
      <c r="N3399">
        <v>30400</v>
      </c>
      <c r="O3399">
        <v>3200</v>
      </c>
    </row>
    <row r="3400" spans="1:15" x14ac:dyDescent="0.25">
      <c r="A3400" t="s">
        <v>4465</v>
      </c>
      <c r="B3400" s="2">
        <v>49056</v>
      </c>
      <c r="C3400" t="s">
        <v>219</v>
      </c>
      <c r="D3400" t="s">
        <v>220</v>
      </c>
      <c r="E3400" t="s">
        <v>96</v>
      </c>
      <c r="F3400" t="s">
        <v>200</v>
      </c>
      <c r="G3400" t="s">
        <v>51</v>
      </c>
      <c r="H3400" t="s">
        <v>52</v>
      </c>
      <c r="I3400" t="s">
        <v>208</v>
      </c>
      <c r="J3400">
        <v>4</v>
      </c>
      <c r="K3400">
        <v>2800</v>
      </c>
      <c r="L3400">
        <v>0.15</v>
      </c>
      <c r="M3400">
        <v>9520</v>
      </c>
      <c r="N3400">
        <v>7200</v>
      </c>
      <c r="O3400">
        <v>2320</v>
      </c>
    </row>
    <row r="3401" spans="1:15" x14ac:dyDescent="0.25">
      <c r="A3401" t="s">
        <v>4466</v>
      </c>
      <c r="B3401" s="2">
        <v>49057</v>
      </c>
      <c r="C3401" t="s">
        <v>66</v>
      </c>
      <c r="D3401" t="s">
        <v>67</v>
      </c>
      <c r="E3401" t="s">
        <v>26</v>
      </c>
      <c r="F3401" t="s">
        <v>128</v>
      </c>
      <c r="G3401" t="s">
        <v>51</v>
      </c>
      <c r="H3401" t="s">
        <v>21</v>
      </c>
      <c r="I3401" t="s">
        <v>116</v>
      </c>
      <c r="J3401">
        <v>2</v>
      </c>
      <c r="K3401">
        <v>1400</v>
      </c>
      <c r="L3401">
        <v>0.15</v>
      </c>
      <c r="M3401">
        <v>2380</v>
      </c>
      <c r="N3401">
        <v>1800</v>
      </c>
      <c r="O3401">
        <v>580</v>
      </c>
    </row>
    <row r="3402" spans="1:15" x14ac:dyDescent="0.25">
      <c r="A3402" t="s">
        <v>4467</v>
      </c>
      <c r="B3402" s="2">
        <v>49058</v>
      </c>
      <c r="C3402" t="s">
        <v>969</v>
      </c>
      <c r="D3402" t="s">
        <v>970</v>
      </c>
      <c r="E3402" t="s">
        <v>39</v>
      </c>
      <c r="F3402" t="s">
        <v>71</v>
      </c>
      <c r="G3402" t="s">
        <v>57</v>
      </c>
      <c r="H3402" t="s">
        <v>188</v>
      </c>
      <c r="I3402" t="s">
        <v>189</v>
      </c>
      <c r="J3402">
        <v>4</v>
      </c>
      <c r="K3402">
        <v>6200</v>
      </c>
      <c r="L3402">
        <v>0.05</v>
      </c>
      <c r="M3402">
        <v>23560</v>
      </c>
      <c r="N3402">
        <v>17200</v>
      </c>
      <c r="O3402">
        <v>6360</v>
      </c>
    </row>
    <row r="3403" spans="1:15" x14ac:dyDescent="0.25">
      <c r="A3403" t="s">
        <v>4468</v>
      </c>
      <c r="B3403" s="2">
        <v>49059</v>
      </c>
      <c r="C3403" t="s">
        <v>2760</v>
      </c>
      <c r="D3403" t="s">
        <v>2761</v>
      </c>
      <c r="E3403" t="s">
        <v>18</v>
      </c>
      <c r="F3403" t="s">
        <v>19</v>
      </c>
      <c r="G3403" t="s">
        <v>57</v>
      </c>
      <c r="H3403" t="s">
        <v>104</v>
      </c>
      <c r="I3403" t="s">
        <v>105</v>
      </c>
      <c r="J3403">
        <v>2</v>
      </c>
      <c r="K3403">
        <v>7500</v>
      </c>
      <c r="L3403">
        <v>0.2</v>
      </c>
      <c r="M3403">
        <v>12000</v>
      </c>
      <c r="N3403">
        <v>10400</v>
      </c>
      <c r="O3403">
        <v>1600</v>
      </c>
    </row>
    <row r="3404" spans="1:15" x14ac:dyDescent="0.25">
      <c r="A3404" t="s">
        <v>4469</v>
      </c>
      <c r="B3404" s="2">
        <v>49060</v>
      </c>
      <c r="C3404" t="s">
        <v>1089</v>
      </c>
      <c r="D3404" t="s">
        <v>1090</v>
      </c>
      <c r="E3404" t="s">
        <v>96</v>
      </c>
      <c r="F3404" t="s">
        <v>200</v>
      </c>
      <c r="G3404" t="s">
        <v>28</v>
      </c>
      <c r="H3404" t="s">
        <v>63</v>
      </c>
      <c r="I3404" t="s">
        <v>64</v>
      </c>
      <c r="J3404">
        <v>1</v>
      </c>
      <c r="K3404">
        <v>2400</v>
      </c>
      <c r="L3404">
        <v>0.15</v>
      </c>
      <c r="M3404">
        <v>2040</v>
      </c>
      <c r="N3404">
        <v>1650</v>
      </c>
      <c r="O3404">
        <v>390</v>
      </c>
    </row>
    <row r="3405" spans="1:15" x14ac:dyDescent="0.25">
      <c r="A3405" t="s">
        <v>4470</v>
      </c>
      <c r="B3405" s="2">
        <v>49061</v>
      </c>
      <c r="C3405" t="s">
        <v>753</v>
      </c>
      <c r="D3405" t="s">
        <v>754</v>
      </c>
      <c r="E3405" t="s">
        <v>39</v>
      </c>
      <c r="F3405" t="s">
        <v>71</v>
      </c>
      <c r="G3405" t="s">
        <v>51</v>
      </c>
      <c r="H3405" t="s">
        <v>52</v>
      </c>
      <c r="I3405" t="s">
        <v>53</v>
      </c>
      <c r="J3405">
        <v>2</v>
      </c>
      <c r="K3405">
        <v>2200</v>
      </c>
      <c r="L3405">
        <v>0.1</v>
      </c>
      <c r="M3405">
        <v>3960</v>
      </c>
      <c r="N3405">
        <v>2900</v>
      </c>
      <c r="O3405">
        <v>1060</v>
      </c>
    </row>
    <row r="3406" spans="1:15" x14ac:dyDescent="0.25">
      <c r="A3406" t="s">
        <v>4471</v>
      </c>
      <c r="B3406" s="2">
        <v>49062</v>
      </c>
      <c r="C3406" t="s">
        <v>396</v>
      </c>
      <c r="D3406" t="s">
        <v>397</v>
      </c>
      <c r="E3406" t="s">
        <v>39</v>
      </c>
      <c r="F3406" t="s">
        <v>76</v>
      </c>
      <c r="G3406" t="s">
        <v>28</v>
      </c>
      <c r="H3406" t="s">
        <v>29</v>
      </c>
      <c r="I3406" t="s">
        <v>35</v>
      </c>
      <c r="J3406">
        <v>3</v>
      </c>
      <c r="K3406">
        <v>4200</v>
      </c>
      <c r="L3406">
        <v>0.15</v>
      </c>
      <c r="M3406">
        <v>10710</v>
      </c>
      <c r="N3406">
        <v>8700</v>
      </c>
      <c r="O3406">
        <v>2010</v>
      </c>
    </row>
    <row r="3407" spans="1:15" x14ac:dyDescent="0.25">
      <c r="A3407" t="s">
        <v>4472</v>
      </c>
      <c r="B3407" s="2">
        <v>49063</v>
      </c>
      <c r="C3407" t="s">
        <v>821</v>
      </c>
      <c r="D3407" t="s">
        <v>822</v>
      </c>
      <c r="E3407" t="s">
        <v>96</v>
      </c>
      <c r="F3407" t="s">
        <v>120</v>
      </c>
      <c r="G3407" t="s">
        <v>57</v>
      </c>
      <c r="H3407" t="s">
        <v>188</v>
      </c>
      <c r="I3407" t="s">
        <v>189</v>
      </c>
      <c r="J3407">
        <v>4</v>
      </c>
      <c r="K3407">
        <v>6200</v>
      </c>
      <c r="L3407">
        <v>0.15</v>
      </c>
      <c r="M3407">
        <v>21080</v>
      </c>
      <c r="N3407">
        <v>17200</v>
      </c>
      <c r="O3407">
        <v>3880</v>
      </c>
    </row>
    <row r="3408" spans="1:15" x14ac:dyDescent="0.25">
      <c r="A3408" t="s">
        <v>4473</v>
      </c>
      <c r="B3408" s="2">
        <v>49064</v>
      </c>
      <c r="C3408" t="s">
        <v>82</v>
      </c>
      <c r="D3408" t="s">
        <v>83</v>
      </c>
      <c r="E3408" t="s">
        <v>96</v>
      </c>
      <c r="F3408" t="s">
        <v>200</v>
      </c>
      <c r="G3408" t="s">
        <v>20</v>
      </c>
      <c r="H3408" t="s">
        <v>84</v>
      </c>
      <c r="I3408" t="s">
        <v>85</v>
      </c>
      <c r="J3408">
        <v>5</v>
      </c>
      <c r="K3408">
        <v>280</v>
      </c>
      <c r="L3408">
        <v>0.15</v>
      </c>
      <c r="M3408">
        <v>1190</v>
      </c>
      <c r="N3408">
        <v>800</v>
      </c>
      <c r="O3408">
        <v>390</v>
      </c>
    </row>
    <row r="3409" spans="1:15" x14ac:dyDescent="0.25">
      <c r="A3409" t="s">
        <v>4474</v>
      </c>
      <c r="B3409" s="2">
        <v>49065</v>
      </c>
      <c r="C3409" t="s">
        <v>180</v>
      </c>
      <c r="D3409" t="s">
        <v>181</v>
      </c>
      <c r="E3409" t="s">
        <v>18</v>
      </c>
      <c r="F3409" t="s">
        <v>19</v>
      </c>
      <c r="G3409" t="s">
        <v>51</v>
      </c>
      <c r="H3409" t="s">
        <v>52</v>
      </c>
      <c r="I3409" t="s">
        <v>53</v>
      </c>
      <c r="J3409">
        <v>2</v>
      </c>
      <c r="K3409">
        <v>2200</v>
      </c>
      <c r="L3409">
        <v>0</v>
      </c>
      <c r="M3409">
        <v>4400</v>
      </c>
      <c r="N3409">
        <v>2900</v>
      </c>
      <c r="O3409">
        <v>1500</v>
      </c>
    </row>
    <row r="3410" spans="1:15" x14ac:dyDescent="0.25">
      <c r="A3410" t="s">
        <v>4475</v>
      </c>
      <c r="B3410" s="2">
        <v>49066</v>
      </c>
      <c r="C3410" t="s">
        <v>603</v>
      </c>
      <c r="D3410" t="s">
        <v>604</v>
      </c>
      <c r="E3410" t="s">
        <v>39</v>
      </c>
      <c r="F3410" t="s">
        <v>124</v>
      </c>
      <c r="G3410" t="s">
        <v>28</v>
      </c>
      <c r="H3410" t="s">
        <v>29</v>
      </c>
      <c r="I3410" t="s">
        <v>47</v>
      </c>
      <c r="J3410">
        <v>4</v>
      </c>
      <c r="K3410">
        <v>6800</v>
      </c>
      <c r="L3410">
        <v>0.1</v>
      </c>
      <c r="M3410">
        <v>24480</v>
      </c>
      <c r="N3410">
        <v>18800</v>
      </c>
      <c r="O3410">
        <v>5680</v>
      </c>
    </row>
    <row r="3411" spans="1:15" x14ac:dyDescent="0.25">
      <c r="A3411" t="s">
        <v>4476</v>
      </c>
      <c r="B3411" s="2">
        <v>49067</v>
      </c>
      <c r="C3411" t="s">
        <v>417</v>
      </c>
      <c r="D3411" t="s">
        <v>418</v>
      </c>
      <c r="E3411" t="s">
        <v>26</v>
      </c>
      <c r="F3411" t="s">
        <v>27</v>
      </c>
      <c r="G3411" t="s">
        <v>20</v>
      </c>
      <c r="H3411" t="s">
        <v>21</v>
      </c>
      <c r="I3411" t="s">
        <v>22</v>
      </c>
      <c r="J3411">
        <v>4</v>
      </c>
      <c r="K3411">
        <v>650</v>
      </c>
      <c r="L3411">
        <v>0.1</v>
      </c>
      <c r="M3411">
        <v>2340</v>
      </c>
      <c r="N3411">
        <v>1560</v>
      </c>
      <c r="O3411">
        <v>780</v>
      </c>
    </row>
    <row r="3412" spans="1:15" x14ac:dyDescent="0.25">
      <c r="A3412" t="s">
        <v>4477</v>
      </c>
      <c r="B3412" s="2">
        <v>49068</v>
      </c>
      <c r="C3412" t="s">
        <v>444</v>
      </c>
      <c r="D3412" t="s">
        <v>445</v>
      </c>
      <c r="E3412" t="s">
        <v>18</v>
      </c>
      <c r="F3412" t="s">
        <v>115</v>
      </c>
      <c r="G3412" t="s">
        <v>51</v>
      </c>
      <c r="H3412" t="s">
        <v>21</v>
      </c>
      <c r="I3412" t="s">
        <v>116</v>
      </c>
      <c r="J3412">
        <v>2</v>
      </c>
      <c r="K3412">
        <v>1400</v>
      </c>
      <c r="L3412">
        <v>0.1</v>
      </c>
      <c r="M3412">
        <v>2520</v>
      </c>
      <c r="N3412">
        <v>1800</v>
      </c>
      <c r="O3412">
        <v>720</v>
      </c>
    </row>
    <row r="3413" spans="1:15" x14ac:dyDescent="0.25">
      <c r="A3413" t="s">
        <v>4478</v>
      </c>
      <c r="B3413" s="2">
        <v>49069</v>
      </c>
      <c r="C3413" t="s">
        <v>1556</v>
      </c>
      <c r="D3413" t="s">
        <v>1557</v>
      </c>
      <c r="E3413" t="s">
        <v>26</v>
      </c>
      <c r="F3413" t="s">
        <v>46</v>
      </c>
      <c r="G3413" t="s">
        <v>57</v>
      </c>
      <c r="H3413" t="s">
        <v>188</v>
      </c>
      <c r="I3413" t="s">
        <v>189</v>
      </c>
      <c r="J3413">
        <v>3</v>
      </c>
      <c r="K3413">
        <v>6200</v>
      </c>
      <c r="L3413">
        <v>0.05</v>
      </c>
      <c r="M3413">
        <v>17670</v>
      </c>
      <c r="N3413">
        <v>12900</v>
      </c>
      <c r="O3413">
        <v>4770</v>
      </c>
    </row>
    <row r="3414" spans="1:15" x14ac:dyDescent="0.25">
      <c r="A3414" t="s">
        <v>4479</v>
      </c>
      <c r="B3414" s="2">
        <v>49070</v>
      </c>
      <c r="C3414" t="s">
        <v>821</v>
      </c>
      <c r="D3414" t="s">
        <v>822</v>
      </c>
      <c r="E3414" t="s">
        <v>39</v>
      </c>
      <c r="F3414" t="s">
        <v>71</v>
      </c>
      <c r="G3414" t="s">
        <v>57</v>
      </c>
      <c r="H3414" t="s">
        <v>104</v>
      </c>
      <c r="I3414" t="s">
        <v>105</v>
      </c>
      <c r="J3414">
        <v>5</v>
      </c>
      <c r="K3414">
        <v>7500</v>
      </c>
      <c r="L3414">
        <v>0.15</v>
      </c>
      <c r="M3414">
        <v>31875</v>
      </c>
      <c r="N3414">
        <v>26000</v>
      </c>
      <c r="O3414">
        <v>5875</v>
      </c>
    </row>
    <row r="3415" spans="1:15" x14ac:dyDescent="0.25">
      <c r="A3415" t="s">
        <v>4480</v>
      </c>
      <c r="B3415" s="2">
        <v>49071</v>
      </c>
      <c r="C3415" t="s">
        <v>238</v>
      </c>
      <c r="D3415" t="s">
        <v>239</v>
      </c>
      <c r="E3415" t="s">
        <v>26</v>
      </c>
      <c r="F3415" t="s">
        <v>128</v>
      </c>
      <c r="G3415" t="s">
        <v>51</v>
      </c>
      <c r="H3415" t="s">
        <v>21</v>
      </c>
      <c r="I3415" t="s">
        <v>72</v>
      </c>
      <c r="J3415">
        <v>1</v>
      </c>
      <c r="K3415">
        <v>1800</v>
      </c>
      <c r="L3415">
        <v>0.15</v>
      </c>
      <c r="M3415">
        <v>1530</v>
      </c>
      <c r="N3415">
        <v>1100</v>
      </c>
      <c r="O3415">
        <v>430</v>
      </c>
    </row>
    <row r="3416" spans="1:15" x14ac:dyDescent="0.25">
      <c r="A3416" t="s">
        <v>4481</v>
      </c>
      <c r="B3416" s="2">
        <v>49072</v>
      </c>
      <c r="C3416" t="s">
        <v>212</v>
      </c>
      <c r="D3416" t="s">
        <v>213</v>
      </c>
      <c r="E3416" t="s">
        <v>96</v>
      </c>
      <c r="F3416" t="s">
        <v>200</v>
      </c>
      <c r="G3416" t="s">
        <v>51</v>
      </c>
      <c r="H3416" t="s">
        <v>21</v>
      </c>
      <c r="I3416" t="s">
        <v>80</v>
      </c>
      <c r="J3416">
        <v>1</v>
      </c>
      <c r="K3416">
        <v>850</v>
      </c>
      <c r="L3416">
        <v>0</v>
      </c>
      <c r="M3416">
        <v>850</v>
      </c>
      <c r="N3416">
        <v>560</v>
      </c>
      <c r="O3416">
        <v>290</v>
      </c>
    </row>
    <row r="3417" spans="1:15" x14ac:dyDescent="0.25">
      <c r="A3417" t="s">
        <v>4482</v>
      </c>
      <c r="B3417" s="2">
        <v>49073</v>
      </c>
      <c r="C3417" t="s">
        <v>1679</v>
      </c>
      <c r="D3417" t="s">
        <v>1680</v>
      </c>
      <c r="E3417" t="s">
        <v>26</v>
      </c>
      <c r="F3417" t="s">
        <v>204</v>
      </c>
      <c r="G3417" t="s">
        <v>51</v>
      </c>
      <c r="H3417" t="s">
        <v>21</v>
      </c>
      <c r="I3417" t="s">
        <v>80</v>
      </c>
      <c r="J3417">
        <v>2</v>
      </c>
      <c r="K3417">
        <v>850</v>
      </c>
      <c r="L3417">
        <v>0.2</v>
      </c>
      <c r="M3417">
        <v>1360</v>
      </c>
      <c r="N3417">
        <v>1120</v>
      </c>
      <c r="O3417">
        <v>240</v>
      </c>
    </row>
    <row r="3418" spans="1:15" x14ac:dyDescent="0.25">
      <c r="A3418" t="s">
        <v>4483</v>
      </c>
      <c r="B3418" s="2">
        <v>49074</v>
      </c>
      <c r="C3418" t="s">
        <v>1563</v>
      </c>
      <c r="D3418" t="s">
        <v>1564</v>
      </c>
      <c r="E3418" t="s">
        <v>96</v>
      </c>
      <c r="F3418" t="s">
        <v>120</v>
      </c>
      <c r="G3418" t="s">
        <v>57</v>
      </c>
      <c r="H3418" t="s">
        <v>104</v>
      </c>
      <c r="I3418" t="s">
        <v>105</v>
      </c>
      <c r="J3418">
        <v>5</v>
      </c>
      <c r="K3418">
        <v>7500</v>
      </c>
      <c r="L3418">
        <v>0.15</v>
      </c>
      <c r="M3418">
        <v>31875</v>
      </c>
      <c r="N3418">
        <v>26000</v>
      </c>
      <c r="O3418">
        <v>5875</v>
      </c>
    </row>
    <row r="3419" spans="1:15" x14ac:dyDescent="0.25">
      <c r="A3419" t="s">
        <v>4484</v>
      </c>
      <c r="B3419" s="2">
        <v>49075</v>
      </c>
      <c r="C3419" t="s">
        <v>1149</v>
      </c>
      <c r="D3419" t="s">
        <v>1150</v>
      </c>
      <c r="E3419" t="s">
        <v>39</v>
      </c>
      <c r="F3419" t="s">
        <v>71</v>
      </c>
      <c r="G3419" t="s">
        <v>20</v>
      </c>
      <c r="H3419" t="s">
        <v>21</v>
      </c>
      <c r="I3419" t="s">
        <v>22</v>
      </c>
      <c r="J3419">
        <v>2</v>
      </c>
      <c r="K3419">
        <v>650</v>
      </c>
      <c r="L3419">
        <v>0.1</v>
      </c>
      <c r="M3419">
        <v>1170</v>
      </c>
      <c r="N3419">
        <v>780</v>
      </c>
      <c r="O3419">
        <v>390</v>
      </c>
    </row>
    <row r="3420" spans="1:15" x14ac:dyDescent="0.25">
      <c r="A3420" t="s">
        <v>4485</v>
      </c>
      <c r="B3420" s="2">
        <v>49076</v>
      </c>
      <c r="C3420" t="s">
        <v>1210</v>
      </c>
      <c r="D3420" t="s">
        <v>1211</v>
      </c>
      <c r="E3420" t="s">
        <v>26</v>
      </c>
      <c r="F3420" t="s">
        <v>34</v>
      </c>
      <c r="G3420" t="s">
        <v>20</v>
      </c>
      <c r="H3420" t="s">
        <v>84</v>
      </c>
      <c r="I3420" t="s">
        <v>210</v>
      </c>
      <c r="J3420">
        <v>2</v>
      </c>
      <c r="K3420">
        <v>300</v>
      </c>
      <c r="L3420">
        <v>0</v>
      </c>
      <c r="M3420">
        <v>600</v>
      </c>
      <c r="N3420">
        <v>340</v>
      </c>
      <c r="O3420">
        <v>260</v>
      </c>
    </row>
    <row r="3421" spans="1:15" x14ac:dyDescent="0.25">
      <c r="A3421" t="s">
        <v>4486</v>
      </c>
      <c r="B3421" s="2">
        <v>49077</v>
      </c>
      <c r="C3421" t="s">
        <v>1375</v>
      </c>
      <c r="D3421" t="s">
        <v>1376</v>
      </c>
      <c r="E3421" t="s">
        <v>18</v>
      </c>
      <c r="F3421" t="s">
        <v>19</v>
      </c>
      <c r="G3421" t="s">
        <v>57</v>
      </c>
      <c r="H3421" t="s">
        <v>104</v>
      </c>
      <c r="I3421" t="s">
        <v>105</v>
      </c>
      <c r="J3421">
        <v>2</v>
      </c>
      <c r="K3421">
        <v>7500</v>
      </c>
      <c r="L3421">
        <v>0.1</v>
      </c>
      <c r="M3421">
        <v>13500</v>
      </c>
      <c r="N3421">
        <v>10400</v>
      </c>
      <c r="O3421">
        <v>3100</v>
      </c>
    </row>
    <row r="3422" spans="1:15" x14ac:dyDescent="0.25">
      <c r="A3422" t="s">
        <v>4487</v>
      </c>
      <c r="B3422" s="2">
        <v>49078</v>
      </c>
      <c r="C3422" t="s">
        <v>896</v>
      </c>
      <c r="D3422" t="s">
        <v>897</v>
      </c>
      <c r="E3422" t="s">
        <v>96</v>
      </c>
      <c r="F3422" t="s">
        <v>200</v>
      </c>
      <c r="G3422" t="s">
        <v>51</v>
      </c>
      <c r="H3422" t="s">
        <v>52</v>
      </c>
      <c r="I3422" t="s">
        <v>208</v>
      </c>
      <c r="J3422">
        <v>3</v>
      </c>
      <c r="K3422">
        <v>2800</v>
      </c>
      <c r="L3422">
        <v>0.15</v>
      </c>
      <c r="M3422">
        <v>7140</v>
      </c>
      <c r="N3422">
        <v>5400</v>
      </c>
      <c r="O3422">
        <v>1740</v>
      </c>
    </row>
    <row r="3423" spans="1:15" x14ac:dyDescent="0.25">
      <c r="A3423" t="s">
        <v>4488</v>
      </c>
      <c r="B3423" s="2">
        <v>49079</v>
      </c>
      <c r="C3423" t="s">
        <v>538</v>
      </c>
      <c r="D3423" t="s">
        <v>539</v>
      </c>
      <c r="E3423" t="s">
        <v>26</v>
      </c>
      <c r="F3423" t="s">
        <v>34</v>
      </c>
      <c r="G3423" t="s">
        <v>28</v>
      </c>
      <c r="H3423" t="s">
        <v>29</v>
      </c>
      <c r="I3423" t="s">
        <v>35</v>
      </c>
      <c r="J3423">
        <v>3</v>
      </c>
      <c r="K3423">
        <v>4200</v>
      </c>
      <c r="L3423">
        <v>0.1</v>
      </c>
      <c r="M3423">
        <v>11340</v>
      </c>
      <c r="N3423">
        <v>8700</v>
      </c>
      <c r="O3423">
        <v>2640</v>
      </c>
    </row>
    <row r="3424" spans="1:15" x14ac:dyDescent="0.25">
      <c r="A3424" t="s">
        <v>4489</v>
      </c>
      <c r="B3424" s="2">
        <v>49080</v>
      </c>
      <c r="C3424" t="s">
        <v>298</v>
      </c>
      <c r="D3424" t="s">
        <v>299</v>
      </c>
      <c r="E3424" t="s">
        <v>26</v>
      </c>
      <c r="F3424" t="s">
        <v>27</v>
      </c>
      <c r="G3424" t="s">
        <v>20</v>
      </c>
      <c r="H3424" t="s">
        <v>84</v>
      </c>
      <c r="I3424" t="s">
        <v>169</v>
      </c>
      <c r="J3424">
        <v>4</v>
      </c>
      <c r="K3424">
        <v>450</v>
      </c>
      <c r="L3424">
        <v>0</v>
      </c>
      <c r="M3424">
        <v>1800</v>
      </c>
      <c r="N3424">
        <v>1040</v>
      </c>
      <c r="O3424">
        <v>760</v>
      </c>
    </row>
    <row r="3425" spans="1:15" x14ac:dyDescent="0.25">
      <c r="A3425" t="s">
        <v>4490</v>
      </c>
      <c r="B3425" s="2">
        <v>49081</v>
      </c>
      <c r="C3425" t="s">
        <v>1616</v>
      </c>
      <c r="D3425" t="s">
        <v>1617</v>
      </c>
      <c r="E3425" t="s">
        <v>26</v>
      </c>
      <c r="F3425" t="s">
        <v>27</v>
      </c>
      <c r="G3425" t="s">
        <v>57</v>
      </c>
      <c r="H3425" t="s">
        <v>58</v>
      </c>
      <c r="I3425" t="s">
        <v>59</v>
      </c>
      <c r="J3425">
        <v>2</v>
      </c>
      <c r="K3425">
        <v>5600</v>
      </c>
      <c r="L3425">
        <v>0.25</v>
      </c>
      <c r="M3425">
        <v>8400</v>
      </c>
      <c r="N3425">
        <v>7800</v>
      </c>
      <c r="O3425">
        <v>600</v>
      </c>
    </row>
    <row r="3426" spans="1:15" x14ac:dyDescent="0.25">
      <c r="A3426" t="s">
        <v>4491</v>
      </c>
      <c r="B3426" s="2">
        <v>49082</v>
      </c>
      <c r="C3426" t="s">
        <v>427</v>
      </c>
      <c r="D3426" t="s">
        <v>428</v>
      </c>
      <c r="E3426" t="s">
        <v>26</v>
      </c>
      <c r="F3426" t="s">
        <v>128</v>
      </c>
      <c r="G3426" t="s">
        <v>28</v>
      </c>
      <c r="H3426" t="s">
        <v>29</v>
      </c>
      <c r="I3426" t="s">
        <v>47</v>
      </c>
      <c r="J3426">
        <v>4</v>
      </c>
      <c r="K3426">
        <v>6800</v>
      </c>
      <c r="L3426">
        <v>0</v>
      </c>
      <c r="M3426">
        <v>27200</v>
      </c>
      <c r="N3426">
        <v>18800</v>
      </c>
      <c r="O3426">
        <v>8400</v>
      </c>
    </row>
    <row r="3427" spans="1:15" x14ac:dyDescent="0.25">
      <c r="A3427" t="s">
        <v>4492</v>
      </c>
      <c r="B3427" s="2">
        <v>49083</v>
      </c>
      <c r="C3427" t="s">
        <v>2078</v>
      </c>
      <c r="D3427" t="s">
        <v>2079</v>
      </c>
      <c r="E3427" t="s">
        <v>39</v>
      </c>
      <c r="F3427" t="s">
        <v>71</v>
      </c>
      <c r="G3427" t="s">
        <v>51</v>
      </c>
      <c r="H3427" t="s">
        <v>89</v>
      </c>
      <c r="I3427" t="s">
        <v>90</v>
      </c>
      <c r="J3427">
        <v>4</v>
      </c>
      <c r="K3427">
        <v>10500</v>
      </c>
      <c r="L3427">
        <v>0.05</v>
      </c>
      <c r="M3427">
        <v>39900</v>
      </c>
      <c r="N3427">
        <v>30400</v>
      </c>
      <c r="O3427">
        <v>9500</v>
      </c>
    </row>
    <row r="3428" spans="1:15" x14ac:dyDescent="0.25">
      <c r="A3428" t="s">
        <v>4493</v>
      </c>
      <c r="B3428" s="2">
        <v>49084</v>
      </c>
      <c r="C3428" t="s">
        <v>2470</v>
      </c>
      <c r="D3428" t="s">
        <v>2471</v>
      </c>
      <c r="E3428" t="s">
        <v>18</v>
      </c>
      <c r="F3428" t="s">
        <v>227</v>
      </c>
      <c r="G3428" t="s">
        <v>51</v>
      </c>
      <c r="H3428" t="s">
        <v>52</v>
      </c>
      <c r="I3428" t="s">
        <v>208</v>
      </c>
      <c r="J3428">
        <v>1</v>
      </c>
      <c r="K3428">
        <v>2800</v>
      </c>
      <c r="L3428">
        <v>0.15</v>
      </c>
      <c r="M3428">
        <v>2380</v>
      </c>
      <c r="N3428">
        <v>1800</v>
      </c>
      <c r="O3428">
        <v>580</v>
      </c>
    </row>
    <row r="3429" spans="1:15" x14ac:dyDescent="0.25">
      <c r="A3429" t="s">
        <v>4494</v>
      </c>
      <c r="B3429" s="2">
        <v>49085</v>
      </c>
      <c r="C3429" t="s">
        <v>1786</v>
      </c>
      <c r="D3429" t="s">
        <v>1787</v>
      </c>
      <c r="E3429" t="s">
        <v>96</v>
      </c>
      <c r="F3429" t="s">
        <v>196</v>
      </c>
      <c r="G3429" t="s">
        <v>51</v>
      </c>
      <c r="H3429" t="s">
        <v>21</v>
      </c>
      <c r="I3429" t="s">
        <v>116</v>
      </c>
      <c r="J3429">
        <v>2</v>
      </c>
      <c r="K3429">
        <v>1400</v>
      </c>
      <c r="L3429">
        <v>0.15</v>
      </c>
      <c r="M3429">
        <v>2380</v>
      </c>
      <c r="N3429">
        <v>1800</v>
      </c>
      <c r="O3429">
        <v>580</v>
      </c>
    </row>
    <row r="3430" spans="1:15" x14ac:dyDescent="0.25">
      <c r="A3430" t="s">
        <v>4495</v>
      </c>
      <c r="B3430" s="2">
        <v>49086</v>
      </c>
      <c r="C3430" t="s">
        <v>633</v>
      </c>
      <c r="D3430" t="s">
        <v>634</v>
      </c>
      <c r="E3430" t="s">
        <v>26</v>
      </c>
      <c r="F3430" t="s">
        <v>27</v>
      </c>
      <c r="G3430" t="s">
        <v>57</v>
      </c>
      <c r="H3430" t="s">
        <v>58</v>
      </c>
      <c r="I3430" t="s">
        <v>59</v>
      </c>
      <c r="J3430">
        <v>5</v>
      </c>
      <c r="K3430">
        <v>5600</v>
      </c>
      <c r="L3430">
        <v>0.05</v>
      </c>
      <c r="M3430">
        <v>26600</v>
      </c>
      <c r="N3430">
        <v>19500</v>
      </c>
      <c r="O3430">
        <v>7100</v>
      </c>
    </row>
    <row r="3431" spans="1:15" x14ac:dyDescent="0.25">
      <c r="A3431" t="s">
        <v>4496</v>
      </c>
      <c r="B3431" s="2">
        <v>49087</v>
      </c>
      <c r="C3431" t="s">
        <v>1434</v>
      </c>
      <c r="D3431" t="s">
        <v>1435</v>
      </c>
      <c r="E3431" t="s">
        <v>39</v>
      </c>
      <c r="F3431" t="s">
        <v>40</v>
      </c>
      <c r="G3431" t="s">
        <v>20</v>
      </c>
      <c r="H3431" t="s">
        <v>84</v>
      </c>
      <c r="I3431" t="s">
        <v>169</v>
      </c>
      <c r="J3431">
        <v>1</v>
      </c>
      <c r="K3431">
        <v>450</v>
      </c>
      <c r="L3431">
        <v>0.1</v>
      </c>
      <c r="M3431">
        <v>405</v>
      </c>
      <c r="N3431">
        <v>260</v>
      </c>
      <c r="O3431">
        <v>145</v>
      </c>
    </row>
    <row r="3432" spans="1:15" x14ac:dyDescent="0.25">
      <c r="A3432" t="s">
        <v>4497</v>
      </c>
      <c r="B3432" s="2">
        <v>49088</v>
      </c>
      <c r="C3432" t="s">
        <v>619</v>
      </c>
      <c r="D3432" t="s">
        <v>620</v>
      </c>
      <c r="E3432" t="s">
        <v>18</v>
      </c>
      <c r="F3432" t="s">
        <v>227</v>
      </c>
      <c r="G3432" t="s">
        <v>51</v>
      </c>
      <c r="H3432" t="s">
        <v>89</v>
      </c>
      <c r="I3432" t="s">
        <v>90</v>
      </c>
      <c r="J3432">
        <v>2</v>
      </c>
      <c r="K3432">
        <v>10500</v>
      </c>
      <c r="L3432">
        <v>0.15</v>
      </c>
      <c r="M3432">
        <v>17850</v>
      </c>
      <c r="N3432">
        <v>15200</v>
      </c>
      <c r="O3432">
        <v>2650</v>
      </c>
    </row>
    <row r="3433" spans="1:15" x14ac:dyDescent="0.25">
      <c r="A3433" t="s">
        <v>4498</v>
      </c>
      <c r="B3433" s="2">
        <v>49089</v>
      </c>
      <c r="C3433" t="s">
        <v>974</v>
      </c>
      <c r="D3433" t="s">
        <v>975</v>
      </c>
      <c r="E3433" t="s">
        <v>26</v>
      </c>
      <c r="F3433" t="s">
        <v>204</v>
      </c>
      <c r="G3433" t="s">
        <v>20</v>
      </c>
      <c r="H3433" t="s">
        <v>84</v>
      </c>
      <c r="I3433" t="s">
        <v>85</v>
      </c>
      <c r="J3433">
        <v>5</v>
      </c>
      <c r="K3433">
        <v>280</v>
      </c>
      <c r="L3433">
        <v>0.15</v>
      </c>
      <c r="M3433">
        <v>1190</v>
      </c>
      <c r="N3433">
        <v>800</v>
      </c>
      <c r="O3433">
        <v>390</v>
      </c>
    </row>
    <row r="3434" spans="1:15" x14ac:dyDescent="0.25">
      <c r="A3434" t="s">
        <v>4499</v>
      </c>
      <c r="B3434" s="2">
        <v>49090</v>
      </c>
      <c r="C3434" t="s">
        <v>466</v>
      </c>
      <c r="D3434" t="s">
        <v>467</v>
      </c>
      <c r="E3434" t="s">
        <v>18</v>
      </c>
      <c r="F3434" t="s">
        <v>115</v>
      </c>
      <c r="G3434" t="s">
        <v>51</v>
      </c>
      <c r="H3434" t="s">
        <v>52</v>
      </c>
      <c r="I3434" t="s">
        <v>208</v>
      </c>
      <c r="J3434">
        <v>2</v>
      </c>
      <c r="K3434">
        <v>2800</v>
      </c>
      <c r="L3434">
        <v>0.1</v>
      </c>
      <c r="M3434">
        <v>5040</v>
      </c>
      <c r="N3434">
        <v>3600</v>
      </c>
      <c r="O3434">
        <v>1440</v>
      </c>
    </row>
    <row r="3435" spans="1:15" x14ac:dyDescent="0.25">
      <c r="A3435" t="s">
        <v>4500</v>
      </c>
      <c r="B3435" s="2">
        <v>49091</v>
      </c>
      <c r="C3435" t="s">
        <v>69</v>
      </c>
      <c r="D3435" t="s">
        <v>70</v>
      </c>
      <c r="E3435" t="s">
        <v>18</v>
      </c>
      <c r="F3435" t="s">
        <v>115</v>
      </c>
      <c r="G3435" t="s">
        <v>20</v>
      </c>
      <c r="H3435" t="s">
        <v>84</v>
      </c>
      <c r="I3435" t="s">
        <v>210</v>
      </c>
      <c r="J3435">
        <v>5</v>
      </c>
      <c r="K3435">
        <v>300</v>
      </c>
      <c r="L3435">
        <v>0.1</v>
      </c>
      <c r="M3435">
        <v>1350</v>
      </c>
      <c r="N3435">
        <v>850</v>
      </c>
      <c r="O3435">
        <v>500</v>
      </c>
    </row>
    <row r="3436" spans="1:15" x14ac:dyDescent="0.25">
      <c r="A3436" t="s">
        <v>4501</v>
      </c>
      <c r="B3436" s="2">
        <v>49092</v>
      </c>
      <c r="C3436" t="s">
        <v>171</v>
      </c>
      <c r="D3436" t="s">
        <v>172</v>
      </c>
      <c r="E3436" t="s">
        <v>39</v>
      </c>
      <c r="F3436" t="s">
        <v>40</v>
      </c>
      <c r="G3436" t="s">
        <v>57</v>
      </c>
      <c r="H3436" t="s">
        <v>58</v>
      </c>
      <c r="I3436" t="s">
        <v>59</v>
      </c>
      <c r="J3436">
        <v>1</v>
      </c>
      <c r="K3436">
        <v>5600</v>
      </c>
      <c r="L3436">
        <v>0.2</v>
      </c>
      <c r="M3436">
        <v>4480</v>
      </c>
      <c r="N3436">
        <v>3900</v>
      </c>
      <c r="O3436">
        <v>580</v>
      </c>
    </row>
    <row r="3437" spans="1:15" x14ac:dyDescent="0.25">
      <c r="A3437" t="s">
        <v>4502</v>
      </c>
      <c r="B3437" s="2">
        <v>49093</v>
      </c>
      <c r="C3437" t="s">
        <v>143</v>
      </c>
      <c r="D3437" t="s">
        <v>144</v>
      </c>
      <c r="E3437" t="s">
        <v>39</v>
      </c>
      <c r="F3437" t="s">
        <v>124</v>
      </c>
      <c r="G3437" t="s">
        <v>20</v>
      </c>
      <c r="H3437" t="s">
        <v>84</v>
      </c>
      <c r="I3437" t="s">
        <v>210</v>
      </c>
      <c r="J3437">
        <v>3</v>
      </c>
      <c r="K3437">
        <v>300</v>
      </c>
      <c r="L3437">
        <v>0</v>
      </c>
      <c r="M3437">
        <v>900</v>
      </c>
      <c r="N3437">
        <v>510</v>
      </c>
      <c r="O3437">
        <v>390</v>
      </c>
    </row>
    <row r="3438" spans="1:15" x14ac:dyDescent="0.25">
      <c r="A3438" t="s">
        <v>4503</v>
      </c>
      <c r="B3438" s="2">
        <v>49094</v>
      </c>
      <c r="C3438" t="s">
        <v>1040</v>
      </c>
      <c r="D3438" t="s">
        <v>1041</v>
      </c>
      <c r="E3438" t="s">
        <v>26</v>
      </c>
      <c r="F3438" t="s">
        <v>46</v>
      </c>
      <c r="G3438" t="s">
        <v>20</v>
      </c>
      <c r="H3438" t="s">
        <v>84</v>
      </c>
      <c r="I3438" t="s">
        <v>169</v>
      </c>
      <c r="J3438">
        <v>4</v>
      </c>
      <c r="K3438">
        <v>450</v>
      </c>
      <c r="L3438">
        <v>0.05</v>
      </c>
      <c r="M3438">
        <v>1710</v>
      </c>
      <c r="N3438">
        <v>1040</v>
      </c>
      <c r="O3438">
        <v>670</v>
      </c>
    </row>
    <row r="3439" spans="1:15" x14ac:dyDescent="0.25">
      <c r="A3439" t="s">
        <v>4504</v>
      </c>
      <c r="B3439" s="2">
        <v>49095</v>
      </c>
      <c r="C3439" t="s">
        <v>766</v>
      </c>
      <c r="D3439" t="s">
        <v>767</v>
      </c>
      <c r="E3439" t="s">
        <v>26</v>
      </c>
      <c r="F3439" t="s">
        <v>128</v>
      </c>
      <c r="G3439" t="s">
        <v>28</v>
      </c>
      <c r="H3439" t="s">
        <v>29</v>
      </c>
      <c r="I3439" t="s">
        <v>47</v>
      </c>
      <c r="J3439">
        <v>4</v>
      </c>
      <c r="K3439">
        <v>6800</v>
      </c>
      <c r="L3439">
        <v>0</v>
      </c>
      <c r="M3439">
        <v>27200</v>
      </c>
      <c r="N3439">
        <v>18800</v>
      </c>
      <c r="O3439">
        <v>8400</v>
      </c>
    </row>
    <row r="3440" spans="1:15" x14ac:dyDescent="0.25">
      <c r="A3440" t="s">
        <v>4505</v>
      </c>
      <c r="B3440" s="2">
        <v>49096</v>
      </c>
      <c r="C3440" t="s">
        <v>1046</v>
      </c>
      <c r="D3440" t="s">
        <v>1047</v>
      </c>
      <c r="E3440" t="s">
        <v>18</v>
      </c>
      <c r="F3440" t="s">
        <v>227</v>
      </c>
      <c r="G3440" t="s">
        <v>28</v>
      </c>
      <c r="H3440" t="s">
        <v>63</v>
      </c>
      <c r="I3440" t="s">
        <v>64</v>
      </c>
      <c r="J3440">
        <v>3</v>
      </c>
      <c r="K3440">
        <v>2400</v>
      </c>
      <c r="L3440">
        <v>0</v>
      </c>
      <c r="M3440">
        <v>7200</v>
      </c>
      <c r="N3440">
        <v>4950</v>
      </c>
      <c r="O3440">
        <v>2250</v>
      </c>
    </row>
    <row r="3441" spans="1:15" x14ac:dyDescent="0.25">
      <c r="A3441" t="s">
        <v>4506</v>
      </c>
      <c r="B3441" s="2">
        <v>49097</v>
      </c>
      <c r="C3441" t="s">
        <v>527</v>
      </c>
      <c r="D3441" t="s">
        <v>528</v>
      </c>
      <c r="E3441" t="s">
        <v>18</v>
      </c>
      <c r="F3441" t="s">
        <v>227</v>
      </c>
      <c r="G3441" t="s">
        <v>20</v>
      </c>
      <c r="H3441" t="s">
        <v>21</v>
      </c>
      <c r="I3441" t="s">
        <v>22</v>
      </c>
      <c r="J3441">
        <v>1</v>
      </c>
      <c r="K3441">
        <v>650</v>
      </c>
      <c r="L3441">
        <v>0.15</v>
      </c>
      <c r="M3441">
        <v>552.5</v>
      </c>
      <c r="N3441">
        <v>390</v>
      </c>
      <c r="O3441">
        <v>162.5</v>
      </c>
    </row>
    <row r="3442" spans="1:15" x14ac:dyDescent="0.25">
      <c r="A3442" t="s">
        <v>4507</v>
      </c>
      <c r="B3442" s="2">
        <v>49098</v>
      </c>
      <c r="C3442" t="s">
        <v>1750</v>
      </c>
      <c r="D3442" t="s">
        <v>1751</v>
      </c>
      <c r="E3442" t="s">
        <v>96</v>
      </c>
      <c r="F3442" t="s">
        <v>97</v>
      </c>
      <c r="G3442" t="s">
        <v>57</v>
      </c>
      <c r="H3442" t="s">
        <v>58</v>
      </c>
      <c r="I3442" t="s">
        <v>59</v>
      </c>
      <c r="J3442">
        <v>1</v>
      </c>
      <c r="K3442">
        <v>5600</v>
      </c>
      <c r="L3442">
        <v>0.2</v>
      </c>
      <c r="M3442">
        <v>4480</v>
      </c>
      <c r="N3442">
        <v>3900</v>
      </c>
      <c r="O3442">
        <v>580</v>
      </c>
    </row>
    <row r="3443" spans="1:15" x14ac:dyDescent="0.25">
      <c r="A3443" t="s">
        <v>4508</v>
      </c>
      <c r="B3443" s="2">
        <v>49099</v>
      </c>
      <c r="C3443" t="s">
        <v>547</v>
      </c>
      <c r="D3443" t="s">
        <v>548</v>
      </c>
      <c r="E3443" t="s">
        <v>18</v>
      </c>
      <c r="F3443" t="s">
        <v>227</v>
      </c>
      <c r="G3443" t="s">
        <v>57</v>
      </c>
      <c r="H3443" t="s">
        <v>58</v>
      </c>
      <c r="I3443" t="s">
        <v>129</v>
      </c>
      <c r="J3443">
        <v>5</v>
      </c>
      <c r="K3443">
        <v>4800</v>
      </c>
      <c r="L3443">
        <v>0.15</v>
      </c>
      <c r="M3443">
        <v>20400</v>
      </c>
      <c r="N3443">
        <v>16500</v>
      </c>
      <c r="O3443">
        <v>3900</v>
      </c>
    </row>
    <row r="3444" spans="1:15" x14ac:dyDescent="0.25">
      <c r="A3444" t="s">
        <v>4509</v>
      </c>
      <c r="B3444" s="2">
        <v>49100</v>
      </c>
      <c r="C3444" t="s">
        <v>834</v>
      </c>
      <c r="D3444" t="s">
        <v>835</v>
      </c>
      <c r="E3444" t="s">
        <v>96</v>
      </c>
      <c r="F3444" t="s">
        <v>97</v>
      </c>
      <c r="G3444" t="s">
        <v>20</v>
      </c>
      <c r="H3444" t="s">
        <v>41</v>
      </c>
      <c r="I3444" t="s">
        <v>42</v>
      </c>
      <c r="J3444">
        <v>2</v>
      </c>
      <c r="K3444">
        <v>520</v>
      </c>
      <c r="L3444">
        <v>0</v>
      </c>
      <c r="M3444">
        <v>1040</v>
      </c>
      <c r="N3444">
        <v>660</v>
      </c>
      <c r="O3444">
        <v>380</v>
      </c>
    </row>
    <row r="3445" spans="1:15" x14ac:dyDescent="0.25">
      <c r="A3445" t="s">
        <v>4510</v>
      </c>
      <c r="B3445" s="2">
        <v>49101</v>
      </c>
      <c r="C3445" t="s">
        <v>229</v>
      </c>
      <c r="D3445" t="s">
        <v>230</v>
      </c>
      <c r="E3445" t="s">
        <v>26</v>
      </c>
      <c r="F3445" t="s">
        <v>34</v>
      </c>
      <c r="G3445" t="s">
        <v>20</v>
      </c>
      <c r="H3445" t="s">
        <v>84</v>
      </c>
      <c r="I3445" t="s">
        <v>210</v>
      </c>
      <c r="J3445">
        <v>5</v>
      </c>
      <c r="K3445">
        <v>300</v>
      </c>
      <c r="L3445">
        <v>0.05</v>
      </c>
      <c r="M3445">
        <v>1425</v>
      </c>
      <c r="N3445">
        <v>850</v>
      </c>
      <c r="O3445">
        <v>575</v>
      </c>
    </row>
    <row r="3446" spans="1:15" x14ac:dyDescent="0.25">
      <c r="A3446" t="s">
        <v>4511</v>
      </c>
      <c r="B3446" s="2">
        <v>49102</v>
      </c>
      <c r="C3446" t="s">
        <v>61</v>
      </c>
      <c r="D3446" t="s">
        <v>62</v>
      </c>
      <c r="E3446" t="s">
        <v>26</v>
      </c>
      <c r="F3446" t="s">
        <v>46</v>
      </c>
      <c r="G3446" t="s">
        <v>57</v>
      </c>
      <c r="H3446" t="s">
        <v>188</v>
      </c>
      <c r="I3446" t="s">
        <v>189</v>
      </c>
      <c r="J3446">
        <v>1</v>
      </c>
      <c r="K3446">
        <v>6200</v>
      </c>
      <c r="L3446">
        <v>0.15</v>
      </c>
      <c r="M3446">
        <v>5270</v>
      </c>
      <c r="N3446">
        <v>4300</v>
      </c>
      <c r="O3446">
        <v>970</v>
      </c>
    </row>
    <row r="3447" spans="1:15" x14ac:dyDescent="0.25">
      <c r="A3447" t="s">
        <v>4512</v>
      </c>
      <c r="B3447" s="2">
        <v>49103</v>
      </c>
      <c r="C3447" t="s">
        <v>871</v>
      </c>
      <c r="D3447" t="s">
        <v>872</v>
      </c>
      <c r="E3447" t="s">
        <v>26</v>
      </c>
      <c r="F3447" t="s">
        <v>34</v>
      </c>
      <c r="G3447" t="s">
        <v>20</v>
      </c>
      <c r="H3447" t="s">
        <v>41</v>
      </c>
      <c r="I3447" t="s">
        <v>42</v>
      </c>
      <c r="J3447">
        <v>1</v>
      </c>
      <c r="K3447">
        <v>520</v>
      </c>
      <c r="L3447">
        <v>0.05</v>
      </c>
      <c r="M3447">
        <v>494</v>
      </c>
      <c r="N3447">
        <v>330</v>
      </c>
      <c r="O3447">
        <v>164</v>
      </c>
    </row>
    <row r="3448" spans="1:15" x14ac:dyDescent="0.25">
      <c r="A3448" t="s">
        <v>4513</v>
      </c>
      <c r="B3448" s="2">
        <v>49104</v>
      </c>
      <c r="C3448" t="s">
        <v>1092</v>
      </c>
      <c r="D3448" t="s">
        <v>1093</v>
      </c>
      <c r="E3448" t="s">
        <v>96</v>
      </c>
      <c r="F3448" t="s">
        <v>120</v>
      </c>
      <c r="G3448" t="s">
        <v>20</v>
      </c>
      <c r="H3448" t="s">
        <v>84</v>
      </c>
      <c r="I3448" t="s">
        <v>169</v>
      </c>
      <c r="J3448">
        <v>3</v>
      </c>
      <c r="K3448">
        <v>450</v>
      </c>
      <c r="L3448">
        <v>0.15</v>
      </c>
      <c r="M3448">
        <v>1147.5</v>
      </c>
      <c r="N3448">
        <v>780</v>
      </c>
      <c r="O3448">
        <v>367.5</v>
      </c>
    </row>
    <row r="3449" spans="1:15" x14ac:dyDescent="0.25">
      <c r="A3449" t="s">
        <v>4514</v>
      </c>
      <c r="B3449" s="2">
        <v>49105</v>
      </c>
      <c r="C3449" t="s">
        <v>1180</v>
      </c>
      <c r="D3449" t="s">
        <v>1181</v>
      </c>
      <c r="E3449" t="s">
        <v>96</v>
      </c>
      <c r="F3449" t="s">
        <v>120</v>
      </c>
      <c r="G3449" t="s">
        <v>51</v>
      </c>
      <c r="H3449" t="s">
        <v>21</v>
      </c>
      <c r="I3449" t="s">
        <v>116</v>
      </c>
      <c r="J3449">
        <v>2</v>
      </c>
      <c r="K3449">
        <v>1400</v>
      </c>
      <c r="L3449">
        <v>0.1</v>
      </c>
      <c r="M3449">
        <v>2520</v>
      </c>
      <c r="N3449">
        <v>1800</v>
      </c>
      <c r="O3449">
        <v>720</v>
      </c>
    </row>
    <row r="3450" spans="1:15" x14ac:dyDescent="0.25">
      <c r="A3450" t="s">
        <v>4515</v>
      </c>
      <c r="B3450" s="2">
        <v>49106</v>
      </c>
      <c r="C3450" t="s">
        <v>934</v>
      </c>
      <c r="D3450" t="s">
        <v>935</v>
      </c>
      <c r="E3450" t="s">
        <v>39</v>
      </c>
      <c r="F3450" t="s">
        <v>76</v>
      </c>
      <c r="G3450" t="s">
        <v>57</v>
      </c>
      <c r="H3450" t="s">
        <v>58</v>
      </c>
      <c r="I3450" t="s">
        <v>59</v>
      </c>
      <c r="J3450">
        <v>2</v>
      </c>
      <c r="K3450">
        <v>5600</v>
      </c>
      <c r="L3450">
        <v>0.15</v>
      </c>
      <c r="M3450">
        <v>9520</v>
      </c>
      <c r="N3450">
        <v>7800</v>
      </c>
      <c r="O3450">
        <v>1720</v>
      </c>
    </row>
    <row r="3451" spans="1:15" x14ac:dyDescent="0.25">
      <c r="A3451" t="s">
        <v>4516</v>
      </c>
      <c r="B3451" s="2">
        <v>49107</v>
      </c>
      <c r="C3451" t="s">
        <v>1287</v>
      </c>
      <c r="D3451" t="s">
        <v>1288</v>
      </c>
      <c r="E3451" t="s">
        <v>39</v>
      </c>
      <c r="F3451" t="s">
        <v>71</v>
      </c>
      <c r="G3451" t="s">
        <v>20</v>
      </c>
      <c r="H3451" t="s">
        <v>84</v>
      </c>
      <c r="I3451" t="s">
        <v>169</v>
      </c>
      <c r="J3451">
        <v>5</v>
      </c>
      <c r="K3451">
        <v>450</v>
      </c>
      <c r="L3451">
        <v>0</v>
      </c>
      <c r="M3451">
        <v>2250</v>
      </c>
      <c r="N3451">
        <v>1300</v>
      </c>
      <c r="O3451">
        <v>950</v>
      </c>
    </row>
    <row r="3452" spans="1:15" x14ac:dyDescent="0.25">
      <c r="A3452" t="s">
        <v>4517</v>
      </c>
      <c r="B3452" s="2">
        <v>49108</v>
      </c>
      <c r="C3452" t="s">
        <v>353</v>
      </c>
      <c r="D3452" t="s">
        <v>354</v>
      </c>
      <c r="E3452" t="s">
        <v>96</v>
      </c>
      <c r="F3452" t="s">
        <v>196</v>
      </c>
      <c r="G3452" t="s">
        <v>20</v>
      </c>
      <c r="H3452" t="s">
        <v>84</v>
      </c>
      <c r="I3452" t="s">
        <v>169</v>
      </c>
      <c r="J3452">
        <v>5</v>
      </c>
      <c r="K3452">
        <v>450</v>
      </c>
      <c r="L3452">
        <v>0.05</v>
      </c>
      <c r="M3452">
        <v>2137.5</v>
      </c>
      <c r="N3452">
        <v>1300</v>
      </c>
      <c r="O3452">
        <v>837.5</v>
      </c>
    </row>
    <row r="3453" spans="1:15" x14ac:dyDescent="0.25">
      <c r="A3453" t="s">
        <v>4518</v>
      </c>
      <c r="B3453" s="2">
        <v>49109</v>
      </c>
      <c r="C3453" t="s">
        <v>1104</v>
      </c>
      <c r="D3453" t="s">
        <v>1105</v>
      </c>
      <c r="E3453" t="s">
        <v>96</v>
      </c>
      <c r="F3453" t="s">
        <v>120</v>
      </c>
      <c r="G3453" t="s">
        <v>28</v>
      </c>
      <c r="H3453" t="s">
        <v>29</v>
      </c>
      <c r="I3453" t="s">
        <v>30</v>
      </c>
      <c r="J3453">
        <v>1</v>
      </c>
      <c r="K3453">
        <v>1900</v>
      </c>
      <c r="L3453">
        <v>0.05</v>
      </c>
      <c r="M3453">
        <v>1805</v>
      </c>
      <c r="N3453">
        <v>1250</v>
      </c>
      <c r="O3453">
        <v>555</v>
      </c>
    </row>
    <row r="3454" spans="1:15" x14ac:dyDescent="0.25">
      <c r="A3454" t="s">
        <v>4519</v>
      </c>
      <c r="B3454" s="2">
        <v>49110</v>
      </c>
      <c r="C3454" t="s">
        <v>2785</v>
      </c>
      <c r="D3454" t="s">
        <v>2786</v>
      </c>
      <c r="E3454" t="s">
        <v>39</v>
      </c>
      <c r="F3454" t="s">
        <v>124</v>
      </c>
      <c r="G3454" t="s">
        <v>20</v>
      </c>
      <c r="H3454" t="s">
        <v>84</v>
      </c>
      <c r="I3454" t="s">
        <v>85</v>
      </c>
      <c r="J3454">
        <v>5</v>
      </c>
      <c r="K3454">
        <v>280</v>
      </c>
      <c r="L3454">
        <v>0.2</v>
      </c>
      <c r="M3454">
        <v>1120</v>
      </c>
      <c r="N3454">
        <v>800</v>
      </c>
      <c r="O3454">
        <v>320</v>
      </c>
    </row>
    <row r="3455" spans="1:15" x14ac:dyDescent="0.25">
      <c r="A3455" t="s">
        <v>4520</v>
      </c>
      <c r="B3455" s="2">
        <v>49111</v>
      </c>
      <c r="C3455" t="s">
        <v>235</v>
      </c>
      <c r="D3455" t="s">
        <v>236</v>
      </c>
      <c r="E3455" t="s">
        <v>26</v>
      </c>
      <c r="F3455" t="s">
        <v>46</v>
      </c>
      <c r="G3455" t="s">
        <v>51</v>
      </c>
      <c r="H3455" t="s">
        <v>89</v>
      </c>
      <c r="I3455" t="s">
        <v>90</v>
      </c>
      <c r="J3455">
        <v>3</v>
      </c>
      <c r="K3455">
        <v>10500</v>
      </c>
      <c r="L3455">
        <v>0.1</v>
      </c>
      <c r="M3455">
        <v>28350</v>
      </c>
      <c r="N3455">
        <v>22800</v>
      </c>
      <c r="O3455">
        <v>5550</v>
      </c>
    </row>
    <row r="3456" spans="1:15" x14ac:dyDescent="0.25">
      <c r="A3456" t="s">
        <v>4521</v>
      </c>
      <c r="B3456" s="2">
        <v>49112</v>
      </c>
      <c r="C3456" t="s">
        <v>1000</v>
      </c>
      <c r="D3456" t="s">
        <v>1001</v>
      </c>
      <c r="E3456" t="s">
        <v>39</v>
      </c>
      <c r="F3456" t="s">
        <v>124</v>
      </c>
      <c r="G3456" t="s">
        <v>51</v>
      </c>
      <c r="H3456" t="s">
        <v>21</v>
      </c>
      <c r="I3456" t="s">
        <v>116</v>
      </c>
      <c r="J3456">
        <v>4</v>
      </c>
      <c r="K3456">
        <v>1400</v>
      </c>
      <c r="L3456">
        <v>0.15</v>
      </c>
      <c r="M3456">
        <v>4760</v>
      </c>
      <c r="N3456">
        <v>3600</v>
      </c>
      <c r="O3456">
        <v>1160</v>
      </c>
    </row>
    <row r="3457" spans="1:15" x14ac:dyDescent="0.25">
      <c r="A3457" t="s">
        <v>4522</v>
      </c>
      <c r="B3457" s="2">
        <v>49113</v>
      </c>
      <c r="C3457" t="s">
        <v>1897</v>
      </c>
      <c r="D3457" t="s">
        <v>1898</v>
      </c>
      <c r="E3457" t="s">
        <v>26</v>
      </c>
      <c r="F3457" t="s">
        <v>27</v>
      </c>
      <c r="G3457" t="s">
        <v>20</v>
      </c>
      <c r="H3457" t="s">
        <v>84</v>
      </c>
      <c r="I3457" t="s">
        <v>210</v>
      </c>
      <c r="J3457">
        <v>2</v>
      </c>
      <c r="K3457">
        <v>300</v>
      </c>
      <c r="L3457">
        <v>0.1</v>
      </c>
      <c r="M3457">
        <v>540</v>
      </c>
      <c r="N3457">
        <v>340</v>
      </c>
      <c r="O3457">
        <v>200</v>
      </c>
    </row>
    <row r="3458" spans="1:15" x14ac:dyDescent="0.25">
      <c r="A3458" t="s">
        <v>4523</v>
      </c>
      <c r="B3458" s="2">
        <v>49114</v>
      </c>
      <c r="C3458" t="s">
        <v>934</v>
      </c>
      <c r="D3458" t="s">
        <v>935</v>
      </c>
      <c r="E3458" t="s">
        <v>39</v>
      </c>
      <c r="F3458" t="s">
        <v>124</v>
      </c>
      <c r="G3458" t="s">
        <v>57</v>
      </c>
      <c r="H3458" t="s">
        <v>104</v>
      </c>
      <c r="I3458" t="s">
        <v>105</v>
      </c>
      <c r="J3458">
        <v>4</v>
      </c>
      <c r="K3458">
        <v>7500</v>
      </c>
      <c r="L3458">
        <v>0</v>
      </c>
      <c r="M3458">
        <v>30000</v>
      </c>
      <c r="N3458">
        <v>20800</v>
      </c>
      <c r="O3458">
        <v>9200</v>
      </c>
    </row>
    <row r="3459" spans="1:15" x14ac:dyDescent="0.25">
      <c r="A3459" t="s">
        <v>4524</v>
      </c>
      <c r="B3459" s="2">
        <v>49115</v>
      </c>
      <c r="C3459" t="s">
        <v>948</v>
      </c>
      <c r="D3459" t="s">
        <v>949</v>
      </c>
      <c r="E3459" t="s">
        <v>18</v>
      </c>
      <c r="F3459" t="s">
        <v>19</v>
      </c>
      <c r="G3459" t="s">
        <v>57</v>
      </c>
      <c r="H3459" t="s">
        <v>58</v>
      </c>
      <c r="I3459" t="s">
        <v>129</v>
      </c>
      <c r="J3459">
        <v>1</v>
      </c>
      <c r="K3459">
        <v>4800</v>
      </c>
      <c r="L3459">
        <v>0.1</v>
      </c>
      <c r="M3459">
        <v>4320</v>
      </c>
      <c r="N3459">
        <v>3300</v>
      </c>
      <c r="O3459">
        <v>1020</v>
      </c>
    </row>
    <row r="3460" spans="1:15" x14ac:dyDescent="0.25">
      <c r="A3460" t="s">
        <v>4525</v>
      </c>
      <c r="B3460" s="2">
        <v>49116</v>
      </c>
      <c r="C3460" t="s">
        <v>997</v>
      </c>
      <c r="D3460" t="s">
        <v>998</v>
      </c>
      <c r="E3460" t="s">
        <v>26</v>
      </c>
      <c r="F3460" t="s">
        <v>46</v>
      </c>
      <c r="G3460" t="s">
        <v>28</v>
      </c>
      <c r="H3460" t="s">
        <v>63</v>
      </c>
      <c r="I3460" t="s">
        <v>64</v>
      </c>
      <c r="J3460">
        <v>3</v>
      </c>
      <c r="K3460">
        <v>2400</v>
      </c>
      <c r="L3460">
        <v>0</v>
      </c>
      <c r="M3460">
        <v>7200</v>
      </c>
      <c r="N3460">
        <v>4950</v>
      </c>
      <c r="O3460">
        <v>2250</v>
      </c>
    </row>
    <row r="3461" spans="1:15" x14ac:dyDescent="0.25">
      <c r="A3461" t="s">
        <v>4526</v>
      </c>
      <c r="B3461" s="2">
        <v>49117</v>
      </c>
      <c r="C3461" t="s">
        <v>1486</v>
      </c>
      <c r="D3461" t="s">
        <v>1487</v>
      </c>
      <c r="E3461" t="s">
        <v>39</v>
      </c>
      <c r="F3461" t="s">
        <v>76</v>
      </c>
      <c r="G3461" t="s">
        <v>28</v>
      </c>
      <c r="H3461" t="s">
        <v>29</v>
      </c>
      <c r="I3461" t="s">
        <v>35</v>
      </c>
      <c r="J3461">
        <v>5</v>
      </c>
      <c r="K3461">
        <v>4200</v>
      </c>
      <c r="L3461">
        <v>0.15</v>
      </c>
      <c r="M3461">
        <v>17850</v>
      </c>
      <c r="N3461">
        <v>14500</v>
      </c>
      <c r="O3461">
        <v>3350</v>
      </c>
    </row>
    <row r="3462" spans="1:15" x14ac:dyDescent="0.25">
      <c r="A3462" t="s">
        <v>4527</v>
      </c>
      <c r="B3462" s="2">
        <v>49118</v>
      </c>
      <c r="C3462" t="s">
        <v>593</v>
      </c>
      <c r="D3462" t="s">
        <v>594</v>
      </c>
      <c r="E3462" t="s">
        <v>18</v>
      </c>
      <c r="F3462" t="s">
        <v>227</v>
      </c>
      <c r="G3462" t="s">
        <v>51</v>
      </c>
      <c r="H3462" t="s">
        <v>52</v>
      </c>
      <c r="I3462" t="s">
        <v>208</v>
      </c>
      <c r="J3462">
        <v>4</v>
      </c>
      <c r="K3462">
        <v>2800</v>
      </c>
      <c r="L3462">
        <v>0.15</v>
      </c>
      <c r="M3462">
        <v>9520</v>
      </c>
      <c r="N3462">
        <v>7200</v>
      </c>
      <c r="O3462">
        <v>2320</v>
      </c>
    </row>
    <row r="3463" spans="1:15" x14ac:dyDescent="0.25">
      <c r="A3463" t="s">
        <v>4528</v>
      </c>
      <c r="B3463" s="2">
        <v>49119</v>
      </c>
      <c r="C3463" t="s">
        <v>212</v>
      </c>
      <c r="D3463" t="s">
        <v>213</v>
      </c>
      <c r="E3463" t="s">
        <v>26</v>
      </c>
      <c r="F3463" t="s">
        <v>46</v>
      </c>
      <c r="G3463" t="s">
        <v>20</v>
      </c>
      <c r="H3463" t="s">
        <v>84</v>
      </c>
      <c r="I3463" t="s">
        <v>169</v>
      </c>
      <c r="J3463">
        <v>1</v>
      </c>
      <c r="K3463">
        <v>450</v>
      </c>
      <c r="L3463">
        <v>0.05</v>
      </c>
      <c r="M3463">
        <v>427.5</v>
      </c>
      <c r="N3463">
        <v>260</v>
      </c>
      <c r="O3463">
        <v>167.5</v>
      </c>
    </row>
    <row r="3464" spans="1:15" x14ac:dyDescent="0.25">
      <c r="A3464" t="s">
        <v>4529</v>
      </c>
      <c r="B3464" s="2">
        <v>49120</v>
      </c>
      <c r="C3464" t="s">
        <v>122</v>
      </c>
      <c r="D3464" t="s">
        <v>123</v>
      </c>
      <c r="E3464" t="s">
        <v>39</v>
      </c>
      <c r="F3464" t="s">
        <v>40</v>
      </c>
      <c r="G3464" t="s">
        <v>57</v>
      </c>
      <c r="H3464" t="s">
        <v>58</v>
      </c>
      <c r="I3464" t="s">
        <v>129</v>
      </c>
      <c r="J3464">
        <v>5</v>
      </c>
      <c r="K3464">
        <v>4800</v>
      </c>
      <c r="L3464">
        <v>0.05</v>
      </c>
      <c r="M3464">
        <v>22800</v>
      </c>
      <c r="N3464">
        <v>16500</v>
      </c>
      <c r="O3464">
        <v>6300</v>
      </c>
    </row>
    <row r="3465" spans="1:15" x14ac:dyDescent="0.25">
      <c r="A3465" t="s">
        <v>4530</v>
      </c>
      <c r="B3465" s="2">
        <v>49121</v>
      </c>
      <c r="C3465" t="s">
        <v>1836</v>
      </c>
      <c r="D3465" t="s">
        <v>1837</v>
      </c>
      <c r="E3465" t="s">
        <v>26</v>
      </c>
      <c r="F3465" t="s">
        <v>46</v>
      </c>
      <c r="G3465" t="s">
        <v>20</v>
      </c>
      <c r="H3465" t="s">
        <v>84</v>
      </c>
      <c r="I3465" t="s">
        <v>169</v>
      </c>
      <c r="J3465">
        <v>3</v>
      </c>
      <c r="K3465">
        <v>450</v>
      </c>
      <c r="L3465">
        <v>0.25</v>
      </c>
      <c r="M3465">
        <v>1012.5</v>
      </c>
      <c r="N3465">
        <v>780</v>
      </c>
      <c r="O3465">
        <v>232.5</v>
      </c>
    </row>
    <row r="3466" spans="1:15" x14ac:dyDescent="0.25">
      <c r="A3466" t="s">
        <v>4531</v>
      </c>
      <c r="B3466" s="2">
        <v>49122</v>
      </c>
      <c r="C3466" t="s">
        <v>2247</v>
      </c>
      <c r="D3466" t="s">
        <v>2248</v>
      </c>
      <c r="E3466" t="s">
        <v>39</v>
      </c>
      <c r="F3466" t="s">
        <v>40</v>
      </c>
      <c r="G3466" t="s">
        <v>57</v>
      </c>
      <c r="H3466" t="s">
        <v>188</v>
      </c>
      <c r="I3466" t="s">
        <v>189</v>
      </c>
      <c r="J3466">
        <v>1</v>
      </c>
      <c r="K3466">
        <v>6200</v>
      </c>
      <c r="L3466">
        <v>0</v>
      </c>
      <c r="M3466">
        <v>6200</v>
      </c>
      <c r="N3466">
        <v>4300</v>
      </c>
      <c r="O3466">
        <v>1900</v>
      </c>
    </row>
    <row r="3467" spans="1:15" x14ac:dyDescent="0.25">
      <c r="A3467" t="s">
        <v>4532</v>
      </c>
      <c r="B3467" s="2">
        <v>49123</v>
      </c>
      <c r="C3467" t="s">
        <v>2052</v>
      </c>
      <c r="D3467" t="s">
        <v>2053</v>
      </c>
      <c r="E3467" t="s">
        <v>18</v>
      </c>
      <c r="F3467" t="s">
        <v>115</v>
      </c>
      <c r="G3467" t="s">
        <v>57</v>
      </c>
      <c r="H3467" t="s">
        <v>188</v>
      </c>
      <c r="I3467" t="s">
        <v>189</v>
      </c>
      <c r="J3467">
        <v>3</v>
      </c>
      <c r="K3467">
        <v>6200</v>
      </c>
      <c r="L3467">
        <v>0</v>
      </c>
      <c r="M3467">
        <v>18600</v>
      </c>
      <c r="N3467">
        <v>12900</v>
      </c>
      <c r="O3467">
        <v>5700</v>
      </c>
    </row>
    <row r="3468" spans="1:15" x14ac:dyDescent="0.25">
      <c r="A3468" t="s">
        <v>4533</v>
      </c>
      <c r="B3468" s="2">
        <v>49124</v>
      </c>
      <c r="C3468" t="s">
        <v>74</v>
      </c>
      <c r="D3468" t="s">
        <v>75</v>
      </c>
      <c r="E3468" t="s">
        <v>26</v>
      </c>
      <c r="F3468" t="s">
        <v>128</v>
      </c>
      <c r="G3468" t="s">
        <v>57</v>
      </c>
      <c r="H3468" t="s">
        <v>58</v>
      </c>
      <c r="I3468" t="s">
        <v>59</v>
      </c>
      <c r="J3468">
        <v>3</v>
      </c>
      <c r="K3468">
        <v>5600</v>
      </c>
      <c r="L3468">
        <v>0.2</v>
      </c>
      <c r="M3468">
        <v>13440</v>
      </c>
      <c r="N3468">
        <v>11700</v>
      </c>
      <c r="O3468">
        <v>1740</v>
      </c>
    </row>
    <row r="3469" spans="1:15" x14ac:dyDescent="0.25">
      <c r="A3469" t="s">
        <v>4534</v>
      </c>
      <c r="B3469" s="2">
        <v>49125</v>
      </c>
      <c r="C3469" t="s">
        <v>1210</v>
      </c>
      <c r="D3469" t="s">
        <v>1211</v>
      </c>
      <c r="E3469" t="s">
        <v>26</v>
      </c>
      <c r="F3469" t="s">
        <v>204</v>
      </c>
      <c r="G3469" t="s">
        <v>57</v>
      </c>
      <c r="H3469" t="s">
        <v>58</v>
      </c>
      <c r="I3469" t="s">
        <v>129</v>
      </c>
      <c r="J3469">
        <v>4</v>
      </c>
      <c r="K3469">
        <v>4800</v>
      </c>
      <c r="L3469">
        <v>0</v>
      </c>
      <c r="M3469">
        <v>19200</v>
      </c>
      <c r="N3469">
        <v>13200</v>
      </c>
      <c r="O3469">
        <v>6000</v>
      </c>
    </row>
    <row r="3470" spans="1:15" x14ac:dyDescent="0.25">
      <c r="A3470" t="s">
        <v>4535</v>
      </c>
      <c r="B3470" s="2">
        <v>49126</v>
      </c>
      <c r="C3470" t="s">
        <v>1430</v>
      </c>
      <c r="D3470" t="s">
        <v>1431</v>
      </c>
      <c r="E3470" t="s">
        <v>26</v>
      </c>
      <c r="F3470" t="s">
        <v>128</v>
      </c>
      <c r="G3470" t="s">
        <v>28</v>
      </c>
      <c r="H3470" t="s">
        <v>29</v>
      </c>
      <c r="I3470" t="s">
        <v>47</v>
      </c>
      <c r="J3470">
        <v>2</v>
      </c>
      <c r="K3470">
        <v>6800</v>
      </c>
      <c r="L3470">
        <v>0.15</v>
      </c>
      <c r="M3470">
        <v>11560</v>
      </c>
      <c r="N3470">
        <v>9400</v>
      </c>
      <c r="O3470">
        <v>2160</v>
      </c>
    </row>
    <row r="3471" spans="1:15" x14ac:dyDescent="0.25">
      <c r="A3471" t="s">
        <v>4536</v>
      </c>
      <c r="B3471" s="2">
        <v>49127</v>
      </c>
      <c r="C3471" t="s">
        <v>427</v>
      </c>
      <c r="D3471" t="s">
        <v>428</v>
      </c>
      <c r="E3471" t="s">
        <v>39</v>
      </c>
      <c r="F3471" t="s">
        <v>76</v>
      </c>
      <c r="G3471" t="s">
        <v>51</v>
      </c>
      <c r="H3471" t="s">
        <v>21</v>
      </c>
      <c r="I3471" t="s">
        <v>116</v>
      </c>
      <c r="J3471">
        <v>1</v>
      </c>
      <c r="K3471">
        <v>1400</v>
      </c>
      <c r="L3471">
        <v>0.15</v>
      </c>
      <c r="M3471">
        <v>1190</v>
      </c>
      <c r="N3471">
        <v>900</v>
      </c>
      <c r="O3471">
        <v>290</v>
      </c>
    </row>
    <row r="3472" spans="1:15" x14ac:dyDescent="0.25">
      <c r="A3472" t="s">
        <v>4537</v>
      </c>
      <c r="B3472" s="2">
        <v>49128</v>
      </c>
      <c r="C3472" t="s">
        <v>469</v>
      </c>
      <c r="D3472" t="s">
        <v>470</v>
      </c>
      <c r="E3472" t="s">
        <v>26</v>
      </c>
      <c r="F3472" t="s">
        <v>34</v>
      </c>
      <c r="G3472" t="s">
        <v>28</v>
      </c>
      <c r="H3472" t="s">
        <v>29</v>
      </c>
      <c r="I3472" t="s">
        <v>30</v>
      </c>
      <c r="J3472">
        <v>3</v>
      </c>
      <c r="K3472">
        <v>1900</v>
      </c>
      <c r="L3472">
        <v>0.05</v>
      </c>
      <c r="M3472">
        <v>5415</v>
      </c>
      <c r="N3472">
        <v>3750</v>
      </c>
      <c r="O3472">
        <v>1665</v>
      </c>
    </row>
    <row r="3473" spans="1:15" x14ac:dyDescent="0.25">
      <c r="A3473" t="s">
        <v>4538</v>
      </c>
      <c r="B3473" s="2">
        <v>49129</v>
      </c>
      <c r="C3473" t="s">
        <v>353</v>
      </c>
      <c r="D3473" t="s">
        <v>354</v>
      </c>
      <c r="E3473" t="s">
        <v>26</v>
      </c>
      <c r="F3473" t="s">
        <v>34</v>
      </c>
      <c r="G3473" t="s">
        <v>51</v>
      </c>
      <c r="H3473" t="s">
        <v>52</v>
      </c>
      <c r="I3473" t="s">
        <v>208</v>
      </c>
      <c r="J3473">
        <v>4</v>
      </c>
      <c r="K3473">
        <v>2800</v>
      </c>
      <c r="L3473">
        <v>0.15</v>
      </c>
      <c r="M3473">
        <v>9520</v>
      </c>
      <c r="N3473">
        <v>7200</v>
      </c>
      <c r="O3473">
        <v>2320</v>
      </c>
    </row>
    <row r="3474" spans="1:15" x14ac:dyDescent="0.25">
      <c r="A3474" t="s">
        <v>4539</v>
      </c>
      <c r="B3474" s="2">
        <v>49130</v>
      </c>
      <c r="C3474" t="s">
        <v>360</v>
      </c>
      <c r="D3474" t="s">
        <v>361</v>
      </c>
      <c r="E3474" t="s">
        <v>26</v>
      </c>
      <c r="F3474" t="s">
        <v>27</v>
      </c>
      <c r="G3474" t="s">
        <v>28</v>
      </c>
      <c r="H3474" t="s">
        <v>29</v>
      </c>
      <c r="I3474" t="s">
        <v>35</v>
      </c>
      <c r="J3474">
        <v>3</v>
      </c>
      <c r="K3474">
        <v>4200</v>
      </c>
      <c r="L3474">
        <v>0.25</v>
      </c>
      <c r="M3474">
        <v>9450</v>
      </c>
      <c r="N3474">
        <v>8700</v>
      </c>
      <c r="O3474">
        <v>750</v>
      </c>
    </row>
    <row r="3475" spans="1:15" x14ac:dyDescent="0.25">
      <c r="A3475" t="s">
        <v>4540</v>
      </c>
      <c r="B3475" s="2">
        <v>49131</v>
      </c>
      <c r="C3475" t="s">
        <v>427</v>
      </c>
      <c r="D3475" t="s">
        <v>428</v>
      </c>
      <c r="E3475" t="s">
        <v>26</v>
      </c>
      <c r="F3475" t="s">
        <v>34</v>
      </c>
      <c r="G3475" t="s">
        <v>20</v>
      </c>
      <c r="H3475" t="s">
        <v>84</v>
      </c>
      <c r="I3475" t="s">
        <v>210</v>
      </c>
      <c r="J3475">
        <v>5</v>
      </c>
      <c r="K3475">
        <v>300</v>
      </c>
      <c r="L3475">
        <v>0.1</v>
      </c>
      <c r="M3475">
        <v>1350</v>
      </c>
      <c r="N3475">
        <v>850</v>
      </c>
      <c r="O3475">
        <v>500</v>
      </c>
    </row>
    <row r="3476" spans="1:15" x14ac:dyDescent="0.25">
      <c r="A3476" t="s">
        <v>4541</v>
      </c>
      <c r="B3476" s="2">
        <v>49132</v>
      </c>
      <c r="C3476" t="s">
        <v>535</v>
      </c>
      <c r="D3476" t="s">
        <v>536</v>
      </c>
      <c r="E3476" t="s">
        <v>26</v>
      </c>
      <c r="F3476" t="s">
        <v>34</v>
      </c>
      <c r="G3476" t="s">
        <v>28</v>
      </c>
      <c r="H3476" t="s">
        <v>29</v>
      </c>
      <c r="I3476" t="s">
        <v>30</v>
      </c>
      <c r="J3476">
        <v>1</v>
      </c>
      <c r="K3476">
        <v>1900</v>
      </c>
      <c r="L3476">
        <v>0.05</v>
      </c>
      <c r="M3476">
        <v>1805</v>
      </c>
      <c r="N3476">
        <v>1250</v>
      </c>
      <c r="O3476">
        <v>555</v>
      </c>
    </row>
    <row r="3477" spans="1:15" x14ac:dyDescent="0.25">
      <c r="A3477" t="s">
        <v>4542</v>
      </c>
      <c r="B3477" s="2">
        <v>49133</v>
      </c>
      <c r="C3477" t="s">
        <v>2052</v>
      </c>
      <c r="D3477" t="s">
        <v>2053</v>
      </c>
      <c r="E3477" t="s">
        <v>26</v>
      </c>
      <c r="F3477" t="s">
        <v>34</v>
      </c>
      <c r="G3477" t="s">
        <v>57</v>
      </c>
      <c r="H3477" t="s">
        <v>58</v>
      </c>
      <c r="I3477" t="s">
        <v>59</v>
      </c>
      <c r="J3477">
        <v>1</v>
      </c>
      <c r="K3477">
        <v>5600</v>
      </c>
      <c r="L3477">
        <v>0.05</v>
      </c>
      <c r="M3477">
        <v>5320</v>
      </c>
      <c r="N3477">
        <v>3900</v>
      </c>
      <c r="O3477">
        <v>1420</v>
      </c>
    </row>
    <row r="3478" spans="1:15" x14ac:dyDescent="0.25">
      <c r="A3478" t="s">
        <v>4543</v>
      </c>
      <c r="B3478" s="2">
        <v>49134</v>
      </c>
      <c r="C3478" t="s">
        <v>1480</v>
      </c>
      <c r="D3478" t="s">
        <v>1481</v>
      </c>
      <c r="E3478" t="s">
        <v>39</v>
      </c>
      <c r="F3478" t="s">
        <v>71</v>
      </c>
      <c r="G3478" t="s">
        <v>57</v>
      </c>
      <c r="H3478" t="s">
        <v>58</v>
      </c>
      <c r="I3478" t="s">
        <v>59</v>
      </c>
      <c r="J3478">
        <v>4</v>
      </c>
      <c r="K3478">
        <v>5600</v>
      </c>
      <c r="L3478">
        <v>0.2</v>
      </c>
      <c r="M3478">
        <v>17920</v>
      </c>
      <c r="N3478">
        <v>15600</v>
      </c>
      <c r="O3478">
        <v>2320</v>
      </c>
    </row>
    <row r="3479" spans="1:15" x14ac:dyDescent="0.25">
      <c r="A3479" t="s">
        <v>4544</v>
      </c>
      <c r="B3479" s="2">
        <v>49135</v>
      </c>
      <c r="C3479" t="s">
        <v>1145</v>
      </c>
      <c r="D3479" t="s">
        <v>1146</v>
      </c>
      <c r="E3479" t="s">
        <v>39</v>
      </c>
      <c r="F3479" t="s">
        <v>40</v>
      </c>
      <c r="G3479" t="s">
        <v>20</v>
      </c>
      <c r="H3479" t="s">
        <v>84</v>
      </c>
      <c r="I3479" t="s">
        <v>210</v>
      </c>
      <c r="J3479">
        <v>1</v>
      </c>
      <c r="K3479">
        <v>300</v>
      </c>
      <c r="L3479">
        <v>0.1</v>
      </c>
      <c r="M3479">
        <v>270</v>
      </c>
      <c r="N3479">
        <v>170</v>
      </c>
      <c r="O3479">
        <v>100</v>
      </c>
    </row>
    <row r="3480" spans="1:15" x14ac:dyDescent="0.25">
      <c r="A3480" t="s">
        <v>4545</v>
      </c>
      <c r="B3480" s="2">
        <v>49136</v>
      </c>
      <c r="C3480" t="s">
        <v>1183</v>
      </c>
      <c r="D3480" t="s">
        <v>1184</v>
      </c>
      <c r="E3480" t="s">
        <v>18</v>
      </c>
      <c r="F3480" t="s">
        <v>227</v>
      </c>
      <c r="G3480" t="s">
        <v>20</v>
      </c>
      <c r="H3480" t="s">
        <v>84</v>
      </c>
      <c r="I3480" t="s">
        <v>169</v>
      </c>
      <c r="J3480">
        <v>3</v>
      </c>
      <c r="K3480">
        <v>450</v>
      </c>
      <c r="L3480">
        <v>0.05</v>
      </c>
      <c r="M3480">
        <v>1282.5</v>
      </c>
      <c r="N3480">
        <v>780</v>
      </c>
      <c r="O3480">
        <v>502.5</v>
      </c>
    </row>
    <row r="3481" spans="1:15" x14ac:dyDescent="0.25">
      <c r="A3481" t="s">
        <v>4546</v>
      </c>
      <c r="B3481" s="2">
        <v>49137</v>
      </c>
      <c r="C3481" t="s">
        <v>1308</v>
      </c>
      <c r="D3481" t="s">
        <v>1309</v>
      </c>
      <c r="E3481" t="s">
        <v>26</v>
      </c>
      <c r="F3481" t="s">
        <v>27</v>
      </c>
      <c r="G3481" t="s">
        <v>51</v>
      </c>
      <c r="H3481" t="s">
        <v>52</v>
      </c>
      <c r="I3481" t="s">
        <v>53</v>
      </c>
      <c r="J3481">
        <v>3</v>
      </c>
      <c r="K3481">
        <v>2200</v>
      </c>
      <c r="L3481">
        <v>0.15</v>
      </c>
      <c r="M3481">
        <v>5610</v>
      </c>
      <c r="N3481">
        <v>4350</v>
      </c>
      <c r="O3481">
        <v>1260</v>
      </c>
    </row>
    <row r="3482" spans="1:15" x14ac:dyDescent="0.25">
      <c r="A3482" t="s">
        <v>4547</v>
      </c>
      <c r="B3482" s="2">
        <v>49138</v>
      </c>
      <c r="C3482" t="s">
        <v>2019</v>
      </c>
      <c r="D3482" t="s">
        <v>2020</v>
      </c>
      <c r="E3482" t="s">
        <v>18</v>
      </c>
      <c r="F3482" t="s">
        <v>115</v>
      </c>
      <c r="G3482" t="s">
        <v>51</v>
      </c>
      <c r="H3482" t="s">
        <v>52</v>
      </c>
      <c r="I3482" t="s">
        <v>53</v>
      </c>
      <c r="J3482">
        <v>3</v>
      </c>
      <c r="K3482">
        <v>2200</v>
      </c>
      <c r="L3482">
        <v>0.2</v>
      </c>
      <c r="M3482">
        <v>5280</v>
      </c>
      <c r="N3482">
        <v>4350</v>
      </c>
      <c r="O3482">
        <v>930</v>
      </c>
    </row>
    <row r="3483" spans="1:15" x14ac:dyDescent="0.25">
      <c r="A3483" t="s">
        <v>4548</v>
      </c>
      <c r="B3483" s="2">
        <v>49139</v>
      </c>
      <c r="C3483" t="s">
        <v>983</v>
      </c>
      <c r="D3483" t="s">
        <v>984</v>
      </c>
      <c r="E3483" t="s">
        <v>39</v>
      </c>
      <c r="F3483" t="s">
        <v>71</v>
      </c>
      <c r="G3483" t="s">
        <v>51</v>
      </c>
      <c r="H3483" t="s">
        <v>52</v>
      </c>
      <c r="I3483" t="s">
        <v>53</v>
      </c>
      <c r="J3483">
        <v>3</v>
      </c>
      <c r="K3483">
        <v>2200</v>
      </c>
      <c r="L3483">
        <v>0.1</v>
      </c>
      <c r="M3483">
        <v>5940</v>
      </c>
      <c r="N3483">
        <v>4350</v>
      </c>
      <c r="O3483">
        <v>1590</v>
      </c>
    </row>
    <row r="3484" spans="1:15" x14ac:dyDescent="0.25">
      <c r="A3484" t="s">
        <v>4549</v>
      </c>
      <c r="B3484" s="2">
        <v>49140</v>
      </c>
      <c r="C3484" t="s">
        <v>1059</v>
      </c>
      <c r="D3484" t="s">
        <v>1060</v>
      </c>
      <c r="E3484" t="s">
        <v>26</v>
      </c>
      <c r="F3484" t="s">
        <v>34</v>
      </c>
      <c r="G3484" t="s">
        <v>20</v>
      </c>
      <c r="H3484" t="s">
        <v>21</v>
      </c>
      <c r="I3484" t="s">
        <v>22</v>
      </c>
      <c r="J3484">
        <v>3</v>
      </c>
      <c r="K3484">
        <v>650</v>
      </c>
      <c r="L3484">
        <v>0.05</v>
      </c>
      <c r="M3484">
        <v>1852.5</v>
      </c>
      <c r="N3484">
        <v>1170</v>
      </c>
      <c r="O3484">
        <v>682.5</v>
      </c>
    </row>
    <row r="3485" spans="1:15" x14ac:dyDescent="0.25">
      <c r="A3485" t="s">
        <v>4550</v>
      </c>
      <c r="B3485" s="2">
        <v>49141</v>
      </c>
      <c r="C3485" t="s">
        <v>2326</v>
      </c>
      <c r="D3485" t="s">
        <v>2327</v>
      </c>
      <c r="E3485" t="s">
        <v>26</v>
      </c>
      <c r="F3485" t="s">
        <v>46</v>
      </c>
      <c r="G3485" t="s">
        <v>28</v>
      </c>
      <c r="H3485" t="s">
        <v>29</v>
      </c>
      <c r="I3485" t="s">
        <v>35</v>
      </c>
      <c r="J3485">
        <v>2</v>
      </c>
      <c r="K3485">
        <v>4200</v>
      </c>
      <c r="L3485">
        <v>0.05</v>
      </c>
      <c r="M3485">
        <v>7980</v>
      </c>
      <c r="N3485">
        <v>5800</v>
      </c>
      <c r="O3485">
        <v>2180</v>
      </c>
    </row>
    <row r="3486" spans="1:15" x14ac:dyDescent="0.25">
      <c r="A3486" t="s">
        <v>4551</v>
      </c>
      <c r="B3486" s="2">
        <v>49142</v>
      </c>
      <c r="C3486" t="s">
        <v>387</v>
      </c>
      <c r="D3486" t="s">
        <v>388</v>
      </c>
      <c r="E3486" t="s">
        <v>39</v>
      </c>
      <c r="F3486" t="s">
        <v>40</v>
      </c>
      <c r="G3486" t="s">
        <v>20</v>
      </c>
      <c r="H3486" t="s">
        <v>84</v>
      </c>
      <c r="I3486" t="s">
        <v>210</v>
      </c>
      <c r="J3486">
        <v>5</v>
      </c>
      <c r="K3486">
        <v>300</v>
      </c>
      <c r="L3486">
        <v>0.1</v>
      </c>
      <c r="M3486">
        <v>1350</v>
      </c>
      <c r="N3486">
        <v>850</v>
      </c>
      <c r="O3486">
        <v>500</v>
      </c>
    </row>
    <row r="3487" spans="1:15" x14ac:dyDescent="0.25">
      <c r="A3487" t="s">
        <v>4552</v>
      </c>
      <c r="B3487" s="2">
        <v>49143</v>
      </c>
      <c r="C3487" t="s">
        <v>504</v>
      </c>
      <c r="D3487" t="s">
        <v>505</v>
      </c>
      <c r="E3487" t="s">
        <v>39</v>
      </c>
      <c r="F3487" t="s">
        <v>40</v>
      </c>
      <c r="G3487" t="s">
        <v>57</v>
      </c>
      <c r="H3487" t="s">
        <v>58</v>
      </c>
      <c r="I3487" t="s">
        <v>59</v>
      </c>
      <c r="J3487">
        <v>5</v>
      </c>
      <c r="K3487">
        <v>5600</v>
      </c>
      <c r="L3487">
        <v>0.25</v>
      </c>
      <c r="M3487">
        <v>21000</v>
      </c>
      <c r="N3487">
        <v>19500</v>
      </c>
      <c r="O3487">
        <v>1500</v>
      </c>
    </row>
    <row r="3488" spans="1:15" x14ac:dyDescent="0.25">
      <c r="A3488" t="s">
        <v>4553</v>
      </c>
      <c r="B3488" s="2">
        <v>49144</v>
      </c>
      <c r="C3488" t="s">
        <v>611</v>
      </c>
      <c r="D3488" t="s">
        <v>612</v>
      </c>
      <c r="E3488" t="s">
        <v>26</v>
      </c>
      <c r="F3488" t="s">
        <v>128</v>
      </c>
      <c r="G3488" t="s">
        <v>20</v>
      </c>
      <c r="H3488" t="s">
        <v>84</v>
      </c>
      <c r="I3488" t="s">
        <v>85</v>
      </c>
      <c r="J3488">
        <v>4</v>
      </c>
      <c r="K3488">
        <v>280</v>
      </c>
      <c r="L3488">
        <v>0.1</v>
      </c>
      <c r="M3488">
        <v>1008</v>
      </c>
      <c r="N3488">
        <v>640</v>
      </c>
      <c r="O3488">
        <v>368</v>
      </c>
    </row>
    <row r="3489" spans="1:15" x14ac:dyDescent="0.25">
      <c r="A3489" t="s">
        <v>4554</v>
      </c>
      <c r="B3489" s="2">
        <v>49145</v>
      </c>
      <c r="C3489" t="s">
        <v>519</v>
      </c>
      <c r="D3489" t="s">
        <v>520</v>
      </c>
      <c r="E3489" t="s">
        <v>96</v>
      </c>
      <c r="F3489" t="s">
        <v>200</v>
      </c>
      <c r="G3489" t="s">
        <v>57</v>
      </c>
      <c r="H3489" t="s">
        <v>58</v>
      </c>
      <c r="I3489" t="s">
        <v>59</v>
      </c>
      <c r="J3489">
        <v>2</v>
      </c>
      <c r="K3489">
        <v>5600</v>
      </c>
      <c r="L3489">
        <v>0.05</v>
      </c>
      <c r="M3489">
        <v>10640</v>
      </c>
      <c r="N3489">
        <v>7800</v>
      </c>
      <c r="O3489">
        <v>2840</v>
      </c>
    </row>
    <row r="3490" spans="1:15" x14ac:dyDescent="0.25">
      <c r="A3490" t="s">
        <v>4555</v>
      </c>
      <c r="B3490" s="2">
        <v>49146</v>
      </c>
      <c r="C3490" t="s">
        <v>728</v>
      </c>
      <c r="D3490" t="s">
        <v>729</v>
      </c>
      <c r="E3490" t="s">
        <v>39</v>
      </c>
      <c r="F3490" t="s">
        <v>40</v>
      </c>
      <c r="G3490" t="s">
        <v>57</v>
      </c>
      <c r="H3490" t="s">
        <v>58</v>
      </c>
      <c r="I3490" t="s">
        <v>59</v>
      </c>
      <c r="J3490">
        <v>5</v>
      </c>
      <c r="K3490">
        <v>5600</v>
      </c>
      <c r="L3490">
        <v>0.15</v>
      </c>
      <c r="M3490">
        <v>23800</v>
      </c>
      <c r="N3490">
        <v>19500</v>
      </c>
      <c r="O3490">
        <v>4300</v>
      </c>
    </row>
    <row r="3491" spans="1:15" x14ac:dyDescent="0.25">
      <c r="A3491" t="s">
        <v>4556</v>
      </c>
      <c r="B3491" s="2">
        <v>49147</v>
      </c>
      <c r="C3491" t="s">
        <v>152</v>
      </c>
      <c r="D3491" t="s">
        <v>153</v>
      </c>
      <c r="E3491" t="s">
        <v>39</v>
      </c>
      <c r="F3491" t="s">
        <v>40</v>
      </c>
      <c r="G3491" t="s">
        <v>51</v>
      </c>
      <c r="H3491" t="s">
        <v>21</v>
      </c>
      <c r="I3491" t="s">
        <v>80</v>
      </c>
      <c r="J3491">
        <v>1</v>
      </c>
      <c r="K3491">
        <v>850</v>
      </c>
      <c r="L3491">
        <v>0.15</v>
      </c>
      <c r="M3491">
        <v>722.5</v>
      </c>
      <c r="N3491">
        <v>560</v>
      </c>
      <c r="O3491">
        <v>162.5</v>
      </c>
    </row>
    <row r="3492" spans="1:15" x14ac:dyDescent="0.25">
      <c r="A3492" t="s">
        <v>4557</v>
      </c>
      <c r="B3492" s="2">
        <v>49148</v>
      </c>
      <c r="C3492" t="s">
        <v>1012</v>
      </c>
      <c r="D3492" t="s">
        <v>1013</v>
      </c>
      <c r="E3492" t="s">
        <v>26</v>
      </c>
      <c r="F3492" t="s">
        <v>46</v>
      </c>
      <c r="G3492" t="s">
        <v>28</v>
      </c>
      <c r="H3492" t="s">
        <v>29</v>
      </c>
      <c r="I3492" t="s">
        <v>35</v>
      </c>
      <c r="J3492">
        <v>3</v>
      </c>
      <c r="K3492">
        <v>4200</v>
      </c>
      <c r="L3492">
        <v>0.1</v>
      </c>
      <c r="M3492">
        <v>11340</v>
      </c>
      <c r="N3492">
        <v>8700</v>
      </c>
      <c r="O3492">
        <v>2640</v>
      </c>
    </row>
    <row r="3493" spans="1:15" x14ac:dyDescent="0.25">
      <c r="A3493" t="s">
        <v>4558</v>
      </c>
      <c r="B3493" s="2">
        <v>49149</v>
      </c>
      <c r="C3493" t="s">
        <v>149</v>
      </c>
      <c r="D3493" t="s">
        <v>150</v>
      </c>
      <c r="E3493" t="s">
        <v>39</v>
      </c>
      <c r="F3493" t="s">
        <v>124</v>
      </c>
      <c r="G3493" t="s">
        <v>20</v>
      </c>
      <c r="H3493" t="s">
        <v>84</v>
      </c>
      <c r="I3493" t="s">
        <v>85</v>
      </c>
      <c r="J3493">
        <v>5</v>
      </c>
      <c r="K3493">
        <v>280</v>
      </c>
      <c r="L3493">
        <v>0.1</v>
      </c>
      <c r="M3493">
        <v>1260</v>
      </c>
      <c r="N3493">
        <v>800</v>
      </c>
      <c r="O3493">
        <v>460</v>
      </c>
    </row>
    <row r="3494" spans="1:15" x14ac:dyDescent="0.25">
      <c r="A3494" t="s">
        <v>4559</v>
      </c>
      <c r="B3494" s="2">
        <v>49150</v>
      </c>
      <c r="C3494" t="s">
        <v>32</v>
      </c>
      <c r="D3494" t="s">
        <v>33</v>
      </c>
      <c r="E3494" t="s">
        <v>26</v>
      </c>
      <c r="F3494" t="s">
        <v>34</v>
      </c>
      <c r="G3494" t="s">
        <v>51</v>
      </c>
      <c r="H3494" t="s">
        <v>52</v>
      </c>
      <c r="I3494" t="s">
        <v>208</v>
      </c>
      <c r="J3494">
        <v>4</v>
      </c>
      <c r="K3494">
        <v>2800</v>
      </c>
      <c r="L3494">
        <v>0.1</v>
      </c>
      <c r="M3494">
        <v>10080</v>
      </c>
      <c r="N3494">
        <v>7200</v>
      </c>
      <c r="O3494">
        <v>2880</v>
      </c>
    </row>
    <row r="3495" spans="1:15" x14ac:dyDescent="0.25">
      <c r="A3495" t="s">
        <v>4560</v>
      </c>
      <c r="B3495" s="2">
        <v>49151</v>
      </c>
      <c r="C3495" t="s">
        <v>1739</v>
      </c>
      <c r="D3495" t="s">
        <v>1740</v>
      </c>
      <c r="E3495" t="s">
        <v>96</v>
      </c>
      <c r="F3495" t="s">
        <v>196</v>
      </c>
      <c r="G3495" t="s">
        <v>57</v>
      </c>
      <c r="H3495" t="s">
        <v>188</v>
      </c>
      <c r="I3495" t="s">
        <v>189</v>
      </c>
      <c r="J3495">
        <v>3</v>
      </c>
      <c r="K3495">
        <v>6200</v>
      </c>
      <c r="L3495">
        <v>0</v>
      </c>
      <c r="M3495">
        <v>18600</v>
      </c>
      <c r="N3495">
        <v>12900</v>
      </c>
      <c r="O3495">
        <v>5700</v>
      </c>
    </row>
    <row r="3496" spans="1:15" x14ac:dyDescent="0.25">
      <c r="A3496" t="s">
        <v>4561</v>
      </c>
      <c r="B3496" s="2">
        <v>49152</v>
      </c>
      <c r="C3496" t="s">
        <v>763</v>
      </c>
      <c r="D3496" t="s">
        <v>764</v>
      </c>
      <c r="E3496" t="s">
        <v>96</v>
      </c>
      <c r="F3496" t="s">
        <v>97</v>
      </c>
      <c r="G3496" t="s">
        <v>51</v>
      </c>
      <c r="H3496" t="s">
        <v>21</v>
      </c>
      <c r="I3496" t="s">
        <v>80</v>
      </c>
      <c r="J3496">
        <v>4</v>
      </c>
      <c r="K3496">
        <v>850</v>
      </c>
      <c r="L3496">
        <v>0.15</v>
      </c>
      <c r="M3496">
        <v>2890</v>
      </c>
      <c r="N3496">
        <v>2240</v>
      </c>
      <c r="O3496">
        <v>650</v>
      </c>
    </row>
    <row r="3497" spans="1:15" x14ac:dyDescent="0.25">
      <c r="A3497" t="s">
        <v>4562</v>
      </c>
      <c r="B3497" s="2">
        <v>49153</v>
      </c>
      <c r="C3497" t="s">
        <v>772</v>
      </c>
      <c r="D3497" t="s">
        <v>773</v>
      </c>
      <c r="E3497" t="s">
        <v>26</v>
      </c>
      <c r="F3497" t="s">
        <v>204</v>
      </c>
      <c r="G3497" t="s">
        <v>20</v>
      </c>
      <c r="H3497" t="s">
        <v>84</v>
      </c>
      <c r="I3497" t="s">
        <v>210</v>
      </c>
      <c r="J3497">
        <v>3</v>
      </c>
      <c r="K3497">
        <v>300</v>
      </c>
      <c r="L3497">
        <v>0.15</v>
      </c>
      <c r="M3497">
        <v>765</v>
      </c>
      <c r="N3497">
        <v>510</v>
      </c>
      <c r="O3497">
        <v>255</v>
      </c>
    </row>
    <row r="3498" spans="1:15" x14ac:dyDescent="0.25">
      <c r="A3498" t="s">
        <v>4563</v>
      </c>
      <c r="B3498" s="2">
        <v>49154</v>
      </c>
      <c r="C3498" t="s">
        <v>724</v>
      </c>
      <c r="D3498" t="s">
        <v>725</v>
      </c>
      <c r="E3498" t="s">
        <v>18</v>
      </c>
      <c r="F3498" t="s">
        <v>94</v>
      </c>
      <c r="G3498" t="s">
        <v>20</v>
      </c>
      <c r="H3498" t="s">
        <v>84</v>
      </c>
      <c r="I3498" t="s">
        <v>85</v>
      </c>
      <c r="J3498">
        <v>3</v>
      </c>
      <c r="K3498">
        <v>280</v>
      </c>
      <c r="L3498">
        <v>0.15</v>
      </c>
      <c r="M3498">
        <v>714</v>
      </c>
      <c r="N3498">
        <v>480</v>
      </c>
      <c r="O3498">
        <v>234</v>
      </c>
    </row>
    <row r="3499" spans="1:15" x14ac:dyDescent="0.25">
      <c r="A3499" t="s">
        <v>4564</v>
      </c>
      <c r="B3499" s="2">
        <v>49155</v>
      </c>
      <c r="C3499" t="s">
        <v>1117</v>
      </c>
      <c r="D3499" t="s">
        <v>1118</v>
      </c>
      <c r="E3499" t="s">
        <v>26</v>
      </c>
      <c r="F3499" t="s">
        <v>34</v>
      </c>
      <c r="G3499" t="s">
        <v>51</v>
      </c>
      <c r="H3499" t="s">
        <v>21</v>
      </c>
      <c r="I3499" t="s">
        <v>72</v>
      </c>
      <c r="J3499">
        <v>3</v>
      </c>
      <c r="K3499">
        <v>1800</v>
      </c>
      <c r="L3499">
        <v>0.1</v>
      </c>
      <c r="M3499">
        <v>4860</v>
      </c>
      <c r="N3499">
        <v>3300</v>
      </c>
      <c r="O3499">
        <v>1560</v>
      </c>
    </row>
    <row r="3500" spans="1:15" x14ac:dyDescent="0.25">
      <c r="A3500" t="s">
        <v>4565</v>
      </c>
      <c r="B3500" s="2">
        <v>49156</v>
      </c>
      <c r="C3500" t="s">
        <v>1287</v>
      </c>
      <c r="D3500" t="s">
        <v>1288</v>
      </c>
      <c r="E3500" t="s">
        <v>18</v>
      </c>
      <c r="F3500" t="s">
        <v>94</v>
      </c>
      <c r="G3500" t="s">
        <v>51</v>
      </c>
      <c r="H3500" t="s">
        <v>89</v>
      </c>
      <c r="I3500" t="s">
        <v>90</v>
      </c>
      <c r="J3500">
        <v>5</v>
      </c>
      <c r="K3500">
        <v>10500</v>
      </c>
      <c r="L3500">
        <v>0.25</v>
      </c>
      <c r="M3500">
        <v>39375</v>
      </c>
      <c r="N3500">
        <v>38000</v>
      </c>
      <c r="O3500">
        <v>1375</v>
      </c>
    </row>
    <row r="3501" spans="1:15" x14ac:dyDescent="0.25">
      <c r="A3501" t="s">
        <v>4566</v>
      </c>
      <c r="B3501" s="2">
        <v>49157</v>
      </c>
      <c r="C3501" t="s">
        <v>799</v>
      </c>
      <c r="D3501" t="s">
        <v>800</v>
      </c>
      <c r="E3501" t="s">
        <v>39</v>
      </c>
      <c r="F3501" t="s">
        <v>76</v>
      </c>
      <c r="G3501" t="s">
        <v>20</v>
      </c>
      <c r="H3501" t="s">
        <v>84</v>
      </c>
      <c r="I3501" t="s">
        <v>85</v>
      </c>
      <c r="J3501">
        <v>4</v>
      </c>
      <c r="K3501">
        <v>280</v>
      </c>
      <c r="L3501">
        <v>0.15</v>
      </c>
      <c r="M3501">
        <v>952</v>
      </c>
      <c r="N3501">
        <v>640</v>
      </c>
      <c r="O3501">
        <v>312</v>
      </c>
    </row>
    <row r="3502" spans="1:15" x14ac:dyDescent="0.25">
      <c r="A3502" t="s">
        <v>4567</v>
      </c>
      <c r="B3502" s="2">
        <v>49158</v>
      </c>
      <c r="C3502" t="s">
        <v>597</v>
      </c>
      <c r="D3502" t="s">
        <v>598</v>
      </c>
      <c r="E3502" t="s">
        <v>96</v>
      </c>
      <c r="F3502" t="s">
        <v>97</v>
      </c>
      <c r="G3502" t="s">
        <v>51</v>
      </c>
      <c r="H3502" t="s">
        <v>21</v>
      </c>
      <c r="I3502" t="s">
        <v>72</v>
      </c>
      <c r="J3502">
        <v>4</v>
      </c>
      <c r="K3502">
        <v>1800</v>
      </c>
      <c r="L3502">
        <v>0.1</v>
      </c>
      <c r="M3502">
        <v>6480</v>
      </c>
      <c r="N3502">
        <v>4400</v>
      </c>
      <c r="O3502">
        <v>2080</v>
      </c>
    </row>
    <row r="3503" spans="1:15" x14ac:dyDescent="0.25">
      <c r="A3503" t="s">
        <v>4568</v>
      </c>
      <c r="B3503" s="2">
        <v>49159</v>
      </c>
      <c r="C3503" t="s">
        <v>1075</v>
      </c>
      <c r="D3503" t="s">
        <v>1076</v>
      </c>
      <c r="E3503" t="s">
        <v>18</v>
      </c>
      <c r="F3503" t="s">
        <v>227</v>
      </c>
      <c r="G3503" t="s">
        <v>51</v>
      </c>
      <c r="H3503" t="s">
        <v>89</v>
      </c>
      <c r="I3503" t="s">
        <v>90</v>
      </c>
      <c r="J3503">
        <v>1</v>
      </c>
      <c r="K3503">
        <v>10500</v>
      </c>
      <c r="L3503">
        <v>0.1</v>
      </c>
      <c r="M3503">
        <v>9450</v>
      </c>
      <c r="N3503">
        <v>7600</v>
      </c>
      <c r="O3503">
        <v>1850</v>
      </c>
    </row>
    <row r="3504" spans="1:15" x14ac:dyDescent="0.25">
      <c r="A3504" t="s">
        <v>4569</v>
      </c>
      <c r="B3504" s="2">
        <v>49160</v>
      </c>
      <c r="C3504" t="s">
        <v>1682</v>
      </c>
      <c r="D3504" t="s">
        <v>1683</v>
      </c>
      <c r="E3504" t="s">
        <v>18</v>
      </c>
      <c r="F3504" t="s">
        <v>115</v>
      </c>
      <c r="G3504" t="s">
        <v>28</v>
      </c>
      <c r="H3504" t="s">
        <v>29</v>
      </c>
      <c r="I3504" t="s">
        <v>47</v>
      </c>
      <c r="J3504">
        <v>2</v>
      </c>
      <c r="K3504">
        <v>6800</v>
      </c>
      <c r="L3504">
        <v>0.15</v>
      </c>
      <c r="M3504">
        <v>11560</v>
      </c>
      <c r="N3504">
        <v>9400</v>
      </c>
      <c r="O3504">
        <v>2160</v>
      </c>
    </row>
    <row r="3505" spans="1:15" x14ac:dyDescent="0.25">
      <c r="A3505" t="s">
        <v>4570</v>
      </c>
      <c r="B3505" s="2">
        <v>49161</v>
      </c>
      <c r="C3505" t="s">
        <v>1803</v>
      </c>
      <c r="D3505" t="s">
        <v>1804</v>
      </c>
      <c r="E3505" t="s">
        <v>96</v>
      </c>
      <c r="F3505" t="s">
        <v>196</v>
      </c>
      <c r="G3505" t="s">
        <v>20</v>
      </c>
      <c r="H3505" t="s">
        <v>84</v>
      </c>
      <c r="I3505" t="s">
        <v>169</v>
      </c>
      <c r="J3505">
        <v>5</v>
      </c>
      <c r="K3505">
        <v>450</v>
      </c>
      <c r="L3505">
        <v>0.05</v>
      </c>
      <c r="M3505">
        <v>2137.5</v>
      </c>
      <c r="N3505">
        <v>1300</v>
      </c>
      <c r="O3505">
        <v>837.5</v>
      </c>
    </row>
    <row r="3506" spans="1:15" x14ac:dyDescent="0.25">
      <c r="A3506" t="s">
        <v>4571</v>
      </c>
      <c r="B3506" s="2">
        <v>49162</v>
      </c>
      <c r="C3506" t="s">
        <v>905</v>
      </c>
      <c r="D3506" t="s">
        <v>906</v>
      </c>
      <c r="E3506" t="s">
        <v>26</v>
      </c>
      <c r="F3506" t="s">
        <v>27</v>
      </c>
      <c r="G3506" t="s">
        <v>51</v>
      </c>
      <c r="H3506" t="s">
        <v>21</v>
      </c>
      <c r="I3506" t="s">
        <v>116</v>
      </c>
      <c r="J3506">
        <v>4</v>
      </c>
      <c r="K3506">
        <v>1400</v>
      </c>
      <c r="L3506">
        <v>0</v>
      </c>
      <c r="M3506">
        <v>5600</v>
      </c>
      <c r="N3506">
        <v>3600</v>
      </c>
      <c r="O3506">
        <v>2000</v>
      </c>
    </row>
    <row r="3507" spans="1:15" x14ac:dyDescent="0.25">
      <c r="A3507" t="s">
        <v>4572</v>
      </c>
      <c r="B3507" s="2">
        <v>49163</v>
      </c>
      <c r="C3507" t="s">
        <v>1240</v>
      </c>
      <c r="D3507" t="s">
        <v>1241</v>
      </c>
      <c r="E3507" t="s">
        <v>26</v>
      </c>
      <c r="F3507" t="s">
        <v>46</v>
      </c>
      <c r="G3507" t="s">
        <v>57</v>
      </c>
      <c r="H3507" t="s">
        <v>104</v>
      </c>
      <c r="I3507" t="s">
        <v>105</v>
      </c>
      <c r="J3507">
        <v>1</v>
      </c>
      <c r="K3507">
        <v>7500</v>
      </c>
      <c r="L3507">
        <v>0.25</v>
      </c>
      <c r="M3507">
        <v>5625</v>
      </c>
      <c r="N3507">
        <v>5200</v>
      </c>
      <c r="O3507">
        <v>425</v>
      </c>
    </row>
    <row r="3508" spans="1:15" x14ac:dyDescent="0.25">
      <c r="A3508" t="s">
        <v>4573</v>
      </c>
      <c r="B3508" s="2">
        <v>49164</v>
      </c>
      <c r="C3508" t="s">
        <v>630</v>
      </c>
      <c r="D3508" t="s">
        <v>631</v>
      </c>
      <c r="E3508" t="s">
        <v>96</v>
      </c>
      <c r="F3508" t="s">
        <v>196</v>
      </c>
      <c r="G3508" t="s">
        <v>51</v>
      </c>
      <c r="H3508" t="s">
        <v>52</v>
      </c>
      <c r="I3508" t="s">
        <v>53</v>
      </c>
      <c r="J3508">
        <v>4</v>
      </c>
      <c r="K3508">
        <v>2200</v>
      </c>
      <c r="L3508">
        <v>0.1</v>
      </c>
      <c r="M3508">
        <v>7920</v>
      </c>
      <c r="N3508">
        <v>5800</v>
      </c>
      <c r="O3508">
        <v>2120</v>
      </c>
    </row>
    <row r="3509" spans="1:15" x14ac:dyDescent="0.25">
      <c r="A3509" t="s">
        <v>4574</v>
      </c>
      <c r="B3509" s="2">
        <v>49165</v>
      </c>
      <c r="C3509" t="s">
        <v>2241</v>
      </c>
      <c r="D3509" t="s">
        <v>2242</v>
      </c>
      <c r="E3509" t="s">
        <v>26</v>
      </c>
      <c r="F3509" t="s">
        <v>128</v>
      </c>
      <c r="G3509" t="s">
        <v>57</v>
      </c>
      <c r="H3509" t="s">
        <v>188</v>
      </c>
      <c r="I3509" t="s">
        <v>189</v>
      </c>
      <c r="J3509">
        <v>1</v>
      </c>
      <c r="K3509">
        <v>6200</v>
      </c>
      <c r="L3509">
        <v>0.15</v>
      </c>
      <c r="M3509">
        <v>5270</v>
      </c>
      <c r="N3509">
        <v>4300</v>
      </c>
      <c r="O3509">
        <v>970</v>
      </c>
    </row>
    <row r="3510" spans="1:15" x14ac:dyDescent="0.25">
      <c r="A3510" t="s">
        <v>4575</v>
      </c>
      <c r="B3510" s="2">
        <v>49166</v>
      </c>
      <c r="C3510" t="s">
        <v>369</v>
      </c>
      <c r="D3510" t="s">
        <v>370</v>
      </c>
      <c r="E3510" t="s">
        <v>26</v>
      </c>
      <c r="F3510" t="s">
        <v>204</v>
      </c>
      <c r="G3510" t="s">
        <v>20</v>
      </c>
      <c r="H3510" t="s">
        <v>84</v>
      </c>
      <c r="I3510" t="s">
        <v>210</v>
      </c>
      <c r="J3510">
        <v>1</v>
      </c>
      <c r="K3510">
        <v>300</v>
      </c>
      <c r="L3510">
        <v>0.1</v>
      </c>
      <c r="M3510">
        <v>270</v>
      </c>
      <c r="N3510">
        <v>170</v>
      </c>
      <c r="O3510">
        <v>100</v>
      </c>
    </row>
    <row r="3511" spans="1:15" x14ac:dyDescent="0.25">
      <c r="A3511" t="s">
        <v>4576</v>
      </c>
      <c r="B3511" s="2">
        <v>49167</v>
      </c>
      <c r="C3511" t="s">
        <v>420</v>
      </c>
      <c r="D3511" t="s">
        <v>421</v>
      </c>
      <c r="E3511" t="s">
        <v>39</v>
      </c>
      <c r="F3511" t="s">
        <v>76</v>
      </c>
      <c r="G3511" t="s">
        <v>51</v>
      </c>
      <c r="H3511" t="s">
        <v>21</v>
      </c>
      <c r="I3511" t="s">
        <v>72</v>
      </c>
      <c r="J3511">
        <v>2</v>
      </c>
      <c r="K3511">
        <v>1800</v>
      </c>
      <c r="L3511">
        <v>0.15</v>
      </c>
      <c r="M3511">
        <v>3060</v>
      </c>
      <c r="N3511">
        <v>2200</v>
      </c>
      <c r="O3511">
        <v>860</v>
      </c>
    </row>
    <row r="3512" spans="1:15" x14ac:dyDescent="0.25">
      <c r="A3512" t="s">
        <v>4577</v>
      </c>
      <c r="B3512" s="2">
        <v>49168</v>
      </c>
      <c r="C3512" t="s">
        <v>384</v>
      </c>
      <c r="D3512" t="s">
        <v>385</v>
      </c>
      <c r="E3512" t="s">
        <v>26</v>
      </c>
      <c r="F3512" t="s">
        <v>204</v>
      </c>
      <c r="G3512" t="s">
        <v>20</v>
      </c>
      <c r="H3512" t="s">
        <v>84</v>
      </c>
      <c r="I3512" t="s">
        <v>85</v>
      </c>
      <c r="J3512">
        <v>3</v>
      </c>
      <c r="K3512">
        <v>280</v>
      </c>
      <c r="L3512">
        <v>0.1</v>
      </c>
      <c r="M3512">
        <v>756</v>
      </c>
      <c r="N3512">
        <v>480</v>
      </c>
      <c r="O3512">
        <v>276</v>
      </c>
    </row>
    <row r="3513" spans="1:15" x14ac:dyDescent="0.25">
      <c r="A3513" t="s">
        <v>4578</v>
      </c>
      <c r="B3513" s="2">
        <v>49169</v>
      </c>
      <c r="C3513" t="s">
        <v>994</v>
      </c>
      <c r="D3513" t="s">
        <v>995</v>
      </c>
      <c r="E3513" t="s">
        <v>96</v>
      </c>
      <c r="F3513" t="s">
        <v>120</v>
      </c>
      <c r="G3513" t="s">
        <v>57</v>
      </c>
      <c r="H3513" t="s">
        <v>58</v>
      </c>
      <c r="I3513" t="s">
        <v>59</v>
      </c>
      <c r="J3513">
        <v>1</v>
      </c>
      <c r="K3513">
        <v>5600</v>
      </c>
      <c r="L3513">
        <v>0.15</v>
      </c>
      <c r="M3513">
        <v>4760</v>
      </c>
      <c r="N3513">
        <v>3900</v>
      </c>
      <c r="O3513">
        <v>860</v>
      </c>
    </row>
    <row r="3514" spans="1:15" x14ac:dyDescent="0.25">
      <c r="A3514" t="s">
        <v>4579</v>
      </c>
      <c r="B3514" s="2">
        <v>49170</v>
      </c>
      <c r="C3514" t="s">
        <v>198</v>
      </c>
      <c r="D3514" t="s">
        <v>199</v>
      </c>
      <c r="E3514" t="s">
        <v>18</v>
      </c>
      <c r="F3514" t="s">
        <v>94</v>
      </c>
      <c r="G3514" t="s">
        <v>20</v>
      </c>
      <c r="H3514" t="s">
        <v>84</v>
      </c>
      <c r="I3514" t="s">
        <v>85</v>
      </c>
      <c r="J3514">
        <v>5</v>
      </c>
      <c r="K3514">
        <v>280</v>
      </c>
      <c r="L3514">
        <v>0.1</v>
      </c>
      <c r="M3514">
        <v>1260</v>
      </c>
      <c r="N3514">
        <v>800</v>
      </c>
      <c r="O3514">
        <v>460</v>
      </c>
    </row>
    <row r="3515" spans="1:15" x14ac:dyDescent="0.25">
      <c r="A3515" t="s">
        <v>4580</v>
      </c>
      <c r="B3515" s="2">
        <v>49171</v>
      </c>
      <c r="C3515" t="s">
        <v>402</v>
      </c>
      <c r="D3515" t="s">
        <v>403</v>
      </c>
      <c r="E3515" t="s">
        <v>26</v>
      </c>
      <c r="F3515" t="s">
        <v>46</v>
      </c>
      <c r="G3515" t="s">
        <v>51</v>
      </c>
      <c r="H3515" t="s">
        <v>52</v>
      </c>
      <c r="I3515" t="s">
        <v>208</v>
      </c>
      <c r="J3515">
        <v>3</v>
      </c>
      <c r="K3515">
        <v>2800</v>
      </c>
      <c r="L3515">
        <v>0</v>
      </c>
      <c r="M3515">
        <v>8400</v>
      </c>
      <c r="N3515">
        <v>5400</v>
      </c>
      <c r="O3515">
        <v>3000</v>
      </c>
    </row>
    <row r="3516" spans="1:15" x14ac:dyDescent="0.25">
      <c r="A3516" t="s">
        <v>4581</v>
      </c>
      <c r="B3516" s="2">
        <v>49172</v>
      </c>
      <c r="C3516" t="s">
        <v>541</v>
      </c>
      <c r="D3516" t="s">
        <v>542</v>
      </c>
      <c r="E3516" t="s">
        <v>96</v>
      </c>
      <c r="F3516" t="s">
        <v>196</v>
      </c>
      <c r="G3516" t="s">
        <v>57</v>
      </c>
      <c r="H3516" t="s">
        <v>58</v>
      </c>
      <c r="I3516" t="s">
        <v>129</v>
      </c>
      <c r="J3516">
        <v>2</v>
      </c>
      <c r="K3516">
        <v>4800</v>
      </c>
      <c r="L3516">
        <v>0.15</v>
      </c>
      <c r="M3516">
        <v>8160</v>
      </c>
      <c r="N3516">
        <v>6600</v>
      </c>
      <c r="O3516">
        <v>1560</v>
      </c>
    </row>
    <row r="3517" spans="1:15" x14ac:dyDescent="0.25">
      <c r="A3517" t="s">
        <v>4582</v>
      </c>
      <c r="B3517" s="2">
        <v>49173</v>
      </c>
      <c r="C3517" t="s">
        <v>1207</v>
      </c>
      <c r="D3517" t="s">
        <v>1208</v>
      </c>
      <c r="E3517" t="s">
        <v>18</v>
      </c>
      <c r="F3517" t="s">
        <v>19</v>
      </c>
      <c r="G3517" t="s">
        <v>51</v>
      </c>
      <c r="H3517" t="s">
        <v>89</v>
      </c>
      <c r="I3517" t="s">
        <v>90</v>
      </c>
      <c r="J3517">
        <v>3</v>
      </c>
      <c r="K3517">
        <v>10500</v>
      </c>
      <c r="L3517">
        <v>0.05</v>
      </c>
      <c r="M3517">
        <v>29925</v>
      </c>
      <c r="N3517">
        <v>22800</v>
      </c>
      <c r="O3517">
        <v>7125</v>
      </c>
    </row>
    <row r="3518" spans="1:15" x14ac:dyDescent="0.25">
      <c r="A3518" t="s">
        <v>4583</v>
      </c>
      <c r="B3518" s="2">
        <v>49174</v>
      </c>
      <c r="C3518" t="s">
        <v>1940</v>
      </c>
      <c r="D3518" t="s">
        <v>1941</v>
      </c>
      <c r="E3518" t="s">
        <v>39</v>
      </c>
      <c r="F3518" t="s">
        <v>71</v>
      </c>
      <c r="G3518" t="s">
        <v>51</v>
      </c>
      <c r="H3518" t="s">
        <v>21</v>
      </c>
      <c r="I3518" t="s">
        <v>80</v>
      </c>
      <c r="J3518">
        <v>4</v>
      </c>
      <c r="K3518">
        <v>850</v>
      </c>
      <c r="L3518">
        <v>0.05</v>
      </c>
      <c r="M3518">
        <v>3230</v>
      </c>
      <c r="N3518">
        <v>2240</v>
      </c>
      <c r="O3518">
        <v>990</v>
      </c>
    </row>
    <row r="3519" spans="1:15" x14ac:dyDescent="0.25">
      <c r="A3519" t="s">
        <v>4584</v>
      </c>
      <c r="B3519" s="2">
        <v>49175</v>
      </c>
      <c r="C3519" t="s">
        <v>1494</v>
      </c>
      <c r="D3519" t="s">
        <v>1495</v>
      </c>
      <c r="E3519" t="s">
        <v>39</v>
      </c>
      <c r="F3519" t="s">
        <v>76</v>
      </c>
      <c r="G3519" t="s">
        <v>28</v>
      </c>
      <c r="H3519" t="s">
        <v>29</v>
      </c>
      <c r="I3519" t="s">
        <v>30</v>
      </c>
      <c r="J3519">
        <v>1</v>
      </c>
      <c r="K3519">
        <v>1900</v>
      </c>
      <c r="L3519">
        <v>0.1</v>
      </c>
      <c r="M3519">
        <v>1710</v>
      </c>
      <c r="N3519">
        <v>1250</v>
      </c>
      <c r="O3519">
        <v>460</v>
      </c>
    </row>
    <row r="3520" spans="1:15" x14ac:dyDescent="0.25">
      <c r="A3520" t="s">
        <v>4585</v>
      </c>
      <c r="B3520" s="2">
        <v>49176</v>
      </c>
      <c r="C3520" t="s">
        <v>44</v>
      </c>
      <c r="D3520" t="s">
        <v>45</v>
      </c>
      <c r="E3520" t="s">
        <v>18</v>
      </c>
      <c r="F3520" t="s">
        <v>94</v>
      </c>
      <c r="G3520" t="s">
        <v>51</v>
      </c>
      <c r="H3520" t="s">
        <v>21</v>
      </c>
      <c r="I3520" t="s">
        <v>116</v>
      </c>
      <c r="J3520">
        <v>3</v>
      </c>
      <c r="K3520">
        <v>1400</v>
      </c>
      <c r="L3520">
        <v>0.05</v>
      </c>
      <c r="M3520">
        <v>3990</v>
      </c>
      <c r="N3520">
        <v>2700</v>
      </c>
      <c r="O3520">
        <v>1290</v>
      </c>
    </row>
    <row r="3521" spans="1:15" x14ac:dyDescent="0.25">
      <c r="A3521" t="s">
        <v>4586</v>
      </c>
      <c r="B3521" s="2">
        <v>49177</v>
      </c>
      <c r="C3521" t="s">
        <v>1641</v>
      </c>
      <c r="D3521" t="s">
        <v>1642</v>
      </c>
      <c r="E3521" t="s">
        <v>96</v>
      </c>
      <c r="F3521" t="s">
        <v>200</v>
      </c>
      <c r="G3521" t="s">
        <v>20</v>
      </c>
      <c r="H3521" t="s">
        <v>41</v>
      </c>
      <c r="I3521" t="s">
        <v>42</v>
      </c>
      <c r="J3521">
        <v>5</v>
      </c>
      <c r="K3521">
        <v>520</v>
      </c>
      <c r="L3521">
        <v>0.25</v>
      </c>
      <c r="M3521">
        <v>1950</v>
      </c>
      <c r="N3521">
        <v>1650</v>
      </c>
      <c r="O3521">
        <v>300</v>
      </c>
    </row>
    <row r="3522" spans="1:15" x14ac:dyDescent="0.25">
      <c r="A3522" t="s">
        <v>4587</v>
      </c>
      <c r="B3522" s="2">
        <v>49178</v>
      </c>
      <c r="C3522" t="s">
        <v>66</v>
      </c>
      <c r="D3522" t="s">
        <v>67</v>
      </c>
      <c r="E3522" t="s">
        <v>39</v>
      </c>
      <c r="F3522" t="s">
        <v>76</v>
      </c>
      <c r="G3522" t="s">
        <v>51</v>
      </c>
      <c r="H3522" t="s">
        <v>21</v>
      </c>
      <c r="I3522" t="s">
        <v>80</v>
      </c>
      <c r="J3522">
        <v>3</v>
      </c>
      <c r="K3522">
        <v>850</v>
      </c>
      <c r="L3522">
        <v>0.25</v>
      </c>
      <c r="M3522">
        <v>1912.5</v>
      </c>
      <c r="N3522">
        <v>1680</v>
      </c>
      <c r="O3522">
        <v>232.5</v>
      </c>
    </row>
    <row r="3523" spans="1:15" x14ac:dyDescent="0.25">
      <c r="A3523" t="s">
        <v>4588</v>
      </c>
      <c r="B3523" s="2">
        <v>49179</v>
      </c>
      <c r="C3523" t="s">
        <v>1180</v>
      </c>
      <c r="D3523" t="s">
        <v>1181</v>
      </c>
      <c r="E3523" t="s">
        <v>96</v>
      </c>
      <c r="F3523" t="s">
        <v>120</v>
      </c>
      <c r="G3523" t="s">
        <v>28</v>
      </c>
      <c r="H3523" t="s">
        <v>63</v>
      </c>
      <c r="I3523" t="s">
        <v>64</v>
      </c>
      <c r="J3523">
        <v>1</v>
      </c>
      <c r="K3523">
        <v>2400</v>
      </c>
      <c r="L3523">
        <v>0.15</v>
      </c>
      <c r="M3523">
        <v>2040</v>
      </c>
      <c r="N3523">
        <v>1650</v>
      </c>
      <c r="O3523">
        <v>390</v>
      </c>
    </row>
    <row r="3524" spans="1:15" x14ac:dyDescent="0.25">
      <c r="A3524" t="s">
        <v>4589</v>
      </c>
      <c r="B3524" s="2">
        <v>49180</v>
      </c>
      <c r="C3524" t="s">
        <v>1636</v>
      </c>
      <c r="D3524" t="s">
        <v>1637</v>
      </c>
      <c r="E3524" t="s">
        <v>18</v>
      </c>
      <c r="F3524" t="s">
        <v>227</v>
      </c>
      <c r="G3524" t="s">
        <v>51</v>
      </c>
      <c r="H3524" t="s">
        <v>52</v>
      </c>
      <c r="I3524" t="s">
        <v>53</v>
      </c>
      <c r="J3524">
        <v>1</v>
      </c>
      <c r="K3524">
        <v>2200</v>
      </c>
      <c r="L3524">
        <v>0.15</v>
      </c>
      <c r="M3524">
        <v>1870</v>
      </c>
      <c r="N3524">
        <v>1450</v>
      </c>
      <c r="O3524">
        <v>420</v>
      </c>
    </row>
    <row r="3525" spans="1:15" x14ac:dyDescent="0.25">
      <c r="A3525" t="s">
        <v>4590</v>
      </c>
      <c r="B3525" s="2">
        <v>49181</v>
      </c>
      <c r="C3525" t="s">
        <v>323</v>
      </c>
      <c r="D3525" t="s">
        <v>324</v>
      </c>
      <c r="E3525" t="s">
        <v>96</v>
      </c>
      <c r="F3525" t="s">
        <v>200</v>
      </c>
      <c r="G3525" t="s">
        <v>57</v>
      </c>
      <c r="H3525" t="s">
        <v>104</v>
      </c>
      <c r="I3525" t="s">
        <v>105</v>
      </c>
      <c r="J3525">
        <v>4</v>
      </c>
      <c r="K3525">
        <v>7500</v>
      </c>
      <c r="L3525">
        <v>0</v>
      </c>
      <c r="M3525">
        <v>30000</v>
      </c>
      <c r="N3525">
        <v>20800</v>
      </c>
      <c r="O3525">
        <v>9200</v>
      </c>
    </row>
    <row r="3526" spans="1:15" x14ac:dyDescent="0.25">
      <c r="A3526" t="s">
        <v>4591</v>
      </c>
      <c r="B3526" s="2">
        <v>49182</v>
      </c>
      <c r="C3526" t="s">
        <v>1336</v>
      </c>
      <c r="D3526" t="s">
        <v>1337</v>
      </c>
      <c r="E3526" t="s">
        <v>26</v>
      </c>
      <c r="F3526" t="s">
        <v>27</v>
      </c>
      <c r="G3526" t="s">
        <v>57</v>
      </c>
      <c r="H3526" t="s">
        <v>104</v>
      </c>
      <c r="I3526" t="s">
        <v>105</v>
      </c>
      <c r="J3526">
        <v>5</v>
      </c>
      <c r="K3526">
        <v>7500</v>
      </c>
      <c r="L3526">
        <v>0.15</v>
      </c>
      <c r="M3526">
        <v>31875</v>
      </c>
      <c r="N3526">
        <v>26000</v>
      </c>
      <c r="O3526">
        <v>5875</v>
      </c>
    </row>
    <row r="3527" spans="1:15" x14ac:dyDescent="0.25">
      <c r="A3527" t="s">
        <v>4592</v>
      </c>
      <c r="B3527" s="2">
        <v>49183</v>
      </c>
      <c r="C3527" t="s">
        <v>619</v>
      </c>
      <c r="D3527" t="s">
        <v>620</v>
      </c>
      <c r="E3527" t="s">
        <v>26</v>
      </c>
      <c r="F3527" t="s">
        <v>27</v>
      </c>
      <c r="G3527" t="s">
        <v>20</v>
      </c>
      <c r="H3527" t="s">
        <v>41</v>
      </c>
      <c r="I3527" t="s">
        <v>42</v>
      </c>
      <c r="J3527">
        <v>4</v>
      </c>
      <c r="K3527">
        <v>520</v>
      </c>
      <c r="L3527">
        <v>0.25</v>
      </c>
      <c r="M3527">
        <v>1560</v>
      </c>
      <c r="N3527">
        <v>1320</v>
      </c>
      <c r="O3527">
        <v>240</v>
      </c>
    </row>
    <row r="3528" spans="1:15" x14ac:dyDescent="0.25">
      <c r="A3528" t="s">
        <v>4593</v>
      </c>
      <c r="B3528" s="2">
        <v>49184</v>
      </c>
      <c r="C3528" t="s">
        <v>1012</v>
      </c>
      <c r="D3528" t="s">
        <v>1013</v>
      </c>
      <c r="E3528" t="s">
        <v>39</v>
      </c>
      <c r="F3528" t="s">
        <v>71</v>
      </c>
      <c r="G3528" t="s">
        <v>51</v>
      </c>
      <c r="H3528" t="s">
        <v>52</v>
      </c>
      <c r="I3528" t="s">
        <v>53</v>
      </c>
      <c r="J3528">
        <v>5</v>
      </c>
      <c r="K3528">
        <v>2200</v>
      </c>
      <c r="L3528">
        <v>0</v>
      </c>
      <c r="M3528">
        <v>11000</v>
      </c>
      <c r="N3528">
        <v>7250</v>
      </c>
      <c r="O3528">
        <v>3750</v>
      </c>
    </row>
    <row r="3529" spans="1:15" x14ac:dyDescent="0.25">
      <c r="A3529" t="s">
        <v>4594</v>
      </c>
      <c r="B3529" s="2">
        <v>49185</v>
      </c>
      <c r="C3529" t="s">
        <v>573</v>
      </c>
      <c r="D3529" t="s">
        <v>574</v>
      </c>
      <c r="E3529" t="s">
        <v>96</v>
      </c>
      <c r="F3529" t="s">
        <v>200</v>
      </c>
      <c r="G3529" t="s">
        <v>57</v>
      </c>
      <c r="H3529" t="s">
        <v>58</v>
      </c>
      <c r="I3529" t="s">
        <v>129</v>
      </c>
      <c r="J3529">
        <v>2</v>
      </c>
      <c r="K3529">
        <v>4800</v>
      </c>
      <c r="L3529">
        <v>0.05</v>
      </c>
      <c r="M3529">
        <v>9120</v>
      </c>
      <c r="N3529">
        <v>6600</v>
      </c>
      <c r="O3529">
        <v>2520</v>
      </c>
    </row>
    <row r="3530" spans="1:15" x14ac:dyDescent="0.25">
      <c r="A3530" t="s">
        <v>4595</v>
      </c>
      <c r="B3530" s="2">
        <v>49186</v>
      </c>
      <c r="C3530" t="s">
        <v>2022</v>
      </c>
      <c r="D3530" t="s">
        <v>2023</v>
      </c>
      <c r="E3530" t="s">
        <v>96</v>
      </c>
      <c r="F3530" t="s">
        <v>196</v>
      </c>
      <c r="G3530" t="s">
        <v>28</v>
      </c>
      <c r="H3530" t="s">
        <v>29</v>
      </c>
      <c r="I3530" t="s">
        <v>35</v>
      </c>
      <c r="J3530">
        <v>3</v>
      </c>
      <c r="K3530">
        <v>4200</v>
      </c>
      <c r="L3530">
        <v>0.1</v>
      </c>
      <c r="M3530">
        <v>11340</v>
      </c>
      <c r="N3530">
        <v>8700</v>
      </c>
      <c r="O3530">
        <v>2640</v>
      </c>
    </row>
    <row r="3531" spans="1:15" x14ac:dyDescent="0.25">
      <c r="A3531" t="s">
        <v>4596</v>
      </c>
      <c r="B3531" s="2">
        <v>49187</v>
      </c>
      <c r="C3531" t="s">
        <v>547</v>
      </c>
      <c r="D3531" t="s">
        <v>548</v>
      </c>
      <c r="E3531" t="s">
        <v>96</v>
      </c>
      <c r="F3531" t="s">
        <v>97</v>
      </c>
      <c r="G3531" t="s">
        <v>28</v>
      </c>
      <c r="H3531" t="s">
        <v>29</v>
      </c>
      <c r="I3531" t="s">
        <v>35</v>
      </c>
      <c r="J3531">
        <v>3</v>
      </c>
      <c r="K3531">
        <v>4200</v>
      </c>
      <c r="L3531">
        <v>0.05</v>
      </c>
      <c r="M3531">
        <v>11970</v>
      </c>
      <c r="N3531">
        <v>8700</v>
      </c>
      <c r="O3531">
        <v>3270</v>
      </c>
    </row>
    <row r="3532" spans="1:15" x14ac:dyDescent="0.25">
      <c r="A3532" t="s">
        <v>4597</v>
      </c>
      <c r="B3532" s="2">
        <v>49188</v>
      </c>
      <c r="C3532" t="s">
        <v>1636</v>
      </c>
      <c r="D3532" t="s">
        <v>1637</v>
      </c>
      <c r="E3532" t="s">
        <v>26</v>
      </c>
      <c r="F3532" t="s">
        <v>128</v>
      </c>
      <c r="G3532" t="s">
        <v>51</v>
      </c>
      <c r="H3532" t="s">
        <v>21</v>
      </c>
      <c r="I3532" t="s">
        <v>72</v>
      </c>
      <c r="J3532">
        <v>1</v>
      </c>
      <c r="K3532">
        <v>1800</v>
      </c>
      <c r="L3532">
        <v>0.1</v>
      </c>
      <c r="M3532">
        <v>1620</v>
      </c>
      <c r="N3532">
        <v>1100</v>
      </c>
      <c r="O3532">
        <v>520</v>
      </c>
    </row>
    <row r="3533" spans="1:15" x14ac:dyDescent="0.25">
      <c r="A3533" t="s">
        <v>4598</v>
      </c>
      <c r="B3533" s="2">
        <v>49189</v>
      </c>
      <c r="C3533" t="s">
        <v>2687</v>
      </c>
      <c r="D3533" t="s">
        <v>2688</v>
      </c>
      <c r="E3533" t="s">
        <v>26</v>
      </c>
      <c r="F3533" t="s">
        <v>46</v>
      </c>
      <c r="G3533" t="s">
        <v>51</v>
      </c>
      <c r="H3533" t="s">
        <v>21</v>
      </c>
      <c r="I3533" t="s">
        <v>80</v>
      </c>
      <c r="J3533">
        <v>2</v>
      </c>
      <c r="K3533">
        <v>850</v>
      </c>
      <c r="L3533">
        <v>0.15</v>
      </c>
      <c r="M3533">
        <v>1445</v>
      </c>
      <c r="N3533">
        <v>1120</v>
      </c>
      <c r="O3533">
        <v>325</v>
      </c>
    </row>
    <row r="3534" spans="1:15" x14ac:dyDescent="0.25">
      <c r="A3534" t="s">
        <v>4599</v>
      </c>
      <c r="B3534" s="2">
        <v>49190</v>
      </c>
      <c r="C3534" t="s">
        <v>547</v>
      </c>
      <c r="D3534" t="s">
        <v>548</v>
      </c>
      <c r="E3534" t="s">
        <v>26</v>
      </c>
      <c r="F3534" t="s">
        <v>34</v>
      </c>
      <c r="G3534" t="s">
        <v>20</v>
      </c>
      <c r="H3534" t="s">
        <v>84</v>
      </c>
      <c r="I3534" t="s">
        <v>169</v>
      </c>
      <c r="J3534">
        <v>3</v>
      </c>
      <c r="K3534">
        <v>450</v>
      </c>
      <c r="L3534">
        <v>0.15</v>
      </c>
      <c r="M3534">
        <v>1147.5</v>
      </c>
      <c r="N3534">
        <v>780</v>
      </c>
      <c r="O3534">
        <v>367.5</v>
      </c>
    </row>
    <row r="3535" spans="1:15" x14ac:dyDescent="0.25">
      <c r="A3535" t="s">
        <v>4600</v>
      </c>
      <c r="B3535" s="2">
        <v>49191</v>
      </c>
      <c r="C3535" t="s">
        <v>177</v>
      </c>
      <c r="D3535" t="s">
        <v>178</v>
      </c>
      <c r="E3535" t="s">
        <v>26</v>
      </c>
      <c r="F3535" t="s">
        <v>27</v>
      </c>
      <c r="G3535" t="s">
        <v>28</v>
      </c>
      <c r="H3535" t="s">
        <v>29</v>
      </c>
      <c r="I3535" t="s">
        <v>47</v>
      </c>
      <c r="J3535">
        <v>2</v>
      </c>
      <c r="K3535">
        <v>6800</v>
      </c>
      <c r="L3535">
        <v>0.15</v>
      </c>
      <c r="M3535">
        <v>11560</v>
      </c>
      <c r="N3535">
        <v>9400</v>
      </c>
      <c r="O3535">
        <v>2160</v>
      </c>
    </row>
    <row r="3536" spans="1:15" x14ac:dyDescent="0.25">
      <c r="A3536" t="s">
        <v>4601</v>
      </c>
      <c r="B3536" s="2">
        <v>49192</v>
      </c>
      <c r="C3536" t="s">
        <v>2457</v>
      </c>
      <c r="D3536" t="s">
        <v>2458</v>
      </c>
      <c r="E3536" t="s">
        <v>26</v>
      </c>
      <c r="F3536" t="s">
        <v>27</v>
      </c>
      <c r="G3536" t="s">
        <v>57</v>
      </c>
      <c r="H3536" t="s">
        <v>58</v>
      </c>
      <c r="I3536" t="s">
        <v>59</v>
      </c>
      <c r="J3536">
        <v>1</v>
      </c>
      <c r="K3536">
        <v>5600</v>
      </c>
      <c r="L3536">
        <v>0</v>
      </c>
      <c r="M3536">
        <v>5600</v>
      </c>
      <c r="N3536">
        <v>3900</v>
      </c>
      <c r="O3536">
        <v>1700</v>
      </c>
    </row>
    <row r="3537" spans="1:15" x14ac:dyDescent="0.25">
      <c r="A3537" t="s">
        <v>4602</v>
      </c>
      <c r="B3537" s="2">
        <v>49193</v>
      </c>
      <c r="C3537" t="s">
        <v>513</v>
      </c>
      <c r="D3537" t="s">
        <v>514</v>
      </c>
      <c r="E3537" t="s">
        <v>26</v>
      </c>
      <c r="F3537" t="s">
        <v>46</v>
      </c>
      <c r="G3537" t="s">
        <v>20</v>
      </c>
      <c r="H3537" t="s">
        <v>84</v>
      </c>
      <c r="I3537" t="s">
        <v>85</v>
      </c>
      <c r="J3537">
        <v>1</v>
      </c>
      <c r="K3537">
        <v>280</v>
      </c>
      <c r="L3537">
        <v>0.15</v>
      </c>
      <c r="M3537">
        <v>238</v>
      </c>
      <c r="N3537">
        <v>160</v>
      </c>
      <c r="O3537">
        <v>78</v>
      </c>
    </row>
    <row r="3538" spans="1:15" x14ac:dyDescent="0.25">
      <c r="A3538" t="s">
        <v>4603</v>
      </c>
      <c r="B3538" s="2">
        <v>49194</v>
      </c>
      <c r="C3538" t="s">
        <v>381</v>
      </c>
      <c r="D3538" t="s">
        <v>382</v>
      </c>
      <c r="E3538" t="s">
        <v>96</v>
      </c>
      <c r="F3538" t="s">
        <v>196</v>
      </c>
      <c r="G3538" t="s">
        <v>57</v>
      </c>
      <c r="H3538" t="s">
        <v>58</v>
      </c>
      <c r="I3538" t="s">
        <v>59</v>
      </c>
      <c r="J3538">
        <v>1</v>
      </c>
      <c r="K3538">
        <v>5600</v>
      </c>
      <c r="L3538">
        <v>0.1</v>
      </c>
      <c r="M3538">
        <v>5040</v>
      </c>
      <c r="N3538">
        <v>3900</v>
      </c>
      <c r="O3538">
        <v>1140</v>
      </c>
    </row>
    <row r="3539" spans="1:15" x14ac:dyDescent="0.25">
      <c r="A3539" t="s">
        <v>4604</v>
      </c>
      <c r="B3539" s="2">
        <v>49195</v>
      </c>
      <c r="C3539" t="s">
        <v>619</v>
      </c>
      <c r="D3539" t="s">
        <v>620</v>
      </c>
      <c r="E3539" t="s">
        <v>26</v>
      </c>
      <c r="F3539" t="s">
        <v>27</v>
      </c>
      <c r="G3539" t="s">
        <v>51</v>
      </c>
      <c r="H3539" t="s">
        <v>21</v>
      </c>
      <c r="I3539" t="s">
        <v>72</v>
      </c>
      <c r="J3539">
        <v>4</v>
      </c>
      <c r="K3539">
        <v>1800</v>
      </c>
      <c r="L3539">
        <v>0.1</v>
      </c>
      <c r="M3539">
        <v>6480</v>
      </c>
      <c r="N3539">
        <v>4400</v>
      </c>
      <c r="O3539">
        <v>2080</v>
      </c>
    </row>
    <row r="3540" spans="1:15" x14ac:dyDescent="0.25">
      <c r="A3540" t="s">
        <v>4605</v>
      </c>
      <c r="B3540" s="2">
        <v>49196</v>
      </c>
      <c r="C3540" t="s">
        <v>2763</v>
      </c>
      <c r="D3540" t="s">
        <v>2764</v>
      </c>
      <c r="E3540" t="s">
        <v>39</v>
      </c>
      <c r="F3540" t="s">
        <v>71</v>
      </c>
      <c r="G3540" t="s">
        <v>20</v>
      </c>
      <c r="H3540" t="s">
        <v>41</v>
      </c>
      <c r="I3540" t="s">
        <v>42</v>
      </c>
      <c r="J3540">
        <v>5</v>
      </c>
      <c r="K3540">
        <v>520</v>
      </c>
      <c r="L3540">
        <v>0.1</v>
      </c>
      <c r="M3540">
        <v>2340</v>
      </c>
      <c r="N3540">
        <v>1650</v>
      </c>
      <c r="O3540">
        <v>690</v>
      </c>
    </row>
    <row r="3541" spans="1:15" x14ac:dyDescent="0.25">
      <c r="A3541" t="s">
        <v>4606</v>
      </c>
      <c r="B3541" s="2">
        <v>49197</v>
      </c>
      <c r="C3541" t="s">
        <v>849</v>
      </c>
      <c r="D3541" t="s">
        <v>850</v>
      </c>
      <c r="E3541" t="s">
        <v>96</v>
      </c>
      <c r="F3541" t="s">
        <v>97</v>
      </c>
      <c r="G3541" t="s">
        <v>51</v>
      </c>
      <c r="H3541" t="s">
        <v>89</v>
      </c>
      <c r="I3541" t="s">
        <v>90</v>
      </c>
      <c r="J3541">
        <v>5</v>
      </c>
      <c r="K3541">
        <v>10500</v>
      </c>
      <c r="L3541">
        <v>0.15</v>
      </c>
      <c r="M3541">
        <v>44625</v>
      </c>
      <c r="N3541">
        <v>38000</v>
      </c>
      <c r="O3541">
        <v>6625</v>
      </c>
    </row>
    <row r="3542" spans="1:15" x14ac:dyDescent="0.25">
      <c r="A3542" t="s">
        <v>4607</v>
      </c>
      <c r="B3542" s="2">
        <v>49198</v>
      </c>
      <c r="C3542" t="s">
        <v>206</v>
      </c>
      <c r="D3542" t="s">
        <v>207</v>
      </c>
      <c r="E3542" t="s">
        <v>96</v>
      </c>
      <c r="F3542" t="s">
        <v>97</v>
      </c>
      <c r="G3542" t="s">
        <v>51</v>
      </c>
      <c r="H3542" t="s">
        <v>21</v>
      </c>
      <c r="I3542" t="s">
        <v>72</v>
      </c>
      <c r="J3542">
        <v>4</v>
      </c>
      <c r="K3542">
        <v>1800</v>
      </c>
      <c r="L3542">
        <v>0.15</v>
      </c>
      <c r="M3542">
        <v>6120</v>
      </c>
      <c r="N3542">
        <v>4400</v>
      </c>
      <c r="O3542">
        <v>1720</v>
      </c>
    </row>
    <row r="3543" spans="1:15" x14ac:dyDescent="0.25">
      <c r="A3543" t="s">
        <v>4608</v>
      </c>
      <c r="B3543" s="2">
        <v>49199</v>
      </c>
      <c r="C3543" t="s">
        <v>1164</v>
      </c>
      <c r="D3543" t="s">
        <v>1165</v>
      </c>
      <c r="E3543" t="s">
        <v>39</v>
      </c>
      <c r="F3543" t="s">
        <v>40</v>
      </c>
      <c r="G3543" t="s">
        <v>20</v>
      </c>
      <c r="H3543" t="s">
        <v>84</v>
      </c>
      <c r="I3543" t="s">
        <v>85</v>
      </c>
      <c r="J3543">
        <v>3</v>
      </c>
      <c r="K3543">
        <v>280</v>
      </c>
      <c r="L3543">
        <v>0.05</v>
      </c>
      <c r="M3543">
        <v>798</v>
      </c>
      <c r="N3543">
        <v>480</v>
      </c>
      <c r="O3543">
        <v>318</v>
      </c>
    </row>
    <row r="3544" spans="1:15" x14ac:dyDescent="0.25">
      <c r="A3544" t="s">
        <v>4609</v>
      </c>
      <c r="B3544" s="2">
        <v>49200</v>
      </c>
      <c r="C3544" t="s">
        <v>327</v>
      </c>
      <c r="D3544" t="s">
        <v>328</v>
      </c>
      <c r="E3544" t="s">
        <v>26</v>
      </c>
      <c r="F3544" t="s">
        <v>46</v>
      </c>
      <c r="G3544" t="s">
        <v>51</v>
      </c>
      <c r="H3544" t="s">
        <v>52</v>
      </c>
      <c r="I3544" t="s">
        <v>208</v>
      </c>
      <c r="J3544">
        <v>1</v>
      </c>
      <c r="K3544">
        <v>2800</v>
      </c>
      <c r="L3544">
        <v>0.1</v>
      </c>
      <c r="M3544">
        <v>2520</v>
      </c>
      <c r="N3544">
        <v>1800</v>
      </c>
      <c r="O3544">
        <v>720</v>
      </c>
    </row>
    <row r="3545" spans="1:15" x14ac:dyDescent="0.25">
      <c r="A3545" t="s">
        <v>4610</v>
      </c>
      <c r="B3545" s="2">
        <v>49201</v>
      </c>
      <c r="C3545" t="s">
        <v>977</v>
      </c>
      <c r="D3545" t="s">
        <v>978</v>
      </c>
      <c r="E3545" t="s">
        <v>39</v>
      </c>
      <c r="F3545" t="s">
        <v>71</v>
      </c>
      <c r="G3545" t="s">
        <v>51</v>
      </c>
      <c r="H3545" t="s">
        <v>89</v>
      </c>
      <c r="I3545" t="s">
        <v>90</v>
      </c>
      <c r="J3545">
        <v>1</v>
      </c>
      <c r="K3545">
        <v>10500</v>
      </c>
      <c r="L3545">
        <v>0.15</v>
      </c>
      <c r="M3545">
        <v>8925</v>
      </c>
      <c r="N3545">
        <v>7600</v>
      </c>
      <c r="O3545">
        <v>1325</v>
      </c>
    </row>
    <row r="3546" spans="1:15" x14ac:dyDescent="0.25">
      <c r="A3546" t="s">
        <v>4611</v>
      </c>
      <c r="B3546" s="2">
        <v>49202</v>
      </c>
      <c r="C3546" t="s">
        <v>357</v>
      </c>
      <c r="D3546" t="s">
        <v>358</v>
      </c>
      <c r="E3546" t="s">
        <v>96</v>
      </c>
      <c r="F3546" t="s">
        <v>196</v>
      </c>
      <c r="G3546" t="s">
        <v>57</v>
      </c>
      <c r="H3546" t="s">
        <v>58</v>
      </c>
      <c r="I3546" t="s">
        <v>129</v>
      </c>
      <c r="J3546">
        <v>4</v>
      </c>
      <c r="K3546">
        <v>4800</v>
      </c>
      <c r="L3546">
        <v>0.15</v>
      </c>
      <c r="M3546">
        <v>16320</v>
      </c>
      <c r="N3546">
        <v>13200</v>
      </c>
      <c r="O3546">
        <v>3120</v>
      </c>
    </row>
    <row r="3547" spans="1:15" x14ac:dyDescent="0.25">
      <c r="A3547" t="s">
        <v>4612</v>
      </c>
      <c r="B3547" s="2">
        <v>49203</v>
      </c>
      <c r="C3547" t="s">
        <v>37</v>
      </c>
      <c r="D3547" t="s">
        <v>38</v>
      </c>
      <c r="E3547" t="s">
        <v>39</v>
      </c>
      <c r="F3547" t="s">
        <v>76</v>
      </c>
      <c r="G3547" t="s">
        <v>20</v>
      </c>
      <c r="H3547" t="s">
        <v>84</v>
      </c>
      <c r="I3547" t="s">
        <v>169</v>
      </c>
      <c r="J3547">
        <v>5</v>
      </c>
      <c r="K3547">
        <v>450</v>
      </c>
      <c r="L3547">
        <v>0</v>
      </c>
      <c r="M3547">
        <v>2250</v>
      </c>
      <c r="N3547">
        <v>1300</v>
      </c>
      <c r="O3547">
        <v>950</v>
      </c>
    </row>
    <row r="3548" spans="1:15" x14ac:dyDescent="0.25">
      <c r="A3548" t="s">
        <v>4613</v>
      </c>
      <c r="B3548" s="2">
        <v>49204</v>
      </c>
      <c r="C3548" t="s">
        <v>55</v>
      </c>
      <c r="D3548" t="s">
        <v>56</v>
      </c>
      <c r="E3548" t="s">
        <v>39</v>
      </c>
      <c r="F3548" t="s">
        <v>124</v>
      </c>
      <c r="G3548" t="s">
        <v>20</v>
      </c>
      <c r="H3548" t="s">
        <v>21</v>
      </c>
      <c r="I3548" t="s">
        <v>22</v>
      </c>
      <c r="J3548">
        <v>2</v>
      </c>
      <c r="K3548">
        <v>650</v>
      </c>
      <c r="L3548">
        <v>0</v>
      </c>
      <c r="M3548">
        <v>1300</v>
      </c>
      <c r="N3548">
        <v>780</v>
      </c>
      <c r="O3548">
        <v>520</v>
      </c>
    </row>
    <row r="3549" spans="1:15" x14ac:dyDescent="0.25">
      <c r="A3549" t="s">
        <v>4614</v>
      </c>
      <c r="B3549" s="2">
        <v>49205</v>
      </c>
      <c r="C3549" t="s">
        <v>1138</v>
      </c>
      <c r="D3549" t="s">
        <v>1139</v>
      </c>
      <c r="E3549" t="s">
        <v>96</v>
      </c>
      <c r="F3549" t="s">
        <v>196</v>
      </c>
      <c r="G3549" t="s">
        <v>51</v>
      </c>
      <c r="H3549" t="s">
        <v>52</v>
      </c>
      <c r="I3549" t="s">
        <v>208</v>
      </c>
      <c r="J3549">
        <v>3</v>
      </c>
      <c r="K3549">
        <v>2800</v>
      </c>
      <c r="L3549">
        <v>0.05</v>
      </c>
      <c r="M3549">
        <v>7980</v>
      </c>
      <c r="N3549">
        <v>5400</v>
      </c>
      <c r="O3549">
        <v>2580</v>
      </c>
    </row>
    <row r="3550" spans="1:15" x14ac:dyDescent="0.25">
      <c r="A3550" t="s">
        <v>4615</v>
      </c>
      <c r="B3550" s="2">
        <v>49206</v>
      </c>
      <c r="C3550" t="s">
        <v>1404</v>
      </c>
      <c r="D3550" t="s">
        <v>1405</v>
      </c>
      <c r="E3550" t="s">
        <v>26</v>
      </c>
      <c r="F3550" t="s">
        <v>204</v>
      </c>
      <c r="G3550" t="s">
        <v>57</v>
      </c>
      <c r="H3550" t="s">
        <v>58</v>
      </c>
      <c r="I3550" t="s">
        <v>59</v>
      </c>
      <c r="J3550">
        <v>4</v>
      </c>
      <c r="K3550">
        <v>5600</v>
      </c>
      <c r="L3550">
        <v>0.1</v>
      </c>
      <c r="M3550">
        <v>20160</v>
      </c>
      <c r="N3550">
        <v>15600</v>
      </c>
      <c r="O3550">
        <v>4560</v>
      </c>
    </row>
    <row r="3551" spans="1:15" x14ac:dyDescent="0.25">
      <c r="A3551" t="s">
        <v>4616</v>
      </c>
      <c r="B3551" s="2">
        <v>49207</v>
      </c>
      <c r="C3551" t="s">
        <v>1336</v>
      </c>
      <c r="D3551" t="s">
        <v>1337</v>
      </c>
      <c r="E3551" t="s">
        <v>26</v>
      </c>
      <c r="F3551" t="s">
        <v>27</v>
      </c>
      <c r="G3551" t="s">
        <v>57</v>
      </c>
      <c r="H3551" t="s">
        <v>104</v>
      </c>
      <c r="I3551" t="s">
        <v>105</v>
      </c>
      <c r="J3551">
        <v>4</v>
      </c>
      <c r="K3551">
        <v>7500</v>
      </c>
      <c r="L3551">
        <v>0</v>
      </c>
      <c r="M3551">
        <v>30000</v>
      </c>
      <c r="N3551">
        <v>20800</v>
      </c>
      <c r="O3551">
        <v>9200</v>
      </c>
    </row>
    <row r="3552" spans="1:15" x14ac:dyDescent="0.25">
      <c r="A3552" t="s">
        <v>4617</v>
      </c>
      <c r="B3552" s="2">
        <v>49208</v>
      </c>
      <c r="C3552" t="s">
        <v>600</v>
      </c>
      <c r="D3552" t="s">
        <v>601</v>
      </c>
      <c r="E3552" t="s">
        <v>39</v>
      </c>
      <c r="F3552" t="s">
        <v>40</v>
      </c>
      <c r="G3552" t="s">
        <v>20</v>
      </c>
      <c r="H3552" t="s">
        <v>21</v>
      </c>
      <c r="I3552" t="s">
        <v>22</v>
      </c>
      <c r="J3552">
        <v>1</v>
      </c>
      <c r="K3552">
        <v>650</v>
      </c>
      <c r="L3552">
        <v>0</v>
      </c>
      <c r="M3552">
        <v>650</v>
      </c>
      <c r="N3552">
        <v>390</v>
      </c>
      <c r="O3552">
        <v>260</v>
      </c>
    </row>
    <row r="3553" spans="1:15" x14ac:dyDescent="0.25">
      <c r="A3553" t="s">
        <v>4618</v>
      </c>
      <c r="B3553" s="2">
        <v>49209</v>
      </c>
      <c r="C3553" t="s">
        <v>44</v>
      </c>
      <c r="D3553" t="s">
        <v>45</v>
      </c>
      <c r="E3553" t="s">
        <v>39</v>
      </c>
      <c r="F3553" t="s">
        <v>40</v>
      </c>
      <c r="G3553" t="s">
        <v>28</v>
      </c>
      <c r="H3553" t="s">
        <v>29</v>
      </c>
      <c r="I3553" t="s">
        <v>30</v>
      </c>
      <c r="J3553">
        <v>5</v>
      </c>
      <c r="K3553">
        <v>1900</v>
      </c>
      <c r="L3553">
        <v>0.1</v>
      </c>
      <c r="M3553">
        <v>8550</v>
      </c>
      <c r="N3553">
        <v>6250</v>
      </c>
      <c r="O3553">
        <v>2300</v>
      </c>
    </row>
    <row r="3554" spans="1:15" x14ac:dyDescent="0.25">
      <c r="A3554" t="s">
        <v>4619</v>
      </c>
      <c r="B3554" s="2">
        <v>49210</v>
      </c>
      <c r="C3554" t="s">
        <v>766</v>
      </c>
      <c r="D3554" t="s">
        <v>767</v>
      </c>
      <c r="E3554" t="s">
        <v>26</v>
      </c>
      <c r="F3554" t="s">
        <v>34</v>
      </c>
      <c r="G3554" t="s">
        <v>57</v>
      </c>
      <c r="H3554" t="s">
        <v>104</v>
      </c>
      <c r="I3554" t="s">
        <v>105</v>
      </c>
      <c r="J3554">
        <v>2</v>
      </c>
      <c r="K3554">
        <v>7500</v>
      </c>
      <c r="L3554">
        <v>0.1</v>
      </c>
      <c r="M3554">
        <v>13500</v>
      </c>
      <c r="N3554">
        <v>10400</v>
      </c>
      <c r="O3554">
        <v>3100</v>
      </c>
    </row>
    <row r="3555" spans="1:15" x14ac:dyDescent="0.25">
      <c r="A3555" t="s">
        <v>4620</v>
      </c>
      <c r="B3555" s="2">
        <v>49211</v>
      </c>
      <c r="C3555" t="s">
        <v>1471</v>
      </c>
      <c r="D3555" t="s">
        <v>1472</v>
      </c>
      <c r="E3555" t="s">
        <v>26</v>
      </c>
      <c r="F3555" t="s">
        <v>204</v>
      </c>
      <c r="G3555" t="s">
        <v>20</v>
      </c>
      <c r="H3555" t="s">
        <v>84</v>
      </c>
      <c r="I3555" t="s">
        <v>169</v>
      </c>
      <c r="J3555">
        <v>1</v>
      </c>
      <c r="K3555">
        <v>450</v>
      </c>
      <c r="L3555">
        <v>0.1</v>
      </c>
      <c r="M3555">
        <v>405</v>
      </c>
      <c r="N3555">
        <v>260</v>
      </c>
      <c r="O3555">
        <v>145</v>
      </c>
    </row>
    <row r="3556" spans="1:15" x14ac:dyDescent="0.25">
      <c r="A3556" t="s">
        <v>4621</v>
      </c>
      <c r="B3556" s="2">
        <v>49212</v>
      </c>
      <c r="C3556" t="s">
        <v>1897</v>
      </c>
      <c r="D3556" t="s">
        <v>1898</v>
      </c>
      <c r="E3556" t="s">
        <v>96</v>
      </c>
      <c r="F3556" t="s">
        <v>120</v>
      </c>
      <c r="G3556" t="s">
        <v>20</v>
      </c>
      <c r="H3556" t="s">
        <v>84</v>
      </c>
      <c r="I3556" t="s">
        <v>169</v>
      </c>
      <c r="J3556">
        <v>4</v>
      </c>
      <c r="K3556">
        <v>450</v>
      </c>
      <c r="L3556">
        <v>0.15</v>
      </c>
      <c r="M3556">
        <v>1530</v>
      </c>
      <c r="N3556">
        <v>1040</v>
      </c>
      <c r="O3556">
        <v>490</v>
      </c>
    </row>
    <row r="3557" spans="1:15" x14ac:dyDescent="0.25">
      <c r="A3557" t="s">
        <v>4622</v>
      </c>
      <c r="B3557" s="2">
        <v>49213</v>
      </c>
      <c r="C3557" t="s">
        <v>2022</v>
      </c>
      <c r="D3557" t="s">
        <v>2023</v>
      </c>
      <c r="E3557" t="s">
        <v>39</v>
      </c>
      <c r="F3557" t="s">
        <v>76</v>
      </c>
      <c r="G3557" t="s">
        <v>28</v>
      </c>
      <c r="H3557" t="s">
        <v>63</v>
      </c>
      <c r="I3557" t="s">
        <v>64</v>
      </c>
      <c r="J3557">
        <v>4</v>
      </c>
      <c r="K3557">
        <v>2400</v>
      </c>
      <c r="L3557">
        <v>0.05</v>
      </c>
      <c r="M3557">
        <v>9120</v>
      </c>
      <c r="N3557">
        <v>6600</v>
      </c>
      <c r="O3557">
        <v>2520</v>
      </c>
    </row>
    <row r="3558" spans="1:15" x14ac:dyDescent="0.25">
      <c r="A3558" t="s">
        <v>4623</v>
      </c>
      <c r="B3558" s="2">
        <v>49214</v>
      </c>
      <c r="C3558" t="s">
        <v>459</v>
      </c>
      <c r="D3558" t="s">
        <v>460</v>
      </c>
      <c r="E3558" t="s">
        <v>18</v>
      </c>
      <c r="F3558" t="s">
        <v>19</v>
      </c>
      <c r="G3558" t="s">
        <v>51</v>
      </c>
      <c r="H3558" t="s">
        <v>21</v>
      </c>
      <c r="I3558" t="s">
        <v>80</v>
      </c>
      <c r="J3558">
        <v>5</v>
      </c>
      <c r="K3558">
        <v>850</v>
      </c>
      <c r="L3558">
        <v>0.05</v>
      </c>
      <c r="M3558">
        <v>4037.5</v>
      </c>
      <c r="N3558">
        <v>2800</v>
      </c>
      <c r="O3558">
        <v>1237.5</v>
      </c>
    </row>
    <row r="3559" spans="1:15" x14ac:dyDescent="0.25">
      <c r="A3559" t="s">
        <v>4624</v>
      </c>
      <c r="B3559" s="2">
        <v>49215</v>
      </c>
      <c r="C3559" t="s">
        <v>550</v>
      </c>
      <c r="D3559" t="s">
        <v>551</v>
      </c>
      <c r="E3559" t="s">
        <v>26</v>
      </c>
      <c r="F3559" t="s">
        <v>46</v>
      </c>
      <c r="G3559" t="s">
        <v>51</v>
      </c>
      <c r="H3559" t="s">
        <v>89</v>
      </c>
      <c r="I3559" t="s">
        <v>90</v>
      </c>
      <c r="J3559">
        <v>2</v>
      </c>
      <c r="K3559">
        <v>10500</v>
      </c>
      <c r="L3559">
        <v>0.1</v>
      </c>
      <c r="M3559">
        <v>18900</v>
      </c>
      <c r="N3559">
        <v>15200</v>
      </c>
      <c r="O3559">
        <v>3700</v>
      </c>
    </row>
    <row r="3560" spans="1:15" x14ac:dyDescent="0.25">
      <c r="A3560" t="s">
        <v>4625</v>
      </c>
      <c r="B3560" s="2">
        <v>49216</v>
      </c>
      <c r="C3560" t="s">
        <v>396</v>
      </c>
      <c r="D3560" t="s">
        <v>397</v>
      </c>
      <c r="E3560" t="s">
        <v>26</v>
      </c>
      <c r="F3560" t="s">
        <v>46</v>
      </c>
      <c r="G3560" t="s">
        <v>57</v>
      </c>
      <c r="H3560" t="s">
        <v>104</v>
      </c>
      <c r="I3560" t="s">
        <v>105</v>
      </c>
      <c r="J3560">
        <v>5</v>
      </c>
      <c r="K3560">
        <v>7500</v>
      </c>
      <c r="L3560">
        <v>0.05</v>
      </c>
      <c r="M3560">
        <v>35625</v>
      </c>
      <c r="N3560">
        <v>26000</v>
      </c>
      <c r="O3560">
        <v>9625</v>
      </c>
    </row>
    <row r="3561" spans="1:15" x14ac:dyDescent="0.25">
      <c r="A3561" t="s">
        <v>4626</v>
      </c>
      <c r="B3561" s="2">
        <v>49217</v>
      </c>
      <c r="C3561" t="s">
        <v>49</v>
      </c>
      <c r="D3561" t="s">
        <v>50</v>
      </c>
      <c r="E3561" t="s">
        <v>96</v>
      </c>
      <c r="F3561" t="s">
        <v>196</v>
      </c>
      <c r="G3561" t="s">
        <v>51</v>
      </c>
      <c r="H3561" t="s">
        <v>52</v>
      </c>
      <c r="I3561" t="s">
        <v>53</v>
      </c>
      <c r="J3561">
        <v>3</v>
      </c>
      <c r="K3561">
        <v>2200</v>
      </c>
      <c r="L3561">
        <v>0.2</v>
      </c>
      <c r="M3561">
        <v>5280</v>
      </c>
      <c r="N3561">
        <v>4350</v>
      </c>
      <c r="O3561">
        <v>930</v>
      </c>
    </row>
    <row r="3562" spans="1:15" x14ac:dyDescent="0.25">
      <c r="A3562" t="s">
        <v>4627</v>
      </c>
      <c r="B3562" s="2">
        <v>49218</v>
      </c>
      <c r="C3562" t="s">
        <v>3218</v>
      </c>
      <c r="D3562" t="s">
        <v>3219</v>
      </c>
      <c r="E3562" t="s">
        <v>26</v>
      </c>
      <c r="F3562" t="s">
        <v>128</v>
      </c>
      <c r="G3562" t="s">
        <v>20</v>
      </c>
      <c r="H3562" t="s">
        <v>41</v>
      </c>
      <c r="I3562" t="s">
        <v>42</v>
      </c>
      <c r="J3562">
        <v>4</v>
      </c>
      <c r="K3562">
        <v>520</v>
      </c>
      <c r="L3562">
        <v>0.05</v>
      </c>
      <c r="M3562">
        <v>1976</v>
      </c>
      <c r="N3562">
        <v>1320</v>
      </c>
      <c r="O3562">
        <v>656</v>
      </c>
    </row>
    <row r="3563" spans="1:15" x14ac:dyDescent="0.25">
      <c r="A3563" t="s">
        <v>4628</v>
      </c>
      <c r="B3563" s="2">
        <v>49219</v>
      </c>
      <c r="C3563" t="s">
        <v>238</v>
      </c>
      <c r="D3563" t="s">
        <v>239</v>
      </c>
      <c r="E3563" t="s">
        <v>18</v>
      </c>
      <c r="F3563" t="s">
        <v>115</v>
      </c>
      <c r="G3563" t="s">
        <v>28</v>
      </c>
      <c r="H3563" t="s">
        <v>63</v>
      </c>
      <c r="I3563" t="s">
        <v>64</v>
      </c>
      <c r="J3563">
        <v>3</v>
      </c>
      <c r="K3563">
        <v>2400</v>
      </c>
      <c r="L3563">
        <v>0.15</v>
      </c>
      <c r="M3563">
        <v>6120</v>
      </c>
      <c r="N3563">
        <v>4950</v>
      </c>
      <c r="O3563">
        <v>1170</v>
      </c>
    </row>
    <row r="3564" spans="1:15" x14ac:dyDescent="0.25">
      <c r="A3564" t="s">
        <v>4629</v>
      </c>
      <c r="B3564" s="2">
        <v>49220</v>
      </c>
      <c r="C3564" t="s">
        <v>1581</v>
      </c>
      <c r="D3564" t="s">
        <v>1582</v>
      </c>
      <c r="E3564" t="s">
        <v>26</v>
      </c>
      <c r="F3564" t="s">
        <v>27</v>
      </c>
      <c r="G3564" t="s">
        <v>51</v>
      </c>
      <c r="H3564" t="s">
        <v>21</v>
      </c>
      <c r="I3564" t="s">
        <v>72</v>
      </c>
      <c r="J3564">
        <v>2</v>
      </c>
      <c r="K3564">
        <v>1800</v>
      </c>
      <c r="L3564">
        <v>0.2</v>
      </c>
      <c r="M3564">
        <v>2880</v>
      </c>
      <c r="N3564">
        <v>2200</v>
      </c>
      <c r="O3564">
        <v>680</v>
      </c>
    </row>
    <row r="3565" spans="1:15" x14ac:dyDescent="0.25">
      <c r="A3565" t="s">
        <v>4630</v>
      </c>
      <c r="B3565" s="2">
        <v>49221</v>
      </c>
      <c r="C3565" t="s">
        <v>1157</v>
      </c>
      <c r="D3565" t="s">
        <v>1158</v>
      </c>
      <c r="E3565" t="s">
        <v>39</v>
      </c>
      <c r="F3565" t="s">
        <v>124</v>
      </c>
      <c r="G3565" t="s">
        <v>51</v>
      </c>
      <c r="H3565" t="s">
        <v>52</v>
      </c>
      <c r="I3565" t="s">
        <v>208</v>
      </c>
      <c r="J3565">
        <v>3</v>
      </c>
      <c r="K3565">
        <v>2800</v>
      </c>
      <c r="L3565">
        <v>0.05</v>
      </c>
      <c r="M3565">
        <v>7980</v>
      </c>
      <c r="N3565">
        <v>5400</v>
      </c>
      <c r="O3565">
        <v>2580</v>
      </c>
    </row>
    <row r="3566" spans="1:15" x14ac:dyDescent="0.25">
      <c r="A3566" t="s">
        <v>4631</v>
      </c>
      <c r="B3566" s="2">
        <v>49222</v>
      </c>
      <c r="C3566" t="s">
        <v>899</v>
      </c>
      <c r="D3566" t="s">
        <v>900</v>
      </c>
      <c r="E3566" t="s">
        <v>96</v>
      </c>
      <c r="F3566" t="s">
        <v>200</v>
      </c>
      <c r="G3566" t="s">
        <v>20</v>
      </c>
      <c r="H3566" t="s">
        <v>84</v>
      </c>
      <c r="I3566" t="s">
        <v>85</v>
      </c>
      <c r="J3566">
        <v>4</v>
      </c>
      <c r="K3566">
        <v>280</v>
      </c>
      <c r="L3566">
        <v>0.2</v>
      </c>
      <c r="M3566">
        <v>896</v>
      </c>
      <c r="N3566">
        <v>640</v>
      </c>
      <c r="O3566">
        <v>256</v>
      </c>
    </row>
    <row r="3567" spans="1:15" x14ac:dyDescent="0.25">
      <c r="A3567" t="s">
        <v>4632</v>
      </c>
      <c r="B3567" s="2">
        <v>49223</v>
      </c>
      <c r="C3567" t="s">
        <v>24</v>
      </c>
      <c r="D3567" t="s">
        <v>25</v>
      </c>
      <c r="E3567" t="s">
        <v>26</v>
      </c>
      <c r="F3567" t="s">
        <v>204</v>
      </c>
      <c r="G3567" t="s">
        <v>20</v>
      </c>
      <c r="H3567" t="s">
        <v>21</v>
      </c>
      <c r="I3567" t="s">
        <v>22</v>
      </c>
      <c r="J3567">
        <v>3</v>
      </c>
      <c r="K3567">
        <v>650</v>
      </c>
      <c r="L3567">
        <v>0.2</v>
      </c>
      <c r="M3567">
        <v>1560</v>
      </c>
      <c r="N3567">
        <v>1170</v>
      </c>
      <c r="O3567">
        <v>390</v>
      </c>
    </row>
    <row r="3568" spans="1:15" x14ac:dyDescent="0.25">
      <c r="A3568" t="s">
        <v>4633</v>
      </c>
      <c r="B3568" s="2">
        <v>49224</v>
      </c>
      <c r="C3568" t="s">
        <v>301</v>
      </c>
      <c r="D3568" t="s">
        <v>302</v>
      </c>
      <c r="E3568" t="s">
        <v>39</v>
      </c>
      <c r="F3568" t="s">
        <v>71</v>
      </c>
      <c r="G3568" t="s">
        <v>28</v>
      </c>
      <c r="H3568" t="s">
        <v>29</v>
      </c>
      <c r="I3568" t="s">
        <v>35</v>
      </c>
      <c r="J3568">
        <v>5</v>
      </c>
      <c r="K3568">
        <v>4200</v>
      </c>
      <c r="L3568">
        <v>0</v>
      </c>
      <c r="M3568">
        <v>21000</v>
      </c>
      <c r="N3568">
        <v>14500</v>
      </c>
      <c r="O3568">
        <v>6500</v>
      </c>
    </row>
    <row r="3569" spans="1:15" x14ac:dyDescent="0.25">
      <c r="A3569" t="s">
        <v>4634</v>
      </c>
      <c r="B3569" s="2">
        <v>49225</v>
      </c>
      <c r="C3569" t="s">
        <v>1458</v>
      </c>
      <c r="D3569" t="s">
        <v>1459</v>
      </c>
      <c r="E3569" t="s">
        <v>18</v>
      </c>
      <c r="F3569" t="s">
        <v>94</v>
      </c>
      <c r="G3569" t="s">
        <v>51</v>
      </c>
      <c r="H3569" t="s">
        <v>21</v>
      </c>
      <c r="I3569" t="s">
        <v>116</v>
      </c>
      <c r="J3569">
        <v>1</v>
      </c>
      <c r="K3569">
        <v>1400</v>
      </c>
      <c r="L3569">
        <v>0.25</v>
      </c>
      <c r="M3569">
        <v>1050</v>
      </c>
      <c r="N3569">
        <v>900</v>
      </c>
      <c r="O3569">
        <v>150</v>
      </c>
    </row>
    <row r="3570" spans="1:15" x14ac:dyDescent="0.25">
      <c r="A3570" t="s">
        <v>4635</v>
      </c>
      <c r="B3570" s="2">
        <v>49226</v>
      </c>
      <c r="C3570" t="s">
        <v>1231</v>
      </c>
      <c r="D3570" t="s">
        <v>1232</v>
      </c>
      <c r="E3570" t="s">
        <v>26</v>
      </c>
      <c r="F3570" t="s">
        <v>27</v>
      </c>
      <c r="G3570" t="s">
        <v>51</v>
      </c>
      <c r="H3570" t="s">
        <v>89</v>
      </c>
      <c r="I3570" t="s">
        <v>90</v>
      </c>
      <c r="J3570">
        <v>4</v>
      </c>
      <c r="K3570">
        <v>10500</v>
      </c>
      <c r="L3570">
        <v>0.15</v>
      </c>
      <c r="M3570">
        <v>35700</v>
      </c>
      <c r="N3570">
        <v>30400</v>
      </c>
      <c r="O3570">
        <v>5300</v>
      </c>
    </row>
    <row r="3571" spans="1:15" x14ac:dyDescent="0.25">
      <c r="A3571" t="s">
        <v>4636</v>
      </c>
      <c r="B3571" s="2">
        <v>49227</v>
      </c>
      <c r="C3571" t="s">
        <v>1750</v>
      </c>
      <c r="D3571" t="s">
        <v>1751</v>
      </c>
      <c r="E3571" t="s">
        <v>18</v>
      </c>
      <c r="F3571" t="s">
        <v>94</v>
      </c>
      <c r="G3571" t="s">
        <v>51</v>
      </c>
      <c r="H3571" t="s">
        <v>21</v>
      </c>
      <c r="I3571" t="s">
        <v>116</v>
      </c>
      <c r="J3571">
        <v>1</v>
      </c>
      <c r="K3571">
        <v>1400</v>
      </c>
      <c r="L3571">
        <v>0.05</v>
      </c>
      <c r="M3571">
        <v>1330</v>
      </c>
      <c r="N3571">
        <v>900</v>
      </c>
      <c r="O3571">
        <v>430</v>
      </c>
    </row>
    <row r="3572" spans="1:15" x14ac:dyDescent="0.25">
      <c r="A3572" t="s">
        <v>4637</v>
      </c>
      <c r="B3572" s="2">
        <v>49228</v>
      </c>
      <c r="C3572" t="s">
        <v>578</v>
      </c>
      <c r="D3572" t="s">
        <v>579</v>
      </c>
      <c r="E3572" t="s">
        <v>26</v>
      </c>
      <c r="F3572" t="s">
        <v>46</v>
      </c>
      <c r="G3572" t="s">
        <v>51</v>
      </c>
      <c r="H3572" t="s">
        <v>21</v>
      </c>
      <c r="I3572" t="s">
        <v>116</v>
      </c>
      <c r="J3572">
        <v>3</v>
      </c>
      <c r="K3572">
        <v>1400</v>
      </c>
      <c r="L3572">
        <v>0.15</v>
      </c>
      <c r="M3572">
        <v>3570</v>
      </c>
      <c r="N3572">
        <v>2700</v>
      </c>
      <c r="O3572">
        <v>870</v>
      </c>
    </row>
    <row r="3573" spans="1:15" x14ac:dyDescent="0.25">
      <c r="A3573" t="s">
        <v>4638</v>
      </c>
      <c r="B3573" s="2">
        <v>49229</v>
      </c>
      <c r="C3573" t="s">
        <v>513</v>
      </c>
      <c r="D3573" t="s">
        <v>514</v>
      </c>
      <c r="E3573" t="s">
        <v>26</v>
      </c>
      <c r="F3573" t="s">
        <v>46</v>
      </c>
      <c r="G3573" t="s">
        <v>20</v>
      </c>
      <c r="H3573" t="s">
        <v>84</v>
      </c>
      <c r="I3573" t="s">
        <v>85</v>
      </c>
      <c r="J3573">
        <v>4</v>
      </c>
      <c r="K3573">
        <v>280</v>
      </c>
      <c r="L3573">
        <v>0.15</v>
      </c>
      <c r="M3573">
        <v>952</v>
      </c>
      <c r="N3573">
        <v>640</v>
      </c>
      <c r="O3573">
        <v>312</v>
      </c>
    </row>
    <row r="3574" spans="1:15" x14ac:dyDescent="0.25">
      <c r="A3574" t="s">
        <v>4639</v>
      </c>
      <c r="B3574" s="2">
        <v>49230</v>
      </c>
      <c r="C3574" t="s">
        <v>259</v>
      </c>
      <c r="D3574" t="s">
        <v>260</v>
      </c>
      <c r="E3574" t="s">
        <v>26</v>
      </c>
      <c r="F3574" t="s">
        <v>27</v>
      </c>
      <c r="G3574" t="s">
        <v>51</v>
      </c>
      <c r="H3574" t="s">
        <v>52</v>
      </c>
      <c r="I3574" t="s">
        <v>208</v>
      </c>
      <c r="J3574">
        <v>1</v>
      </c>
      <c r="K3574">
        <v>2800</v>
      </c>
      <c r="L3574">
        <v>0.05</v>
      </c>
      <c r="M3574">
        <v>2660</v>
      </c>
      <c r="N3574">
        <v>1800</v>
      </c>
      <c r="O3574">
        <v>860</v>
      </c>
    </row>
    <row r="3575" spans="1:15" x14ac:dyDescent="0.25">
      <c r="A3575" t="s">
        <v>4640</v>
      </c>
      <c r="B3575" s="2">
        <v>49231</v>
      </c>
      <c r="C3575" t="s">
        <v>700</v>
      </c>
      <c r="D3575" t="s">
        <v>701</v>
      </c>
      <c r="E3575" t="s">
        <v>26</v>
      </c>
      <c r="F3575" t="s">
        <v>27</v>
      </c>
      <c r="G3575" t="s">
        <v>57</v>
      </c>
      <c r="H3575" t="s">
        <v>188</v>
      </c>
      <c r="I3575" t="s">
        <v>189</v>
      </c>
      <c r="J3575">
        <v>3</v>
      </c>
      <c r="K3575">
        <v>6200</v>
      </c>
      <c r="L3575">
        <v>0.1</v>
      </c>
      <c r="M3575">
        <v>16740</v>
      </c>
      <c r="N3575">
        <v>12900</v>
      </c>
      <c r="O3575">
        <v>3840</v>
      </c>
    </row>
    <row r="3576" spans="1:15" x14ac:dyDescent="0.25">
      <c r="A3576" t="s">
        <v>4641</v>
      </c>
      <c r="B3576" s="2">
        <v>49232</v>
      </c>
      <c r="C3576" t="s">
        <v>275</v>
      </c>
      <c r="D3576" t="s">
        <v>276</v>
      </c>
      <c r="E3576" t="s">
        <v>18</v>
      </c>
      <c r="F3576" t="s">
        <v>94</v>
      </c>
      <c r="G3576" t="s">
        <v>20</v>
      </c>
      <c r="H3576" t="s">
        <v>84</v>
      </c>
      <c r="I3576" t="s">
        <v>210</v>
      </c>
      <c r="J3576">
        <v>4</v>
      </c>
      <c r="K3576">
        <v>300</v>
      </c>
      <c r="L3576">
        <v>0.15</v>
      </c>
      <c r="M3576">
        <v>1020</v>
      </c>
      <c r="N3576">
        <v>680</v>
      </c>
      <c r="O3576">
        <v>340</v>
      </c>
    </row>
    <row r="3577" spans="1:15" x14ac:dyDescent="0.25">
      <c r="A3577" t="s">
        <v>4642</v>
      </c>
      <c r="B3577" s="2">
        <v>49233</v>
      </c>
      <c r="C3577" t="s">
        <v>1259</v>
      </c>
      <c r="D3577" t="s">
        <v>1260</v>
      </c>
      <c r="E3577" t="s">
        <v>26</v>
      </c>
      <c r="F3577" t="s">
        <v>128</v>
      </c>
      <c r="G3577" t="s">
        <v>51</v>
      </c>
      <c r="H3577" t="s">
        <v>21</v>
      </c>
      <c r="I3577" t="s">
        <v>72</v>
      </c>
      <c r="J3577">
        <v>2</v>
      </c>
      <c r="K3577">
        <v>1800</v>
      </c>
      <c r="L3577">
        <v>0.25</v>
      </c>
      <c r="M3577">
        <v>2700</v>
      </c>
      <c r="N3577">
        <v>2200</v>
      </c>
      <c r="O3577">
        <v>500</v>
      </c>
    </row>
    <row r="3578" spans="1:15" x14ac:dyDescent="0.25">
      <c r="A3578" t="s">
        <v>4643</v>
      </c>
      <c r="B3578" s="2">
        <v>49234</v>
      </c>
      <c r="C3578" t="s">
        <v>1626</v>
      </c>
      <c r="D3578" t="s">
        <v>1627</v>
      </c>
      <c r="E3578" t="s">
        <v>18</v>
      </c>
      <c r="F3578" t="s">
        <v>115</v>
      </c>
      <c r="G3578" t="s">
        <v>20</v>
      </c>
      <c r="H3578" t="s">
        <v>41</v>
      </c>
      <c r="I3578" t="s">
        <v>42</v>
      </c>
      <c r="J3578">
        <v>2</v>
      </c>
      <c r="K3578">
        <v>520</v>
      </c>
      <c r="L3578">
        <v>0.15</v>
      </c>
      <c r="M3578">
        <v>884</v>
      </c>
      <c r="N3578">
        <v>660</v>
      </c>
      <c r="O3578">
        <v>224</v>
      </c>
    </row>
    <row r="3579" spans="1:15" x14ac:dyDescent="0.25">
      <c r="A3579" t="s">
        <v>4644</v>
      </c>
      <c r="B3579" s="2">
        <v>49235</v>
      </c>
      <c r="C3579" t="s">
        <v>772</v>
      </c>
      <c r="D3579" t="s">
        <v>773</v>
      </c>
      <c r="E3579" t="s">
        <v>18</v>
      </c>
      <c r="F3579" t="s">
        <v>94</v>
      </c>
      <c r="G3579" t="s">
        <v>57</v>
      </c>
      <c r="H3579" t="s">
        <v>58</v>
      </c>
      <c r="I3579" t="s">
        <v>59</v>
      </c>
      <c r="J3579">
        <v>5</v>
      </c>
      <c r="K3579">
        <v>5600</v>
      </c>
      <c r="L3579">
        <v>0</v>
      </c>
      <c r="M3579">
        <v>28000</v>
      </c>
      <c r="N3579">
        <v>19500</v>
      </c>
      <c r="O3579">
        <v>8500</v>
      </c>
    </row>
    <row r="3580" spans="1:15" x14ac:dyDescent="0.25">
      <c r="A3580" t="s">
        <v>4645</v>
      </c>
      <c r="B3580" s="2">
        <v>49236</v>
      </c>
      <c r="C3580" t="s">
        <v>1745</v>
      </c>
      <c r="D3580" t="s">
        <v>1746</v>
      </c>
      <c r="E3580" t="s">
        <v>39</v>
      </c>
      <c r="F3580" t="s">
        <v>40</v>
      </c>
      <c r="G3580" t="s">
        <v>28</v>
      </c>
      <c r="H3580" t="s">
        <v>29</v>
      </c>
      <c r="I3580" t="s">
        <v>35</v>
      </c>
      <c r="J3580">
        <v>4</v>
      </c>
      <c r="K3580">
        <v>4200</v>
      </c>
      <c r="L3580">
        <v>0.05</v>
      </c>
      <c r="M3580">
        <v>15960</v>
      </c>
      <c r="N3580">
        <v>11600</v>
      </c>
      <c r="O3580">
        <v>4360</v>
      </c>
    </row>
    <row r="3581" spans="1:15" x14ac:dyDescent="0.25">
      <c r="A3581" t="s">
        <v>4646</v>
      </c>
      <c r="B3581" s="2">
        <v>49237</v>
      </c>
      <c r="C3581" t="s">
        <v>143</v>
      </c>
      <c r="D3581" t="s">
        <v>144</v>
      </c>
      <c r="E3581" t="s">
        <v>39</v>
      </c>
      <c r="F3581" t="s">
        <v>76</v>
      </c>
      <c r="G3581" t="s">
        <v>51</v>
      </c>
      <c r="H3581" t="s">
        <v>89</v>
      </c>
      <c r="I3581" t="s">
        <v>90</v>
      </c>
      <c r="J3581">
        <v>2</v>
      </c>
      <c r="K3581">
        <v>10500</v>
      </c>
      <c r="L3581">
        <v>0.1</v>
      </c>
      <c r="M3581">
        <v>18900</v>
      </c>
      <c r="N3581">
        <v>15200</v>
      </c>
      <c r="O3581">
        <v>3700</v>
      </c>
    </row>
    <row r="3582" spans="1:15" x14ac:dyDescent="0.25">
      <c r="A3582" t="s">
        <v>4647</v>
      </c>
      <c r="B3582" s="2">
        <v>49238</v>
      </c>
      <c r="C3582" t="s">
        <v>1009</v>
      </c>
      <c r="D3582" t="s">
        <v>1010</v>
      </c>
      <c r="E3582" t="s">
        <v>26</v>
      </c>
      <c r="F3582" t="s">
        <v>204</v>
      </c>
      <c r="G3582" t="s">
        <v>51</v>
      </c>
      <c r="H3582" t="s">
        <v>21</v>
      </c>
      <c r="I3582" t="s">
        <v>116</v>
      </c>
      <c r="J3582">
        <v>5</v>
      </c>
      <c r="K3582">
        <v>1400</v>
      </c>
      <c r="L3582">
        <v>0.25</v>
      </c>
      <c r="M3582">
        <v>5250</v>
      </c>
      <c r="N3582">
        <v>4500</v>
      </c>
      <c r="O3582">
        <v>750</v>
      </c>
    </row>
    <row r="3583" spans="1:15" x14ac:dyDescent="0.25">
      <c r="A3583" t="s">
        <v>4648</v>
      </c>
      <c r="B3583" s="2">
        <v>49239</v>
      </c>
      <c r="C3583" t="s">
        <v>484</v>
      </c>
      <c r="D3583" t="s">
        <v>485</v>
      </c>
      <c r="E3583" t="s">
        <v>96</v>
      </c>
      <c r="F3583" t="s">
        <v>196</v>
      </c>
      <c r="G3583" t="s">
        <v>20</v>
      </c>
      <c r="H3583" t="s">
        <v>84</v>
      </c>
      <c r="I3583" t="s">
        <v>169</v>
      </c>
      <c r="J3583">
        <v>1</v>
      </c>
      <c r="K3583">
        <v>450</v>
      </c>
      <c r="L3583">
        <v>0</v>
      </c>
      <c r="M3583">
        <v>450</v>
      </c>
      <c r="N3583">
        <v>260</v>
      </c>
      <c r="O3583">
        <v>190</v>
      </c>
    </row>
    <row r="3584" spans="1:15" x14ac:dyDescent="0.25">
      <c r="A3584" t="s">
        <v>4649</v>
      </c>
      <c r="B3584" s="2">
        <v>49240</v>
      </c>
      <c r="C3584" t="s">
        <v>225</v>
      </c>
      <c r="D3584" t="s">
        <v>226</v>
      </c>
      <c r="E3584" t="s">
        <v>26</v>
      </c>
      <c r="F3584" t="s">
        <v>34</v>
      </c>
      <c r="G3584" t="s">
        <v>57</v>
      </c>
      <c r="H3584" t="s">
        <v>58</v>
      </c>
      <c r="I3584" t="s">
        <v>129</v>
      </c>
      <c r="J3584">
        <v>5</v>
      </c>
      <c r="K3584">
        <v>4800</v>
      </c>
      <c r="L3584">
        <v>0.1</v>
      </c>
      <c r="M3584">
        <v>21600</v>
      </c>
      <c r="N3584">
        <v>16500</v>
      </c>
      <c r="O3584">
        <v>5100</v>
      </c>
    </row>
    <row r="3585" spans="1:15" x14ac:dyDescent="0.25">
      <c r="A3585" t="s">
        <v>4650</v>
      </c>
      <c r="B3585" s="2">
        <v>49241</v>
      </c>
      <c r="C3585" t="s">
        <v>1556</v>
      </c>
      <c r="D3585" t="s">
        <v>1557</v>
      </c>
      <c r="E3585" t="s">
        <v>26</v>
      </c>
      <c r="F3585" t="s">
        <v>34</v>
      </c>
      <c r="G3585" t="s">
        <v>20</v>
      </c>
      <c r="H3585" t="s">
        <v>41</v>
      </c>
      <c r="I3585" t="s">
        <v>42</v>
      </c>
      <c r="J3585">
        <v>3</v>
      </c>
      <c r="K3585">
        <v>520</v>
      </c>
      <c r="L3585">
        <v>0.2</v>
      </c>
      <c r="M3585">
        <v>1248</v>
      </c>
      <c r="N3585">
        <v>990</v>
      </c>
      <c r="O3585">
        <v>258</v>
      </c>
    </row>
    <row r="3586" spans="1:15" x14ac:dyDescent="0.25">
      <c r="A3586" t="s">
        <v>4651</v>
      </c>
      <c r="B3586" s="2">
        <v>49242</v>
      </c>
      <c r="C3586" t="s">
        <v>1858</v>
      </c>
      <c r="D3586" t="s">
        <v>1859</v>
      </c>
      <c r="E3586" t="s">
        <v>39</v>
      </c>
      <c r="F3586" t="s">
        <v>40</v>
      </c>
      <c r="G3586" t="s">
        <v>57</v>
      </c>
      <c r="H3586" t="s">
        <v>188</v>
      </c>
      <c r="I3586" t="s">
        <v>189</v>
      </c>
      <c r="J3586">
        <v>3</v>
      </c>
      <c r="K3586">
        <v>6200</v>
      </c>
      <c r="L3586">
        <v>0.05</v>
      </c>
      <c r="M3586">
        <v>17670</v>
      </c>
      <c r="N3586">
        <v>12900</v>
      </c>
      <c r="O3586">
        <v>4770</v>
      </c>
    </row>
    <row r="3587" spans="1:15" x14ac:dyDescent="0.25">
      <c r="A3587" t="s">
        <v>4652</v>
      </c>
      <c r="B3587" s="2">
        <v>49243</v>
      </c>
      <c r="C3587" t="s">
        <v>721</v>
      </c>
      <c r="D3587" t="s">
        <v>722</v>
      </c>
      <c r="E3587" t="s">
        <v>26</v>
      </c>
      <c r="F3587" t="s">
        <v>46</v>
      </c>
      <c r="G3587" t="s">
        <v>51</v>
      </c>
      <c r="H3587" t="s">
        <v>52</v>
      </c>
      <c r="I3587" t="s">
        <v>208</v>
      </c>
      <c r="J3587">
        <v>3</v>
      </c>
      <c r="K3587">
        <v>2800</v>
      </c>
      <c r="L3587">
        <v>0.1</v>
      </c>
      <c r="M3587">
        <v>7560</v>
      </c>
      <c r="N3587">
        <v>5400</v>
      </c>
      <c r="O3587">
        <v>2160</v>
      </c>
    </row>
    <row r="3588" spans="1:15" x14ac:dyDescent="0.25">
      <c r="A3588" t="s">
        <v>4653</v>
      </c>
      <c r="B3588" s="2">
        <v>49244</v>
      </c>
      <c r="C3588" t="s">
        <v>1019</v>
      </c>
      <c r="D3588" t="s">
        <v>1020</v>
      </c>
      <c r="E3588" t="s">
        <v>18</v>
      </c>
      <c r="F3588" t="s">
        <v>115</v>
      </c>
      <c r="G3588" t="s">
        <v>20</v>
      </c>
      <c r="H3588" t="s">
        <v>84</v>
      </c>
      <c r="I3588" t="s">
        <v>169</v>
      </c>
      <c r="J3588">
        <v>1</v>
      </c>
      <c r="K3588">
        <v>450</v>
      </c>
      <c r="L3588">
        <v>0</v>
      </c>
      <c r="M3588">
        <v>450</v>
      </c>
      <c r="N3588">
        <v>260</v>
      </c>
      <c r="O3588">
        <v>190</v>
      </c>
    </row>
    <row r="3589" spans="1:15" x14ac:dyDescent="0.25">
      <c r="A3589" t="s">
        <v>4654</v>
      </c>
      <c r="B3589" s="2">
        <v>49245</v>
      </c>
      <c r="C3589" t="s">
        <v>1682</v>
      </c>
      <c r="D3589" t="s">
        <v>1683</v>
      </c>
      <c r="E3589" t="s">
        <v>26</v>
      </c>
      <c r="F3589" t="s">
        <v>34</v>
      </c>
      <c r="G3589" t="s">
        <v>20</v>
      </c>
      <c r="H3589" t="s">
        <v>21</v>
      </c>
      <c r="I3589" t="s">
        <v>22</v>
      </c>
      <c r="J3589">
        <v>4</v>
      </c>
      <c r="K3589">
        <v>650</v>
      </c>
      <c r="L3589">
        <v>0.15</v>
      </c>
      <c r="M3589">
        <v>2210</v>
      </c>
      <c r="N3589">
        <v>1560</v>
      </c>
      <c r="O3589">
        <v>650</v>
      </c>
    </row>
    <row r="3590" spans="1:15" x14ac:dyDescent="0.25">
      <c r="A3590" t="s">
        <v>4655</v>
      </c>
      <c r="B3590" s="2">
        <v>49246</v>
      </c>
      <c r="C3590" t="s">
        <v>721</v>
      </c>
      <c r="D3590" t="s">
        <v>722</v>
      </c>
      <c r="E3590" t="s">
        <v>39</v>
      </c>
      <c r="F3590" t="s">
        <v>71</v>
      </c>
      <c r="G3590" t="s">
        <v>20</v>
      </c>
      <c r="H3590" t="s">
        <v>41</v>
      </c>
      <c r="I3590" t="s">
        <v>42</v>
      </c>
      <c r="J3590">
        <v>4</v>
      </c>
      <c r="K3590">
        <v>520</v>
      </c>
      <c r="L3590">
        <v>0.05</v>
      </c>
      <c r="M3590">
        <v>1976</v>
      </c>
      <c r="N3590">
        <v>1320</v>
      </c>
      <c r="O3590">
        <v>656</v>
      </c>
    </row>
    <row r="3591" spans="1:15" x14ac:dyDescent="0.25">
      <c r="A3591" t="s">
        <v>4656</v>
      </c>
      <c r="B3591" s="2">
        <v>49247</v>
      </c>
      <c r="C3591" t="s">
        <v>941</v>
      </c>
      <c r="D3591" t="s">
        <v>942</v>
      </c>
      <c r="E3591" t="s">
        <v>26</v>
      </c>
      <c r="F3591" t="s">
        <v>46</v>
      </c>
      <c r="G3591" t="s">
        <v>51</v>
      </c>
      <c r="H3591" t="s">
        <v>52</v>
      </c>
      <c r="I3591" t="s">
        <v>208</v>
      </c>
      <c r="J3591">
        <v>2</v>
      </c>
      <c r="K3591">
        <v>2800</v>
      </c>
      <c r="L3591">
        <v>0.1</v>
      </c>
      <c r="M3591">
        <v>5040</v>
      </c>
      <c r="N3591">
        <v>3600</v>
      </c>
      <c r="O3591">
        <v>1440</v>
      </c>
    </row>
    <row r="3592" spans="1:15" x14ac:dyDescent="0.25">
      <c r="A3592" t="s">
        <v>4657</v>
      </c>
      <c r="B3592" s="2">
        <v>49248</v>
      </c>
      <c r="C3592" t="s">
        <v>678</v>
      </c>
      <c r="D3592" t="s">
        <v>679</v>
      </c>
      <c r="E3592" t="s">
        <v>39</v>
      </c>
      <c r="F3592" t="s">
        <v>40</v>
      </c>
      <c r="G3592" t="s">
        <v>51</v>
      </c>
      <c r="H3592" t="s">
        <v>52</v>
      </c>
      <c r="I3592" t="s">
        <v>208</v>
      </c>
      <c r="J3592">
        <v>2</v>
      </c>
      <c r="K3592">
        <v>2800</v>
      </c>
      <c r="L3592">
        <v>0.15</v>
      </c>
      <c r="M3592">
        <v>4760</v>
      </c>
      <c r="N3592">
        <v>3600</v>
      </c>
      <c r="O3592">
        <v>1160</v>
      </c>
    </row>
    <row r="3593" spans="1:15" x14ac:dyDescent="0.25">
      <c r="A3593" t="s">
        <v>4658</v>
      </c>
      <c r="B3593" s="2">
        <v>49249</v>
      </c>
      <c r="C3593" t="s">
        <v>1556</v>
      </c>
      <c r="D3593" t="s">
        <v>1557</v>
      </c>
      <c r="E3593" t="s">
        <v>18</v>
      </c>
      <c r="F3593" t="s">
        <v>19</v>
      </c>
      <c r="G3593" t="s">
        <v>51</v>
      </c>
      <c r="H3593" t="s">
        <v>52</v>
      </c>
      <c r="I3593" t="s">
        <v>53</v>
      </c>
      <c r="J3593">
        <v>5</v>
      </c>
      <c r="K3593">
        <v>2200</v>
      </c>
      <c r="L3593">
        <v>0.1</v>
      </c>
      <c r="M3593">
        <v>9900</v>
      </c>
      <c r="N3593">
        <v>7250</v>
      </c>
      <c r="O3593">
        <v>2650</v>
      </c>
    </row>
    <row r="3594" spans="1:15" x14ac:dyDescent="0.25">
      <c r="A3594" t="s">
        <v>4659</v>
      </c>
      <c r="B3594" s="2">
        <v>49250</v>
      </c>
      <c r="C3594" t="s">
        <v>333</v>
      </c>
      <c r="D3594" t="s">
        <v>334</v>
      </c>
      <c r="E3594" t="s">
        <v>18</v>
      </c>
      <c r="F3594" t="s">
        <v>19</v>
      </c>
      <c r="G3594" t="s">
        <v>20</v>
      </c>
      <c r="H3594" t="s">
        <v>84</v>
      </c>
      <c r="I3594" t="s">
        <v>85</v>
      </c>
      <c r="J3594">
        <v>1</v>
      </c>
      <c r="K3594">
        <v>280</v>
      </c>
      <c r="L3594">
        <v>0</v>
      </c>
      <c r="M3594">
        <v>280</v>
      </c>
      <c r="N3594">
        <v>160</v>
      </c>
      <c r="O3594">
        <v>120</v>
      </c>
    </row>
    <row r="3595" spans="1:15" x14ac:dyDescent="0.25">
      <c r="A3595" t="s">
        <v>4660</v>
      </c>
      <c r="B3595" s="2">
        <v>49251</v>
      </c>
      <c r="C3595" t="s">
        <v>1130</v>
      </c>
      <c r="D3595" t="s">
        <v>1131</v>
      </c>
      <c r="E3595" t="s">
        <v>26</v>
      </c>
      <c r="F3595" t="s">
        <v>204</v>
      </c>
      <c r="G3595" t="s">
        <v>28</v>
      </c>
      <c r="H3595" t="s">
        <v>63</v>
      </c>
      <c r="I3595" t="s">
        <v>64</v>
      </c>
      <c r="J3595">
        <v>5</v>
      </c>
      <c r="K3595">
        <v>2400</v>
      </c>
      <c r="L3595">
        <v>0</v>
      </c>
      <c r="M3595">
        <v>12000</v>
      </c>
      <c r="N3595">
        <v>8250</v>
      </c>
      <c r="O3595">
        <v>3750</v>
      </c>
    </row>
    <row r="3596" spans="1:15" x14ac:dyDescent="0.25">
      <c r="A3596" t="s">
        <v>4661</v>
      </c>
      <c r="B3596" s="2">
        <v>49252</v>
      </c>
      <c r="C3596" t="s">
        <v>275</v>
      </c>
      <c r="D3596" t="s">
        <v>276</v>
      </c>
      <c r="E3596" t="s">
        <v>26</v>
      </c>
      <c r="F3596" t="s">
        <v>46</v>
      </c>
      <c r="G3596" t="s">
        <v>51</v>
      </c>
      <c r="H3596" t="s">
        <v>21</v>
      </c>
      <c r="I3596" t="s">
        <v>72</v>
      </c>
      <c r="J3596">
        <v>1</v>
      </c>
      <c r="K3596">
        <v>1800</v>
      </c>
      <c r="L3596">
        <v>0.15</v>
      </c>
      <c r="M3596">
        <v>1530</v>
      </c>
      <c r="N3596">
        <v>1100</v>
      </c>
      <c r="O3596">
        <v>430</v>
      </c>
    </row>
    <row r="3597" spans="1:15" x14ac:dyDescent="0.25">
      <c r="A3597" t="s">
        <v>4662</v>
      </c>
      <c r="B3597" s="2">
        <v>49253</v>
      </c>
      <c r="C3597" t="s">
        <v>390</v>
      </c>
      <c r="D3597" t="s">
        <v>391</v>
      </c>
      <c r="E3597" t="s">
        <v>96</v>
      </c>
      <c r="F3597" t="s">
        <v>196</v>
      </c>
      <c r="G3597" t="s">
        <v>57</v>
      </c>
      <c r="H3597" t="s">
        <v>104</v>
      </c>
      <c r="I3597" t="s">
        <v>105</v>
      </c>
      <c r="J3597">
        <v>2</v>
      </c>
      <c r="K3597">
        <v>7500</v>
      </c>
      <c r="L3597">
        <v>0.2</v>
      </c>
      <c r="M3597">
        <v>12000</v>
      </c>
      <c r="N3597">
        <v>10400</v>
      </c>
      <c r="O3597">
        <v>1600</v>
      </c>
    </row>
    <row r="3598" spans="1:15" x14ac:dyDescent="0.25">
      <c r="A3598" t="s">
        <v>4663</v>
      </c>
      <c r="B3598" s="2">
        <v>49254</v>
      </c>
      <c r="C3598" t="s">
        <v>838</v>
      </c>
      <c r="D3598" t="s">
        <v>839</v>
      </c>
      <c r="E3598" t="s">
        <v>39</v>
      </c>
      <c r="F3598" t="s">
        <v>124</v>
      </c>
      <c r="G3598" t="s">
        <v>28</v>
      </c>
      <c r="H3598" t="s">
        <v>63</v>
      </c>
      <c r="I3598" t="s">
        <v>64</v>
      </c>
      <c r="J3598">
        <v>4</v>
      </c>
      <c r="K3598">
        <v>2400</v>
      </c>
      <c r="L3598">
        <v>0.1</v>
      </c>
      <c r="M3598">
        <v>8640</v>
      </c>
      <c r="N3598">
        <v>6600</v>
      </c>
      <c r="O3598">
        <v>2040</v>
      </c>
    </row>
    <row r="3599" spans="1:15" x14ac:dyDescent="0.25">
      <c r="A3599" t="s">
        <v>4664</v>
      </c>
      <c r="B3599" s="2">
        <v>49255</v>
      </c>
      <c r="C3599" t="s">
        <v>82</v>
      </c>
      <c r="D3599" t="s">
        <v>83</v>
      </c>
      <c r="E3599" t="s">
        <v>96</v>
      </c>
      <c r="F3599" t="s">
        <v>196</v>
      </c>
      <c r="G3599" t="s">
        <v>51</v>
      </c>
      <c r="H3599" t="s">
        <v>21</v>
      </c>
      <c r="I3599" t="s">
        <v>80</v>
      </c>
      <c r="J3599">
        <v>2</v>
      </c>
      <c r="K3599">
        <v>850</v>
      </c>
      <c r="L3599">
        <v>0.1</v>
      </c>
      <c r="M3599">
        <v>1530</v>
      </c>
      <c r="N3599">
        <v>1120</v>
      </c>
      <c r="O3599">
        <v>410</v>
      </c>
    </row>
    <row r="3600" spans="1:15" x14ac:dyDescent="0.25">
      <c r="A3600" t="s">
        <v>4665</v>
      </c>
      <c r="B3600" s="2">
        <v>49256</v>
      </c>
      <c r="C3600" t="s">
        <v>744</v>
      </c>
      <c r="D3600" t="s">
        <v>745</v>
      </c>
      <c r="E3600" t="s">
        <v>39</v>
      </c>
      <c r="F3600" t="s">
        <v>124</v>
      </c>
      <c r="G3600" t="s">
        <v>20</v>
      </c>
      <c r="H3600" t="s">
        <v>41</v>
      </c>
      <c r="I3600" t="s">
        <v>42</v>
      </c>
      <c r="J3600">
        <v>4</v>
      </c>
      <c r="K3600">
        <v>520</v>
      </c>
      <c r="L3600">
        <v>0.1</v>
      </c>
      <c r="M3600">
        <v>1872</v>
      </c>
      <c r="N3600">
        <v>1320</v>
      </c>
      <c r="O3600">
        <v>552</v>
      </c>
    </row>
    <row r="3601" spans="1:15" x14ac:dyDescent="0.25">
      <c r="A3601" t="s">
        <v>4666</v>
      </c>
      <c r="B3601" s="2">
        <v>49257</v>
      </c>
      <c r="C3601" t="s">
        <v>1920</v>
      </c>
      <c r="D3601" t="s">
        <v>1921</v>
      </c>
      <c r="E3601" t="s">
        <v>26</v>
      </c>
      <c r="F3601" t="s">
        <v>27</v>
      </c>
      <c r="G3601" t="s">
        <v>57</v>
      </c>
      <c r="H3601" t="s">
        <v>58</v>
      </c>
      <c r="I3601" t="s">
        <v>59</v>
      </c>
      <c r="J3601">
        <v>1</v>
      </c>
      <c r="K3601">
        <v>5600</v>
      </c>
      <c r="L3601">
        <v>0.15</v>
      </c>
      <c r="M3601">
        <v>4760</v>
      </c>
      <c r="N3601">
        <v>3900</v>
      </c>
      <c r="O3601">
        <v>860</v>
      </c>
    </row>
    <row r="3602" spans="1:15" x14ac:dyDescent="0.25">
      <c r="A3602" t="s">
        <v>4667</v>
      </c>
      <c r="B3602" s="2">
        <v>49258</v>
      </c>
      <c r="C3602" t="s">
        <v>16</v>
      </c>
      <c r="D3602" t="s">
        <v>17</v>
      </c>
      <c r="E3602" t="s">
        <v>39</v>
      </c>
      <c r="F3602" t="s">
        <v>40</v>
      </c>
      <c r="G3602" t="s">
        <v>51</v>
      </c>
      <c r="H3602" t="s">
        <v>21</v>
      </c>
      <c r="I3602" t="s">
        <v>116</v>
      </c>
      <c r="J3602">
        <v>5</v>
      </c>
      <c r="K3602">
        <v>1400</v>
      </c>
      <c r="L3602">
        <v>0.2</v>
      </c>
      <c r="M3602">
        <v>5600</v>
      </c>
      <c r="N3602">
        <v>4500</v>
      </c>
      <c r="O3602">
        <v>1100</v>
      </c>
    </row>
    <row r="3603" spans="1:15" x14ac:dyDescent="0.25">
      <c r="A3603" t="s">
        <v>4668</v>
      </c>
      <c r="B3603" s="2">
        <v>49259</v>
      </c>
      <c r="C3603" t="s">
        <v>1201</v>
      </c>
      <c r="D3603" t="s">
        <v>1202</v>
      </c>
      <c r="E3603" t="s">
        <v>39</v>
      </c>
      <c r="F3603" t="s">
        <v>71</v>
      </c>
      <c r="G3603" t="s">
        <v>51</v>
      </c>
      <c r="H3603" t="s">
        <v>21</v>
      </c>
      <c r="I3603" t="s">
        <v>80</v>
      </c>
      <c r="J3603">
        <v>5</v>
      </c>
      <c r="K3603">
        <v>850</v>
      </c>
      <c r="L3603">
        <v>0.1</v>
      </c>
      <c r="M3603">
        <v>3825</v>
      </c>
      <c r="N3603">
        <v>2800</v>
      </c>
      <c r="O3603">
        <v>1025</v>
      </c>
    </row>
    <row r="3604" spans="1:15" x14ac:dyDescent="0.25">
      <c r="A3604" t="s">
        <v>4669</v>
      </c>
      <c r="B3604" s="2">
        <v>49260</v>
      </c>
      <c r="C3604" t="s">
        <v>623</v>
      </c>
      <c r="D3604" t="s">
        <v>624</v>
      </c>
      <c r="E3604" t="s">
        <v>39</v>
      </c>
      <c r="F3604" t="s">
        <v>124</v>
      </c>
      <c r="G3604" t="s">
        <v>28</v>
      </c>
      <c r="H3604" t="s">
        <v>63</v>
      </c>
      <c r="I3604" t="s">
        <v>64</v>
      </c>
      <c r="J3604">
        <v>3</v>
      </c>
      <c r="K3604">
        <v>2400</v>
      </c>
      <c r="L3604">
        <v>0</v>
      </c>
      <c r="M3604">
        <v>7200</v>
      </c>
      <c r="N3604">
        <v>4950</v>
      </c>
      <c r="O3604">
        <v>2250</v>
      </c>
    </row>
    <row r="3605" spans="1:15" x14ac:dyDescent="0.25">
      <c r="A3605" t="s">
        <v>4670</v>
      </c>
      <c r="B3605" s="2">
        <v>49261</v>
      </c>
      <c r="C3605" t="s">
        <v>772</v>
      </c>
      <c r="D3605" t="s">
        <v>773</v>
      </c>
      <c r="E3605" t="s">
        <v>26</v>
      </c>
      <c r="F3605" t="s">
        <v>204</v>
      </c>
      <c r="G3605" t="s">
        <v>57</v>
      </c>
      <c r="H3605" t="s">
        <v>58</v>
      </c>
      <c r="I3605" t="s">
        <v>129</v>
      </c>
      <c r="J3605">
        <v>1</v>
      </c>
      <c r="K3605">
        <v>4800</v>
      </c>
      <c r="L3605">
        <v>0.05</v>
      </c>
      <c r="M3605">
        <v>4560</v>
      </c>
      <c r="N3605">
        <v>3300</v>
      </c>
      <c r="O3605">
        <v>1260</v>
      </c>
    </row>
    <row r="3606" spans="1:15" x14ac:dyDescent="0.25">
      <c r="A3606" t="s">
        <v>4671</v>
      </c>
      <c r="B3606" s="2">
        <v>49262</v>
      </c>
      <c r="C3606" t="s">
        <v>733</v>
      </c>
      <c r="D3606" t="s">
        <v>734</v>
      </c>
      <c r="E3606" t="s">
        <v>18</v>
      </c>
      <c r="F3606" t="s">
        <v>227</v>
      </c>
      <c r="G3606" t="s">
        <v>20</v>
      </c>
      <c r="H3606" t="s">
        <v>41</v>
      </c>
      <c r="I3606" t="s">
        <v>42</v>
      </c>
      <c r="J3606">
        <v>1</v>
      </c>
      <c r="K3606">
        <v>520</v>
      </c>
      <c r="L3606">
        <v>0.05</v>
      </c>
      <c r="M3606">
        <v>494</v>
      </c>
      <c r="N3606">
        <v>330</v>
      </c>
      <c r="O3606">
        <v>164</v>
      </c>
    </row>
    <row r="3607" spans="1:15" x14ac:dyDescent="0.25">
      <c r="A3607" t="s">
        <v>4672</v>
      </c>
      <c r="B3607" s="2">
        <v>49263</v>
      </c>
      <c r="C3607" t="s">
        <v>433</v>
      </c>
      <c r="D3607" t="s">
        <v>434</v>
      </c>
      <c r="E3607" t="s">
        <v>96</v>
      </c>
      <c r="F3607" t="s">
        <v>120</v>
      </c>
      <c r="G3607" t="s">
        <v>51</v>
      </c>
      <c r="H3607" t="s">
        <v>89</v>
      </c>
      <c r="I3607" t="s">
        <v>90</v>
      </c>
      <c r="J3607">
        <v>1</v>
      </c>
      <c r="K3607">
        <v>10500</v>
      </c>
      <c r="L3607">
        <v>0.05</v>
      </c>
      <c r="M3607">
        <v>9975</v>
      </c>
      <c r="N3607">
        <v>7600</v>
      </c>
      <c r="O3607">
        <v>2375</v>
      </c>
    </row>
    <row r="3608" spans="1:15" x14ac:dyDescent="0.25">
      <c r="A3608" t="s">
        <v>4673</v>
      </c>
      <c r="B3608" s="2">
        <v>49264</v>
      </c>
      <c r="C3608" t="s">
        <v>556</v>
      </c>
      <c r="D3608" t="s">
        <v>557</v>
      </c>
      <c r="E3608" t="s">
        <v>26</v>
      </c>
      <c r="F3608" t="s">
        <v>27</v>
      </c>
      <c r="G3608" t="s">
        <v>51</v>
      </c>
      <c r="H3608" t="s">
        <v>21</v>
      </c>
      <c r="I3608" t="s">
        <v>116</v>
      </c>
      <c r="J3608">
        <v>3</v>
      </c>
      <c r="K3608">
        <v>1400</v>
      </c>
      <c r="L3608">
        <v>0.25</v>
      </c>
      <c r="M3608">
        <v>3150</v>
      </c>
      <c r="N3608">
        <v>2700</v>
      </c>
      <c r="O3608">
        <v>450</v>
      </c>
    </row>
    <row r="3609" spans="1:15" x14ac:dyDescent="0.25">
      <c r="A3609" t="s">
        <v>4674</v>
      </c>
      <c r="B3609" s="2">
        <v>49265</v>
      </c>
      <c r="C3609" t="s">
        <v>2311</v>
      </c>
      <c r="D3609" t="s">
        <v>2312</v>
      </c>
      <c r="E3609" t="s">
        <v>39</v>
      </c>
      <c r="F3609" t="s">
        <v>124</v>
      </c>
      <c r="G3609" t="s">
        <v>20</v>
      </c>
      <c r="H3609" t="s">
        <v>41</v>
      </c>
      <c r="I3609" t="s">
        <v>42</v>
      </c>
      <c r="J3609">
        <v>2</v>
      </c>
      <c r="K3609">
        <v>520</v>
      </c>
      <c r="L3609">
        <v>0</v>
      </c>
      <c r="M3609">
        <v>1040</v>
      </c>
      <c r="N3609">
        <v>660</v>
      </c>
      <c r="O3609">
        <v>380</v>
      </c>
    </row>
    <row r="3610" spans="1:15" x14ac:dyDescent="0.25">
      <c r="A3610" t="s">
        <v>4675</v>
      </c>
      <c r="B3610" s="2">
        <v>49266</v>
      </c>
      <c r="C3610" t="s">
        <v>1328</v>
      </c>
      <c r="D3610" t="s">
        <v>1329</v>
      </c>
      <c r="E3610" t="s">
        <v>39</v>
      </c>
      <c r="F3610" t="s">
        <v>40</v>
      </c>
      <c r="G3610" t="s">
        <v>28</v>
      </c>
      <c r="H3610" t="s">
        <v>29</v>
      </c>
      <c r="I3610" t="s">
        <v>35</v>
      </c>
      <c r="J3610">
        <v>2</v>
      </c>
      <c r="K3610">
        <v>4200</v>
      </c>
      <c r="L3610">
        <v>0.05</v>
      </c>
      <c r="M3610">
        <v>7980</v>
      </c>
      <c r="N3610">
        <v>5800</v>
      </c>
      <c r="O3610">
        <v>2180</v>
      </c>
    </row>
    <row r="3611" spans="1:15" x14ac:dyDescent="0.25">
      <c r="A3611" t="s">
        <v>4676</v>
      </c>
      <c r="B3611" s="2">
        <v>49267</v>
      </c>
      <c r="C3611" t="s">
        <v>1739</v>
      </c>
      <c r="D3611" t="s">
        <v>1740</v>
      </c>
      <c r="E3611" t="s">
        <v>26</v>
      </c>
      <c r="F3611" t="s">
        <v>204</v>
      </c>
      <c r="G3611" t="s">
        <v>57</v>
      </c>
      <c r="H3611" t="s">
        <v>188</v>
      </c>
      <c r="I3611" t="s">
        <v>189</v>
      </c>
      <c r="J3611">
        <v>2</v>
      </c>
      <c r="K3611">
        <v>6200</v>
      </c>
      <c r="L3611">
        <v>0.1</v>
      </c>
      <c r="M3611">
        <v>11160</v>
      </c>
      <c r="N3611">
        <v>8600</v>
      </c>
      <c r="O3611">
        <v>2560</v>
      </c>
    </row>
    <row r="3612" spans="1:15" x14ac:dyDescent="0.25">
      <c r="A3612" t="s">
        <v>4677</v>
      </c>
      <c r="B3612" s="2">
        <v>49268</v>
      </c>
      <c r="C3612" t="s">
        <v>1948</v>
      </c>
      <c r="D3612" t="s">
        <v>1949</v>
      </c>
      <c r="E3612" t="s">
        <v>18</v>
      </c>
      <c r="F3612" t="s">
        <v>94</v>
      </c>
      <c r="G3612" t="s">
        <v>51</v>
      </c>
      <c r="H3612" t="s">
        <v>52</v>
      </c>
      <c r="I3612" t="s">
        <v>53</v>
      </c>
      <c r="J3612">
        <v>5</v>
      </c>
      <c r="K3612">
        <v>2200</v>
      </c>
      <c r="L3612">
        <v>0.15</v>
      </c>
      <c r="M3612">
        <v>9350</v>
      </c>
      <c r="N3612">
        <v>7250</v>
      </c>
      <c r="O3612">
        <v>2100</v>
      </c>
    </row>
    <row r="3613" spans="1:15" x14ac:dyDescent="0.25">
      <c r="A3613" t="s">
        <v>4678</v>
      </c>
      <c r="B3613" s="2">
        <v>49269</v>
      </c>
      <c r="C3613" t="s">
        <v>311</v>
      </c>
      <c r="D3613" t="s">
        <v>312</v>
      </c>
      <c r="E3613" t="s">
        <v>96</v>
      </c>
      <c r="F3613" t="s">
        <v>196</v>
      </c>
      <c r="G3613" t="s">
        <v>51</v>
      </c>
      <c r="H3613" t="s">
        <v>21</v>
      </c>
      <c r="I3613" t="s">
        <v>80</v>
      </c>
      <c r="J3613">
        <v>2</v>
      </c>
      <c r="K3613">
        <v>850</v>
      </c>
      <c r="L3613">
        <v>0.05</v>
      </c>
      <c r="M3613">
        <v>1615</v>
      </c>
      <c r="N3613">
        <v>1120</v>
      </c>
      <c r="O3613">
        <v>495</v>
      </c>
    </row>
    <row r="3614" spans="1:15" x14ac:dyDescent="0.25">
      <c r="A3614" t="s">
        <v>4679</v>
      </c>
      <c r="B3614" s="2">
        <v>49270</v>
      </c>
      <c r="C3614" t="s">
        <v>3080</v>
      </c>
      <c r="D3614" t="s">
        <v>3081</v>
      </c>
      <c r="E3614" t="s">
        <v>39</v>
      </c>
      <c r="F3614" t="s">
        <v>40</v>
      </c>
      <c r="G3614" t="s">
        <v>57</v>
      </c>
      <c r="H3614" t="s">
        <v>188</v>
      </c>
      <c r="I3614" t="s">
        <v>189</v>
      </c>
      <c r="J3614">
        <v>2</v>
      </c>
      <c r="K3614">
        <v>6200</v>
      </c>
      <c r="L3614">
        <v>0.1</v>
      </c>
      <c r="M3614">
        <v>11160</v>
      </c>
      <c r="N3614">
        <v>8600</v>
      </c>
      <c r="O3614">
        <v>2560</v>
      </c>
    </row>
    <row r="3615" spans="1:15" x14ac:dyDescent="0.25">
      <c r="A3615" t="s">
        <v>4680</v>
      </c>
      <c r="B3615" s="2">
        <v>49271</v>
      </c>
      <c r="C3615" t="s">
        <v>682</v>
      </c>
      <c r="D3615" t="s">
        <v>683</v>
      </c>
      <c r="E3615" t="s">
        <v>18</v>
      </c>
      <c r="F3615" t="s">
        <v>19</v>
      </c>
      <c r="G3615" t="s">
        <v>57</v>
      </c>
      <c r="H3615" t="s">
        <v>188</v>
      </c>
      <c r="I3615" t="s">
        <v>189</v>
      </c>
      <c r="J3615">
        <v>4</v>
      </c>
      <c r="K3615">
        <v>6200</v>
      </c>
      <c r="L3615">
        <v>0.25</v>
      </c>
      <c r="M3615">
        <v>18600</v>
      </c>
      <c r="N3615">
        <v>17200</v>
      </c>
      <c r="O3615">
        <v>1400</v>
      </c>
    </row>
    <row r="3616" spans="1:15" x14ac:dyDescent="0.25">
      <c r="A3616" t="s">
        <v>4681</v>
      </c>
      <c r="B3616" s="2">
        <v>49272</v>
      </c>
      <c r="C3616" t="s">
        <v>491</v>
      </c>
      <c r="D3616" t="s">
        <v>492</v>
      </c>
      <c r="E3616" t="s">
        <v>96</v>
      </c>
      <c r="F3616" t="s">
        <v>200</v>
      </c>
      <c r="G3616" t="s">
        <v>51</v>
      </c>
      <c r="H3616" t="s">
        <v>52</v>
      </c>
      <c r="I3616" t="s">
        <v>53</v>
      </c>
      <c r="J3616">
        <v>3</v>
      </c>
      <c r="K3616">
        <v>2200</v>
      </c>
      <c r="L3616">
        <v>0.15</v>
      </c>
      <c r="M3616">
        <v>5610</v>
      </c>
      <c r="N3616">
        <v>4350</v>
      </c>
      <c r="O3616">
        <v>1260</v>
      </c>
    </row>
    <row r="3617" spans="1:15" x14ac:dyDescent="0.25">
      <c r="A3617" t="s">
        <v>4682</v>
      </c>
      <c r="B3617" s="2">
        <v>49273</v>
      </c>
      <c r="C3617" t="s">
        <v>2207</v>
      </c>
      <c r="D3617" t="s">
        <v>2208</v>
      </c>
      <c r="E3617" t="s">
        <v>39</v>
      </c>
      <c r="F3617" t="s">
        <v>40</v>
      </c>
      <c r="G3617" t="s">
        <v>28</v>
      </c>
      <c r="H3617" t="s">
        <v>29</v>
      </c>
      <c r="I3617" t="s">
        <v>30</v>
      </c>
      <c r="J3617">
        <v>1</v>
      </c>
      <c r="K3617">
        <v>1900</v>
      </c>
      <c r="L3617">
        <v>0.25</v>
      </c>
      <c r="M3617">
        <v>1425</v>
      </c>
      <c r="N3617">
        <v>1250</v>
      </c>
      <c r="O3617">
        <v>175</v>
      </c>
    </row>
    <row r="3618" spans="1:15" x14ac:dyDescent="0.25">
      <c r="A3618" t="s">
        <v>4683</v>
      </c>
      <c r="B3618" s="2">
        <v>49274</v>
      </c>
      <c r="C3618" t="s">
        <v>994</v>
      </c>
      <c r="D3618" t="s">
        <v>995</v>
      </c>
      <c r="E3618" t="s">
        <v>18</v>
      </c>
      <c r="F3618" t="s">
        <v>19</v>
      </c>
      <c r="G3618" t="s">
        <v>57</v>
      </c>
      <c r="H3618" t="s">
        <v>58</v>
      </c>
      <c r="I3618" t="s">
        <v>59</v>
      </c>
      <c r="J3618">
        <v>4</v>
      </c>
      <c r="K3618">
        <v>5600</v>
      </c>
      <c r="L3618">
        <v>0.05</v>
      </c>
      <c r="M3618">
        <v>21280</v>
      </c>
      <c r="N3618">
        <v>15600</v>
      </c>
      <c r="O3618">
        <v>5680</v>
      </c>
    </row>
    <row r="3619" spans="1:15" x14ac:dyDescent="0.25">
      <c r="A3619" t="s">
        <v>4684</v>
      </c>
      <c r="B3619" s="2">
        <v>49275</v>
      </c>
      <c r="C3619" t="s">
        <v>1445</v>
      </c>
      <c r="D3619" t="s">
        <v>1446</v>
      </c>
      <c r="E3619" t="s">
        <v>39</v>
      </c>
      <c r="F3619" t="s">
        <v>71</v>
      </c>
      <c r="G3619" t="s">
        <v>20</v>
      </c>
      <c r="H3619" t="s">
        <v>41</v>
      </c>
      <c r="I3619" t="s">
        <v>42</v>
      </c>
      <c r="J3619">
        <v>2</v>
      </c>
      <c r="K3619">
        <v>520</v>
      </c>
      <c r="L3619">
        <v>0.15</v>
      </c>
      <c r="M3619">
        <v>884</v>
      </c>
      <c r="N3619">
        <v>660</v>
      </c>
      <c r="O3619">
        <v>224</v>
      </c>
    </row>
    <row r="3620" spans="1:15" x14ac:dyDescent="0.25">
      <c r="A3620" t="s">
        <v>4685</v>
      </c>
      <c r="B3620" s="2">
        <v>49276</v>
      </c>
      <c r="C3620" t="s">
        <v>881</v>
      </c>
      <c r="D3620" t="s">
        <v>882</v>
      </c>
      <c r="E3620" t="s">
        <v>96</v>
      </c>
      <c r="F3620" t="s">
        <v>200</v>
      </c>
      <c r="G3620" t="s">
        <v>57</v>
      </c>
      <c r="H3620" t="s">
        <v>58</v>
      </c>
      <c r="I3620" t="s">
        <v>129</v>
      </c>
      <c r="J3620">
        <v>4</v>
      </c>
      <c r="K3620">
        <v>4800</v>
      </c>
      <c r="L3620">
        <v>0</v>
      </c>
      <c r="M3620">
        <v>19200</v>
      </c>
      <c r="N3620">
        <v>13200</v>
      </c>
      <c r="O3620">
        <v>6000</v>
      </c>
    </row>
    <row r="3621" spans="1:15" x14ac:dyDescent="0.25">
      <c r="A3621" t="s">
        <v>4686</v>
      </c>
      <c r="B3621" s="2">
        <v>49277</v>
      </c>
      <c r="C3621" t="s">
        <v>504</v>
      </c>
      <c r="D3621" t="s">
        <v>505</v>
      </c>
      <c r="E3621" t="s">
        <v>39</v>
      </c>
      <c r="F3621" t="s">
        <v>124</v>
      </c>
      <c r="G3621" t="s">
        <v>28</v>
      </c>
      <c r="H3621" t="s">
        <v>63</v>
      </c>
      <c r="I3621" t="s">
        <v>64</v>
      </c>
      <c r="J3621">
        <v>1</v>
      </c>
      <c r="K3621">
        <v>2400</v>
      </c>
      <c r="L3621">
        <v>0.15</v>
      </c>
      <c r="M3621">
        <v>2040</v>
      </c>
      <c r="N3621">
        <v>1650</v>
      </c>
      <c r="O3621">
        <v>390</v>
      </c>
    </row>
    <row r="3622" spans="1:15" x14ac:dyDescent="0.25">
      <c r="A3622" t="s">
        <v>4687</v>
      </c>
      <c r="B3622" s="2">
        <v>49278</v>
      </c>
      <c r="C3622" t="s">
        <v>1384</v>
      </c>
      <c r="D3622" t="s">
        <v>1385</v>
      </c>
      <c r="E3622" t="s">
        <v>26</v>
      </c>
      <c r="F3622" t="s">
        <v>34</v>
      </c>
      <c r="G3622" t="s">
        <v>57</v>
      </c>
      <c r="H3622" t="s">
        <v>58</v>
      </c>
      <c r="I3622" t="s">
        <v>129</v>
      </c>
      <c r="J3622">
        <v>5</v>
      </c>
      <c r="K3622">
        <v>4800</v>
      </c>
      <c r="L3622">
        <v>0.05</v>
      </c>
      <c r="M3622">
        <v>22800</v>
      </c>
      <c r="N3622">
        <v>16500</v>
      </c>
      <c r="O3622">
        <v>6300</v>
      </c>
    </row>
    <row r="3623" spans="1:15" x14ac:dyDescent="0.25">
      <c r="A3623" t="s">
        <v>4688</v>
      </c>
      <c r="B3623" s="2">
        <v>49279</v>
      </c>
      <c r="C3623" t="s">
        <v>2326</v>
      </c>
      <c r="D3623" t="s">
        <v>2327</v>
      </c>
      <c r="E3623" t="s">
        <v>26</v>
      </c>
      <c r="F3623" t="s">
        <v>128</v>
      </c>
      <c r="G3623" t="s">
        <v>20</v>
      </c>
      <c r="H3623" t="s">
        <v>41</v>
      </c>
      <c r="I3623" t="s">
        <v>42</v>
      </c>
      <c r="J3623">
        <v>2</v>
      </c>
      <c r="K3623">
        <v>520</v>
      </c>
      <c r="L3623">
        <v>0.15</v>
      </c>
      <c r="M3623">
        <v>884</v>
      </c>
      <c r="N3623">
        <v>660</v>
      </c>
      <c r="O3623">
        <v>224</v>
      </c>
    </row>
    <row r="3624" spans="1:15" x14ac:dyDescent="0.25">
      <c r="A3624" t="s">
        <v>4689</v>
      </c>
      <c r="B3624" s="2">
        <v>49280</v>
      </c>
      <c r="C3624" t="s">
        <v>721</v>
      </c>
      <c r="D3624" t="s">
        <v>722</v>
      </c>
      <c r="E3624" t="s">
        <v>26</v>
      </c>
      <c r="F3624" t="s">
        <v>46</v>
      </c>
      <c r="G3624" t="s">
        <v>51</v>
      </c>
      <c r="H3624" t="s">
        <v>89</v>
      </c>
      <c r="I3624" t="s">
        <v>90</v>
      </c>
      <c r="J3624">
        <v>2</v>
      </c>
      <c r="K3624">
        <v>10500</v>
      </c>
      <c r="L3624">
        <v>0.15</v>
      </c>
      <c r="M3624">
        <v>17850</v>
      </c>
      <c r="N3624">
        <v>15200</v>
      </c>
      <c r="O3624">
        <v>2650</v>
      </c>
    </row>
    <row r="3625" spans="1:15" x14ac:dyDescent="0.25">
      <c r="A3625" t="s">
        <v>4690</v>
      </c>
      <c r="B3625" s="2">
        <v>49281</v>
      </c>
      <c r="C3625" t="s">
        <v>2796</v>
      </c>
      <c r="D3625" t="s">
        <v>2797</v>
      </c>
      <c r="E3625" t="s">
        <v>26</v>
      </c>
      <c r="F3625" t="s">
        <v>128</v>
      </c>
      <c r="G3625" t="s">
        <v>51</v>
      </c>
      <c r="H3625" t="s">
        <v>21</v>
      </c>
      <c r="I3625" t="s">
        <v>116</v>
      </c>
      <c r="J3625">
        <v>1</v>
      </c>
      <c r="K3625">
        <v>1400</v>
      </c>
      <c r="L3625">
        <v>0.15</v>
      </c>
      <c r="M3625">
        <v>1190</v>
      </c>
      <c r="N3625">
        <v>900</v>
      </c>
      <c r="O3625">
        <v>290</v>
      </c>
    </row>
    <row r="3626" spans="1:15" x14ac:dyDescent="0.25">
      <c r="A3626" t="s">
        <v>4691</v>
      </c>
      <c r="B3626" s="2">
        <v>49282</v>
      </c>
      <c r="C3626" t="s">
        <v>606</v>
      </c>
      <c r="D3626" t="s">
        <v>607</v>
      </c>
      <c r="E3626" t="s">
        <v>26</v>
      </c>
      <c r="F3626" t="s">
        <v>27</v>
      </c>
      <c r="G3626" t="s">
        <v>20</v>
      </c>
      <c r="H3626" t="s">
        <v>84</v>
      </c>
      <c r="I3626" t="s">
        <v>210</v>
      </c>
      <c r="J3626">
        <v>4</v>
      </c>
      <c r="K3626">
        <v>300</v>
      </c>
      <c r="L3626">
        <v>0.2</v>
      </c>
      <c r="M3626">
        <v>960</v>
      </c>
      <c r="N3626">
        <v>680</v>
      </c>
      <c r="O3626">
        <v>280</v>
      </c>
    </row>
    <row r="3627" spans="1:15" x14ac:dyDescent="0.25">
      <c r="A3627" t="s">
        <v>4692</v>
      </c>
      <c r="B3627" s="2">
        <v>49283</v>
      </c>
      <c r="C3627" t="s">
        <v>1243</v>
      </c>
      <c r="D3627" t="s">
        <v>1244</v>
      </c>
      <c r="E3627" t="s">
        <v>26</v>
      </c>
      <c r="F3627" t="s">
        <v>34</v>
      </c>
      <c r="G3627" t="s">
        <v>20</v>
      </c>
      <c r="H3627" t="s">
        <v>84</v>
      </c>
      <c r="I3627" t="s">
        <v>210</v>
      </c>
      <c r="J3627">
        <v>4</v>
      </c>
      <c r="K3627">
        <v>300</v>
      </c>
      <c r="L3627">
        <v>0.1</v>
      </c>
      <c r="M3627">
        <v>1080</v>
      </c>
      <c r="N3627">
        <v>680</v>
      </c>
      <c r="O3627">
        <v>400</v>
      </c>
    </row>
    <row r="3628" spans="1:15" x14ac:dyDescent="0.25">
      <c r="A3628" t="s">
        <v>4693</v>
      </c>
      <c r="B3628" s="2">
        <v>49284</v>
      </c>
      <c r="C3628" t="s">
        <v>1789</v>
      </c>
      <c r="D3628" t="s">
        <v>1790</v>
      </c>
      <c r="E3628" t="s">
        <v>18</v>
      </c>
      <c r="F3628" t="s">
        <v>227</v>
      </c>
      <c r="G3628" t="s">
        <v>57</v>
      </c>
      <c r="H3628" t="s">
        <v>58</v>
      </c>
      <c r="I3628" t="s">
        <v>59</v>
      </c>
      <c r="J3628">
        <v>4</v>
      </c>
      <c r="K3628">
        <v>5600</v>
      </c>
      <c r="L3628">
        <v>0.2</v>
      </c>
      <c r="M3628">
        <v>17920</v>
      </c>
      <c r="N3628">
        <v>15600</v>
      </c>
      <c r="O3628">
        <v>2320</v>
      </c>
    </row>
    <row r="3629" spans="1:15" x14ac:dyDescent="0.25">
      <c r="A3629" t="s">
        <v>4694</v>
      </c>
      <c r="B3629" s="2">
        <v>49285</v>
      </c>
      <c r="C3629" t="s">
        <v>265</v>
      </c>
      <c r="D3629" t="s">
        <v>266</v>
      </c>
      <c r="E3629" t="s">
        <v>18</v>
      </c>
      <c r="F3629" t="s">
        <v>227</v>
      </c>
      <c r="G3629" t="s">
        <v>51</v>
      </c>
      <c r="H3629" t="s">
        <v>21</v>
      </c>
      <c r="I3629" t="s">
        <v>80</v>
      </c>
      <c r="J3629">
        <v>1</v>
      </c>
      <c r="K3629">
        <v>850</v>
      </c>
      <c r="L3629">
        <v>0.1</v>
      </c>
      <c r="M3629">
        <v>765</v>
      </c>
      <c r="N3629">
        <v>560</v>
      </c>
      <c r="O3629">
        <v>205</v>
      </c>
    </row>
    <row r="3630" spans="1:15" x14ac:dyDescent="0.25">
      <c r="A3630" t="s">
        <v>4695</v>
      </c>
      <c r="B3630" s="2">
        <v>49286</v>
      </c>
      <c r="C3630" t="s">
        <v>78</v>
      </c>
      <c r="D3630" t="s">
        <v>79</v>
      </c>
      <c r="E3630" t="s">
        <v>96</v>
      </c>
      <c r="F3630" t="s">
        <v>97</v>
      </c>
      <c r="G3630" t="s">
        <v>57</v>
      </c>
      <c r="H3630" t="s">
        <v>58</v>
      </c>
      <c r="I3630" t="s">
        <v>129</v>
      </c>
      <c r="J3630">
        <v>2</v>
      </c>
      <c r="K3630">
        <v>4800</v>
      </c>
      <c r="L3630">
        <v>0.1</v>
      </c>
      <c r="M3630">
        <v>8640</v>
      </c>
      <c r="N3630">
        <v>6600</v>
      </c>
      <c r="O3630">
        <v>2040</v>
      </c>
    </row>
    <row r="3631" spans="1:15" x14ac:dyDescent="0.25">
      <c r="A3631" t="s">
        <v>4696</v>
      </c>
      <c r="B3631" s="2">
        <v>49287</v>
      </c>
      <c r="C3631" t="s">
        <v>588</v>
      </c>
      <c r="D3631" t="s">
        <v>589</v>
      </c>
      <c r="E3631" t="s">
        <v>39</v>
      </c>
      <c r="F3631" t="s">
        <v>124</v>
      </c>
      <c r="G3631" t="s">
        <v>51</v>
      </c>
      <c r="H3631" t="s">
        <v>52</v>
      </c>
      <c r="I3631" t="s">
        <v>53</v>
      </c>
      <c r="J3631">
        <v>2</v>
      </c>
      <c r="K3631">
        <v>2200</v>
      </c>
      <c r="L3631">
        <v>0.2</v>
      </c>
      <c r="M3631">
        <v>3520</v>
      </c>
      <c r="N3631">
        <v>2900</v>
      </c>
      <c r="O3631">
        <v>620</v>
      </c>
    </row>
    <row r="3632" spans="1:15" x14ac:dyDescent="0.25">
      <c r="A3632" t="s">
        <v>4697</v>
      </c>
      <c r="B3632" s="2">
        <v>49288</v>
      </c>
      <c r="C3632" t="s">
        <v>161</v>
      </c>
      <c r="D3632" t="s">
        <v>162</v>
      </c>
      <c r="E3632" t="s">
        <v>39</v>
      </c>
      <c r="F3632" t="s">
        <v>76</v>
      </c>
      <c r="G3632" t="s">
        <v>51</v>
      </c>
      <c r="H3632" t="s">
        <v>52</v>
      </c>
      <c r="I3632" t="s">
        <v>53</v>
      </c>
      <c r="J3632">
        <v>3</v>
      </c>
      <c r="K3632">
        <v>2200</v>
      </c>
      <c r="L3632">
        <v>0.1</v>
      </c>
      <c r="M3632">
        <v>5940</v>
      </c>
      <c r="N3632">
        <v>4350</v>
      </c>
      <c r="O3632">
        <v>1590</v>
      </c>
    </row>
    <row r="3633" spans="1:15" x14ac:dyDescent="0.25">
      <c r="A3633" t="s">
        <v>4698</v>
      </c>
      <c r="B3633" s="2">
        <v>49289</v>
      </c>
      <c r="C3633" t="s">
        <v>2084</v>
      </c>
      <c r="D3633" t="s">
        <v>2085</v>
      </c>
      <c r="E3633" t="s">
        <v>26</v>
      </c>
      <c r="F3633" t="s">
        <v>34</v>
      </c>
      <c r="G3633" t="s">
        <v>57</v>
      </c>
      <c r="H3633" t="s">
        <v>188</v>
      </c>
      <c r="I3633" t="s">
        <v>189</v>
      </c>
      <c r="J3633">
        <v>5</v>
      </c>
      <c r="K3633">
        <v>6200</v>
      </c>
      <c r="L3633">
        <v>0.1</v>
      </c>
      <c r="M3633">
        <v>27900</v>
      </c>
      <c r="N3633">
        <v>21500</v>
      </c>
      <c r="O3633">
        <v>6400</v>
      </c>
    </row>
    <row r="3634" spans="1:15" x14ac:dyDescent="0.25">
      <c r="A3634" t="s">
        <v>4699</v>
      </c>
      <c r="B3634" s="2">
        <v>49290</v>
      </c>
      <c r="C3634" t="s">
        <v>2099</v>
      </c>
      <c r="D3634" t="s">
        <v>2100</v>
      </c>
      <c r="E3634" t="s">
        <v>39</v>
      </c>
      <c r="F3634" t="s">
        <v>71</v>
      </c>
      <c r="G3634" t="s">
        <v>57</v>
      </c>
      <c r="H3634" t="s">
        <v>188</v>
      </c>
      <c r="I3634" t="s">
        <v>189</v>
      </c>
      <c r="J3634">
        <v>2</v>
      </c>
      <c r="K3634">
        <v>6200</v>
      </c>
      <c r="L3634">
        <v>0.1</v>
      </c>
      <c r="M3634">
        <v>11160</v>
      </c>
      <c r="N3634">
        <v>8600</v>
      </c>
      <c r="O3634">
        <v>2560</v>
      </c>
    </row>
    <row r="3635" spans="1:15" x14ac:dyDescent="0.25">
      <c r="A3635" t="s">
        <v>4700</v>
      </c>
      <c r="B3635" s="2">
        <v>49291</v>
      </c>
      <c r="C3635" t="s">
        <v>669</v>
      </c>
      <c r="D3635" t="s">
        <v>670</v>
      </c>
      <c r="E3635" t="s">
        <v>26</v>
      </c>
      <c r="F3635" t="s">
        <v>204</v>
      </c>
      <c r="G3635" t="s">
        <v>20</v>
      </c>
      <c r="H3635" t="s">
        <v>41</v>
      </c>
      <c r="I3635" t="s">
        <v>42</v>
      </c>
      <c r="J3635">
        <v>4</v>
      </c>
      <c r="K3635">
        <v>520</v>
      </c>
      <c r="L3635">
        <v>0.05</v>
      </c>
      <c r="M3635">
        <v>1976</v>
      </c>
      <c r="N3635">
        <v>1320</v>
      </c>
      <c r="O3635">
        <v>656</v>
      </c>
    </row>
    <row r="3636" spans="1:15" x14ac:dyDescent="0.25">
      <c r="A3636" t="s">
        <v>4701</v>
      </c>
      <c r="B3636" s="2">
        <v>49292</v>
      </c>
      <c r="C3636" t="s">
        <v>1417</v>
      </c>
      <c r="D3636" t="s">
        <v>1418</v>
      </c>
      <c r="E3636" t="s">
        <v>26</v>
      </c>
      <c r="F3636" t="s">
        <v>128</v>
      </c>
      <c r="G3636" t="s">
        <v>51</v>
      </c>
      <c r="H3636" t="s">
        <v>21</v>
      </c>
      <c r="I3636" t="s">
        <v>80</v>
      </c>
      <c r="J3636">
        <v>4</v>
      </c>
      <c r="K3636">
        <v>850</v>
      </c>
      <c r="L3636">
        <v>0.15</v>
      </c>
      <c r="M3636">
        <v>2890</v>
      </c>
      <c r="N3636">
        <v>2240</v>
      </c>
      <c r="O3636">
        <v>650</v>
      </c>
    </row>
    <row r="3637" spans="1:15" x14ac:dyDescent="0.25">
      <c r="A3637" t="s">
        <v>4702</v>
      </c>
      <c r="B3637" s="2">
        <v>49293</v>
      </c>
      <c r="C3637" t="s">
        <v>1259</v>
      </c>
      <c r="D3637" t="s">
        <v>1260</v>
      </c>
      <c r="E3637" t="s">
        <v>18</v>
      </c>
      <c r="F3637" t="s">
        <v>94</v>
      </c>
      <c r="G3637" t="s">
        <v>28</v>
      </c>
      <c r="H3637" t="s">
        <v>29</v>
      </c>
      <c r="I3637" t="s">
        <v>30</v>
      </c>
      <c r="J3637">
        <v>5</v>
      </c>
      <c r="K3637">
        <v>1900</v>
      </c>
      <c r="L3637">
        <v>0.1</v>
      </c>
      <c r="M3637">
        <v>8550</v>
      </c>
      <c r="N3637">
        <v>6250</v>
      </c>
      <c r="O3637">
        <v>2300</v>
      </c>
    </row>
    <row r="3638" spans="1:15" x14ac:dyDescent="0.25">
      <c r="A3638" t="s">
        <v>4703</v>
      </c>
      <c r="B3638" s="2">
        <v>49294</v>
      </c>
      <c r="C3638" t="s">
        <v>113</v>
      </c>
      <c r="D3638" t="s">
        <v>114</v>
      </c>
      <c r="E3638" t="s">
        <v>26</v>
      </c>
      <c r="F3638" t="s">
        <v>46</v>
      </c>
      <c r="G3638" t="s">
        <v>57</v>
      </c>
      <c r="H3638" t="s">
        <v>58</v>
      </c>
      <c r="I3638" t="s">
        <v>59</v>
      </c>
      <c r="J3638">
        <v>1</v>
      </c>
      <c r="K3638">
        <v>5600</v>
      </c>
      <c r="L3638">
        <v>0.2</v>
      </c>
      <c r="M3638">
        <v>4480</v>
      </c>
      <c r="N3638">
        <v>3900</v>
      </c>
      <c r="O3638">
        <v>580</v>
      </c>
    </row>
    <row r="3639" spans="1:15" x14ac:dyDescent="0.25">
      <c r="A3639" t="s">
        <v>4704</v>
      </c>
      <c r="B3639" s="2">
        <v>49295</v>
      </c>
      <c r="C3639" t="s">
        <v>1210</v>
      </c>
      <c r="D3639" t="s">
        <v>1211</v>
      </c>
      <c r="E3639" t="s">
        <v>26</v>
      </c>
      <c r="F3639" t="s">
        <v>27</v>
      </c>
      <c r="G3639" t="s">
        <v>20</v>
      </c>
      <c r="H3639" t="s">
        <v>41</v>
      </c>
      <c r="I3639" t="s">
        <v>42</v>
      </c>
      <c r="J3639">
        <v>1</v>
      </c>
      <c r="K3639">
        <v>520</v>
      </c>
      <c r="L3639">
        <v>0.25</v>
      </c>
      <c r="M3639">
        <v>390</v>
      </c>
      <c r="N3639">
        <v>330</v>
      </c>
      <c r="O3639">
        <v>60</v>
      </c>
    </row>
    <row r="3640" spans="1:15" x14ac:dyDescent="0.25">
      <c r="A3640" t="s">
        <v>4705</v>
      </c>
      <c r="B3640" s="2">
        <v>49296</v>
      </c>
      <c r="C3640" t="s">
        <v>541</v>
      </c>
      <c r="D3640" t="s">
        <v>542</v>
      </c>
      <c r="E3640" t="s">
        <v>26</v>
      </c>
      <c r="F3640" t="s">
        <v>27</v>
      </c>
      <c r="G3640" t="s">
        <v>20</v>
      </c>
      <c r="H3640" t="s">
        <v>84</v>
      </c>
      <c r="I3640" t="s">
        <v>210</v>
      </c>
      <c r="J3640">
        <v>4</v>
      </c>
      <c r="K3640">
        <v>300</v>
      </c>
      <c r="L3640">
        <v>0.25</v>
      </c>
      <c r="M3640">
        <v>900</v>
      </c>
      <c r="N3640">
        <v>680</v>
      </c>
      <c r="O3640">
        <v>220</v>
      </c>
    </row>
    <row r="3641" spans="1:15" x14ac:dyDescent="0.25">
      <c r="A3641" t="s">
        <v>4706</v>
      </c>
      <c r="B3641" s="2">
        <v>49297</v>
      </c>
      <c r="C3641" t="s">
        <v>248</v>
      </c>
      <c r="D3641" t="s">
        <v>249</v>
      </c>
      <c r="E3641" t="s">
        <v>39</v>
      </c>
      <c r="F3641" t="s">
        <v>71</v>
      </c>
      <c r="G3641" t="s">
        <v>51</v>
      </c>
      <c r="H3641" t="s">
        <v>21</v>
      </c>
      <c r="I3641" t="s">
        <v>72</v>
      </c>
      <c r="J3641">
        <v>5</v>
      </c>
      <c r="K3641">
        <v>1800</v>
      </c>
      <c r="L3641">
        <v>0.15</v>
      </c>
      <c r="M3641">
        <v>7650</v>
      </c>
      <c r="N3641">
        <v>5500</v>
      </c>
      <c r="O3641">
        <v>2150</v>
      </c>
    </row>
    <row r="3642" spans="1:15" x14ac:dyDescent="0.25">
      <c r="A3642" t="s">
        <v>4707</v>
      </c>
      <c r="B3642" s="2">
        <v>49298</v>
      </c>
      <c r="C3642" t="s">
        <v>232</v>
      </c>
      <c r="D3642" t="s">
        <v>233</v>
      </c>
      <c r="E3642" t="s">
        <v>39</v>
      </c>
      <c r="F3642" t="s">
        <v>71</v>
      </c>
      <c r="G3642" t="s">
        <v>51</v>
      </c>
      <c r="H3642" t="s">
        <v>52</v>
      </c>
      <c r="I3642" t="s">
        <v>208</v>
      </c>
      <c r="J3642">
        <v>4</v>
      </c>
      <c r="K3642">
        <v>2800</v>
      </c>
      <c r="L3642">
        <v>0.2</v>
      </c>
      <c r="M3642">
        <v>8960</v>
      </c>
      <c r="N3642">
        <v>7200</v>
      </c>
      <c r="O3642">
        <v>1760</v>
      </c>
    </row>
    <row r="3643" spans="1:15" x14ac:dyDescent="0.25">
      <c r="A3643" t="s">
        <v>4708</v>
      </c>
      <c r="B3643" s="2">
        <v>49299</v>
      </c>
      <c r="C3643" t="s">
        <v>1448</v>
      </c>
      <c r="D3643" t="s">
        <v>1449</v>
      </c>
      <c r="E3643" t="s">
        <v>18</v>
      </c>
      <c r="F3643" t="s">
        <v>19</v>
      </c>
      <c r="G3643" t="s">
        <v>57</v>
      </c>
      <c r="H3643" t="s">
        <v>58</v>
      </c>
      <c r="I3643" t="s">
        <v>129</v>
      </c>
      <c r="J3643">
        <v>2</v>
      </c>
      <c r="K3643">
        <v>4800</v>
      </c>
      <c r="L3643">
        <v>0.05</v>
      </c>
      <c r="M3643">
        <v>9120</v>
      </c>
      <c r="N3643">
        <v>6600</v>
      </c>
      <c r="O3643">
        <v>2520</v>
      </c>
    </row>
    <row r="3644" spans="1:15" x14ac:dyDescent="0.25">
      <c r="A3644" t="s">
        <v>4709</v>
      </c>
      <c r="B3644" s="2">
        <v>49300</v>
      </c>
      <c r="C3644" t="s">
        <v>287</v>
      </c>
      <c r="D3644" t="s">
        <v>288</v>
      </c>
      <c r="E3644" t="s">
        <v>96</v>
      </c>
      <c r="F3644" t="s">
        <v>97</v>
      </c>
      <c r="G3644" t="s">
        <v>20</v>
      </c>
      <c r="H3644" t="s">
        <v>41</v>
      </c>
      <c r="I3644" t="s">
        <v>42</v>
      </c>
      <c r="J3644">
        <v>2</v>
      </c>
      <c r="K3644">
        <v>520</v>
      </c>
      <c r="L3644">
        <v>0.15</v>
      </c>
      <c r="M3644">
        <v>884</v>
      </c>
      <c r="N3644">
        <v>660</v>
      </c>
      <c r="O3644">
        <v>224</v>
      </c>
    </row>
    <row r="3645" spans="1:15" x14ac:dyDescent="0.25">
      <c r="A3645" t="s">
        <v>4710</v>
      </c>
      <c r="B3645" s="2">
        <v>49301</v>
      </c>
      <c r="C3645" t="s">
        <v>177</v>
      </c>
      <c r="D3645" t="s">
        <v>178</v>
      </c>
      <c r="E3645" t="s">
        <v>18</v>
      </c>
      <c r="F3645" t="s">
        <v>227</v>
      </c>
      <c r="G3645" t="s">
        <v>28</v>
      </c>
      <c r="H3645" t="s">
        <v>63</v>
      </c>
      <c r="I3645" t="s">
        <v>64</v>
      </c>
      <c r="J3645">
        <v>3</v>
      </c>
      <c r="K3645">
        <v>2400</v>
      </c>
      <c r="L3645">
        <v>0</v>
      </c>
      <c r="M3645">
        <v>7200</v>
      </c>
      <c r="N3645">
        <v>4950</v>
      </c>
      <c r="O3645">
        <v>2250</v>
      </c>
    </row>
    <row r="3646" spans="1:15" x14ac:dyDescent="0.25">
      <c r="A3646" t="s">
        <v>4711</v>
      </c>
      <c r="B3646" s="2">
        <v>49302</v>
      </c>
      <c r="C3646" t="s">
        <v>1223</v>
      </c>
      <c r="D3646" t="s">
        <v>1224</v>
      </c>
      <c r="E3646" t="s">
        <v>26</v>
      </c>
      <c r="F3646" t="s">
        <v>46</v>
      </c>
      <c r="G3646" t="s">
        <v>20</v>
      </c>
      <c r="H3646" t="s">
        <v>21</v>
      </c>
      <c r="I3646" t="s">
        <v>22</v>
      </c>
      <c r="J3646">
        <v>4</v>
      </c>
      <c r="K3646">
        <v>650</v>
      </c>
      <c r="L3646">
        <v>0</v>
      </c>
      <c r="M3646">
        <v>2600</v>
      </c>
      <c r="N3646">
        <v>1560</v>
      </c>
      <c r="O3646">
        <v>1040</v>
      </c>
    </row>
    <row r="3647" spans="1:15" x14ac:dyDescent="0.25">
      <c r="A3647" t="s">
        <v>4712</v>
      </c>
      <c r="B3647" s="2">
        <v>49303</v>
      </c>
      <c r="C3647" t="s">
        <v>2008</v>
      </c>
      <c r="D3647" t="s">
        <v>2009</v>
      </c>
      <c r="E3647" t="s">
        <v>26</v>
      </c>
      <c r="F3647" t="s">
        <v>46</v>
      </c>
      <c r="G3647" t="s">
        <v>57</v>
      </c>
      <c r="H3647" t="s">
        <v>104</v>
      </c>
      <c r="I3647" t="s">
        <v>105</v>
      </c>
      <c r="J3647">
        <v>4</v>
      </c>
      <c r="K3647">
        <v>7500</v>
      </c>
      <c r="L3647">
        <v>0.1</v>
      </c>
      <c r="M3647">
        <v>27000</v>
      </c>
      <c r="N3647">
        <v>20800</v>
      </c>
      <c r="O3647">
        <v>6200</v>
      </c>
    </row>
    <row r="3648" spans="1:15" x14ac:dyDescent="0.25">
      <c r="A3648" t="s">
        <v>4713</v>
      </c>
      <c r="B3648" s="2">
        <v>49304</v>
      </c>
      <c r="C3648" t="s">
        <v>238</v>
      </c>
      <c r="D3648" t="s">
        <v>239</v>
      </c>
      <c r="E3648" t="s">
        <v>18</v>
      </c>
      <c r="F3648" t="s">
        <v>94</v>
      </c>
      <c r="G3648" t="s">
        <v>20</v>
      </c>
      <c r="H3648" t="s">
        <v>84</v>
      </c>
      <c r="I3648" t="s">
        <v>169</v>
      </c>
      <c r="J3648">
        <v>4</v>
      </c>
      <c r="K3648">
        <v>450</v>
      </c>
      <c r="L3648">
        <v>0.15</v>
      </c>
      <c r="M3648">
        <v>1530</v>
      </c>
      <c r="N3648">
        <v>1040</v>
      </c>
      <c r="O3648">
        <v>490</v>
      </c>
    </row>
    <row r="3649" spans="1:15" x14ac:dyDescent="0.25">
      <c r="A3649" t="s">
        <v>4714</v>
      </c>
      <c r="B3649" s="2">
        <v>49305</v>
      </c>
      <c r="C3649" t="s">
        <v>320</v>
      </c>
      <c r="D3649" t="s">
        <v>321</v>
      </c>
      <c r="E3649" t="s">
        <v>39</v>
      </c>
      <c r="F3649" t="s">
        <v>71</v>
      </c>
      <c r="G3649" t="s">
        <v>20</v>
      </c>
      <c r="H3649" t="s">
        <v>21</v>
      </c>
      <c r="I3649" t="s">
        <v>22</v>
      </c>
      <c r="J3649">
        <v>3</v>
      </c>
      <c r="K3649">
        <v>650</v>
      </c>
      <c r="L3649">
        <v>0</v>
      </c>
      <c r="M3649">
        <v>1950</v>
      </c>
      <c r="N3649">
        <v>1170</v>
      </c>
      <c r="O3649">
        <v>780</v>
      </c>
    </row>
    <row r="3650" spans="1:15" x14ac:dyDescent="0.25">
      <c r="A3650" t="s">
        <v>4715</v>
      </c>
      <c r="B3650" s="2">
        <v>49306</v>
      </c>
      <c r="C3650" t="s">
        <v>1897</v>
      </c>
      <c r="D3650" t="s">
        <v>1898</v>
      </c>
      <c r="E3650" t="s">
        <v>26</v>
      </c>
      <c r="F3650" t="s">
        <v>27</v>
      </c>
      <c r="G3650" t="s">
        <v>28</v>
      </c>
      <c r="H3650" t="s">
        <v>29</v>
      </c>
      <c r="I3650" t="s">
        <v>30</v>
      </c>
      <c r="J3650">
        <v>2</v>
      </c>
      <c r="K3650">
        <v>1900</v>
      </c>
      <c r="L3650">
        <v>0</v>
      </c>
      <c r="M3650">
        <v>3800</v>
      </c>
      <c r="N3650">
        <v>2500</v>
      </c>
      <c r="O3650">
        <v>1300</v>
      </c>
    </row>
    <row r="3651" spans="1:15" x14ac:dyDescent="0.25">
      <c r="A3651" t="s">
        <v>4716</v>
      </c>
      <c r="B3651" s="2">
        <v>49307</v>
      </c>
      <c r="C3651" t="s">
        <v>372</v>
      </c>
      <c r="D3651" t="s">
        <v>373</v>
      </c>
      <c r="E3651" t="s">
        <v>26</v>
      </c>
      <c r="F3651" t="s">
        <v>27</v>
      </c>
      <c r="G3651" t="s">
        <v>57</v>
      </c>
      <c r="H3651" t="s">
        <v>188</v>
      </c>
      <c r="I3651" t="s">
        <v>189</v>
      </c>
      <c r="J3651">
        <v>3</v>
      </c>
      <c r="K3651">
        <v>6200</v>
      </c>
      <c r="L3651">
        <v>0.2</v>
      </c>
      <c r="M3651">
        <v>14880</v>
      </c>
      <c r="N3651">
        <v>12900</v>
      </c>
      <c r="O3651">
        <v>1980</v>
      </c>
    </row>
    <row r="3652" spans="1:15" x14ac:dyDescent="0.25">
      <c r="A3652" t="s">
        <v>4717</v>
      </c>
      <c r="B3652" s="2">
        <v>49308</v>
      </c>
      <c r="C3652" t="s">
        <v>1793</v>
      </c>
      <c r="D3652" t="s">
        <v>1794</v>
      </c>
      <c r="E3652" t="s">
        <v>39</v>
      </c>
      <c r="F3652" t="s">
        <v>40</v>
      </c>
      <c r="G3652" t="s">
        <v>20</v>
      </c>
      <c r="H3652" t="s">
        <v>84</v>
      </c>
      <c r="I3652" t="s">
        <v>85</v>
      </c>
      <c r="J3652">
        <v>4</v>
      </c>
      <c r="K3652">
        <v>280</v>
      </c>
      <c r="L3652">
        <v>0.15</v>
      </c>
      <c r="M3652">
        <v>952</v>
      </c>
      <c r="N3652">
        <v>640</v>
      </c>
      <c r="O3652">
        <v>312</v>
      </c>
    </row>
    <row r="3653" spans="1:15" x14ac:dyDescent="0.25">
      <c r="A3653" t="s">
        <v>4718</v>
      </c>
      <c r="B3653" s="2">
        <v>49309</v>
      </c>
      <c r="C3653" t="s">
        <v>24</v>
      </c>
      <c r="D3653" t="s">
        <v>25</v>
      </c>
      <c r="E3653" t="s">
        <v>96</v>
      </c>
      <c r="F3653" t="s">
        <v>120</v>
      </c>
      <c r="G3653" t="s">
        <v>57</v>
      </c>
      <c r="H3653" t="s">
        <v>188</v>
      </c>
      <c r="I3653" t="s">
        <v>189</v>
      </c>
      <c r="J3653">
        <v>1</v>
      </c>
      <c r="K3653">
        <v>6200</v>
      </c>
      <c r="L3653">
        <v>0.2</v>
      </c>
      <c r="M3653">
        <v>4960</v>
      </c>
      <c r="N3653">
        <v>4300</v>
      </c>
      <c r="O3653">
        <v>660</v>
      </c>
    </row>
    <row r="3654" spans="1:15" x14ac:dyDescent="0.25">
      <c r="A3654" t="s">
        <v>4719</v>
      </c>
      <c r="B3654" s="2">
        <v>49310</v>
      </c>
      <c r="C3654" t="s">
        <v>538</v>
      </c>
      <c r="D3654" t="s">
        <v>539</v>
      </c>
      <c r="E3654" t="s">
        <v>39</v>
      </c>
      <c r="F3654" t="s">
        <v>71</v>
      </c>
      <c r="G3654" t="s">
        <v>57</v>
      </c>
      <c r="H3654" t="s">
        <v>188</v>
      </c>
      <c r="I3654" t="s">
        <v>189</v>
      </c>
      <c r="J3654">
        <v>3</v>
      </c>
      <c r="K3654">
        <v>6200</v>
      </c>
      <c r="L3654">
        <v>0.1</v>
      </c>
      <c r="M3654">
        <v>16740</v>
      </c>
      <c r="N3654">
        <v>12900</v>
      </c>
      <c r="O3654">
        <v>3840</v>
      </c>
    </row>
    <row r="3655" spans="1:15" x14ac:dyDescent="0.25">
      <c r="A3655" t="s">
        <v>4720</v>
      </c>
      <c r="B3655" s="2">
        <v>49311</v>
      </c>
      <c r="C3655" t="s">
        <v>909</v>
      </c>
      <c r="D3655" t="s">
        <v>910</v>
      </c>
      <c r="E3655" t="s">
        <v>26</v>
      </c>
      <c r="F3655" t="s">
        <v>128</v>
      </c>
      <c r="G3655" t="s">
        <v>51</v>
      </c>
      <c r="H3655" t="s">
        <v>52</v>
      </c>
      <c r="I3655" t="s">
        <v>53</v>
      </c>
      <c r="J3655">
        <v>4</v>
      </c>
      <c r="K3655">
        <v>2200</v>
      </c>
      <c r="L3655">
        <v>0.1</v>
      </c>
      <c r="M3655">
        <v>7920</v>
      </c>
      <c r="N3655">
        <v>5800</v>
      </c>
      <c r="O3655">
        <v>2120</v>
      </c>
    </row>
    <row r="3656" spans="1:15" x14ac:dyDescent="0.25">
      <c r="A3656" t="s">
        <v>4721</v>
      </c>
      <c r="B3656" s="2">
        <v>49312</v>
      </c>
      <c r="C3656" t="s">
        <v>700</v>
      </c>
      <c r="D3656" t="s">
        <v>701</v>
      </c>
      <c r="E3656" t="s">
        <v>26</v>
      </c>
      <c r="F3656" t="s">
        <v>128</v>
      </c>
      <c r="G3656" t="s">
        <v>20</v>
      </c>
      <c r="H3656" t="s">
        <v>84</v>
      </c>
      <c r="I3656" t="s">
        <v>210</v>
      </c>
      <c r="J3656">
        <v>4</v>
      </c>
      <c r="K3656">
        <v>300</v>
      </c>
      <c r="L3656">
        <v>0.1</v>
      </c>
      <c r="M3656">
        <v>1080</v>
      </c>
      <c r="N3656">
        <v>680</v>
      </c>
      <c r="O3656">
        <v>400</v>
      </c>
    </row>
    <row r="3657" spans="1:15" x14ac:dyDescent="0.25">
      <c r="A3657" t="s">
        <v>4722</v>
      </c>
      <c r="B3657" s="2">
        <v>49313</v>
      </c>
      <c r="C3657" t="s">
        <v>1567</v>
      </c>
      <c r="D3657" t="s">
        <v>1568</v>
      </c>
      <c r="E3657" t="s">
        <v>96</v>
      </c>
      <c r="F3657" t="s">
        <v>120</v>
      </c>
      <c r="G3657" t="s">
        <v>51</v>
      </c>
      <c r="H3657" t="s">
        <v>21</v>
      </c>
      <c r="I3657" t="s">
        <v>80</v>
      </c>
      <c r="J3657">
        <v>3</v>
      </c>
      <c r="K3657">
        <v>850</v>
      </c>
      <c r="L3657">
        <v>0.25</v>
      </c>
      <c r="M3657">
        <v>1912.5</v>
      </c>
      <c r="N3657">
        <v>1680</v>
      </c>
      <c r="O3657">
        <v>232.5</v>
      </c>
    </row>
    <row r="3658" spans="1:15" x14ac:dyDescent="0.25">
      <c r="A3658" t="s">
        <v>4723</v>
      </c>
      <c r="B3658" s="2">
        <v>49314</v>
      </c>
      <c r="C3658" t="s">
        <v>838</v>
      </c>
      <c r="D3658" t="s">
        <v>839</v>
      </c>
      <c r="E3658" t="s">
        <v>18</v>
      </c>
      <c r="F3658" t="s">
        <v>227</v>
      </c>
      <c r="G3658" t="s">
        <v>20</v>
      </c>
      <c r="H3658" t="s">
        <v>84</v>
      </c>
      <c r="I3658" t="s">
        <v>85</v>
      </c>
      <c r="J3658">
        <v>3</v>
      </c>
      <c r="K3658">
        <v>280</v>
      </c>
      <c r="L3658">
        <v>0.2</v>
      </c>
      <c r="M3658">
        <v>672</v>
      </c>
      <c r="N3658">
        <v>480</v>
      </c>
      <c r="O3658">
        <v>192</v>
      </c>
    </row>
    <row r="3659" spans="1:15" x14ac:dyDescent="0.25">
      <c r="A3659" t="s">
        <v>4724</v>
      </c>
      <c r="B3659" s="2">
        <v>49315</v>
      </c>
      <c r="C3659" t="s">
        <v>122</v>
      </c>
      <c r="D3659" t="s">
        <v>123</v>
      </c>
      <c r="E3659" t="s">
        <v>96</v>
      </c>
      <c r="F3659" t="s">
        <v>200</v>
      </c>
      <c r="G3659" t="s">
        <v>51</v>
      </c>
      <c r="H3659" t="s">
        <v>21</v>
      </c>
      <c r="I3659" t="s">
        <v>80</v>
      </c>
      <c r="J3659">
        <v>5</v>
      </c>
      <c r="K3659">
        <v>850</v>
      </c>
      <c r="L3659">
        <v>0.2</v>
      </c>
      <c r="M3659">
        <v>3400</v>
      </c>
      <c r="N3659">
        <v>2800</v>
      </c>
      <c r="O3659">
        <v>600</v>
      </c>
    </row>
    <row r="3660" spans="1:15" x14ac:dyDescent="0.25">
      <c r="A3660" t="s">
        <v>4725</v>
      </c>
      <c r="B3660" s="2">
        <v>49316</v>
      </c>
      <c r="C3660" t="s">
        <v>317</v>
      </c>
      <c r="D3660" t="s">
        <v>318</v>
      </c>
      <c r="E3660" t="s">
        <v>39</v>
      </c>
      <c r="F3660" t="s">
        <v>76</v>
      </c>
      <c r="G3660" t="s">
        <v>51</v>
      </c>
      <c r="H3660" t="s">
        <v>21</v>
      </c>
      <c r="I3660" t="s">
        <v>116</v>
      </c>
      <c r="J3660">
        <v>3</v>
      </c>
      <c r="K3660">
        <v>1400</v>
      </c>
      <c r="L3660">
        <v>0</v>
      </c>
      <c r="M3660">
        <v>4200</v>
      </c>
      <c r="N3660">
        <v>2700</v>
      </c>
      <c r="O3660">
        <v>1500</v>
      </c>
    </row>
    <row r="3661" spans="1:15" x14ac:dyDescent="0.25">
      <c r="A3661" t="s">
        <v>4726</v>
      </c>
      <c r="B3661" s="2">
        <v>49317</v>
      </c>
      <c r="C3661" t="s">
        <v>229</v>
      </c>
      <c r="D3661" t="s">
        <v>230</v>
      </c>
      <c r="E3661" t="s">
        <v>26</v>
      </c>
      <c r="F3661" t="s">
        <v>46</v>
      </c>
      <c r="G3661" t="s">
        <v>51</v>
      </c>
      <c r="H3661" t="s">
        <v>52</v>
      </c>
      <c r="I3661" t="s">
        <v>53</v>
      </c>
      <c r="J3661">
        <v>4</v>
      </c>
      <c r="K3661">
        <v>2200</v>
      </c>
      <c r="L3661">
        <v>0.25</v>
      </c>
      <c r="M3661">
        <v>6600</v>
      </c>
      <c r="N3661">
        <v>5800</v>
      </c>
      <c r="O3661">
        <v>800</v>
      </c>
    </row>
    <row r="3662" spans="1:15" x14ac:dyDescent="0.25">
      <c r="A3662" t="s">
        <v>4727</v>
      </c>
      <c r="B3662" s="2">
        <v>49318</v>
      </c>
      <c r="C3662" t="s">
        <v>287</v>
      </c>
      <c r="D3662" t="s">
        <v>288</v>
      </c>
      <c r="E3662" t="s">
        <v>39</v>
      </c>
      <c r="F3662" t="s">
        <v>71</v>
      </c>
      <c r="G3662" t="s">
        <v>20</v>
      </c>
      <c r="H3662" t="s">
        <v>84</v>
      </c>
      <c r="I3662" t="s">
        <v>210</v>
      </c>
      <c r="J3662">
        <v>5</v>
      </c>
      <c r="K3662">
        <v>300</v>
      </c>
      <c r="L3662">
        <v>0.25</v>
      </c>
      <c r="M3662">
        <v>1125</v>
      </c>
      <c r="N3662">
        <v>850</v>
      </c>
      <c r="O3662">
        <v>275</v>
      </c>
    </row>
    <row r="3663" spans="1:15" x14ac:dyDescent="0.25">
      <c r="A3663" t="s">
        <v>4728</v>
      </c>
      <c r="B3663" s="2">
        <v>49319</v>
      </c>
      <c r="C3663" t="s">
        <v>838</v>
      </c>
      <c r="D3663" t="s">
        <v>839</v>
      </c>
      <c r="E3663" t="s">
        <v>39</v>
      </c>
      <c r="F3663" t="s">
        <v>76</v>
      </c>
      <c r="G3663" t="s">
        <v>51</v>
      </c>
      <c r="H3663" t="s">
        <v>52</v>
      </c>
      <c r="I3663" t="s">
        <v>208</v>
      </c>
      <c r="J3663">
        <v>1</v>
      </c>
      <c r="K3663">
        <v>2800</v>
      </c>
      <c r="L3663">
        <v>0.05</v>
      </c>
      <c r="M3663">
        <v>2660</v>
      </c>
      <c r="N3663">
        <v>1800</v>
      </c>
      <c r="O3663">
        <v>860</v>
      </c>
    </row>
    <row r="3664" spans="1:15" x14ac:dyDescent="0.25">
      <c r="A3664" t="s">
        <v>4729</v>
      </c>
      <c r="B3664" s="2">
        <v>49320</v>
      </c>
      <c r="C3664" t="s">
        <v>360</v>
      </c>
      <c r="D3664" t="s">
        <v>361</v>
      </c>
      <c r="E3664" t="s">
        <v>26</v>
      </c>
      <c r="F3664" t="s">
        <v>34</v>
      </c>
      <c r="G3664" t="s">
        <v>57</v>
      </c>
      <c r="H3664" t="s">
        <v>58</v>
      </c>
      <c r="I3664" t="s">
        <v>129</v>
      </c>
      <c r="J3664">
        <v>3</v>
      </c>
      <c r="K3664">
        <v>4800</v>
      </c>
      <c r="L3664">
        <v>0.05</v>
      </c>
      <c r="M3664">
        <v>13680</v>
      </c>
      <c r="N3664">
        <v>9900</v>
      </c>
      <c r="O3664">
        <v>3780</v>
      </c>
    </row>
    <row r="3665" spans="1:15" x14ac:dyDescent="0.25">
      <c r="A3665" t="s">
        <v>4730</v>
      </c>
      <c r="B3665" s="2">
        <v>49321</v>
      </c>
      <c r="C3665" t="s">
        <v>1034</v>
      </c>
      <c r="D3665" t="s">
        <v>1035</v>
      </c>
      <c r="E3665" t="s">
        <v>26</v>
      </c>
      <c r="F3665" t="s">
        <v>46</v>
      </c>
      <c r="G3665" t="s">
        <v>20</v>
      </c>
      <c r="H3665" t="s">
        <v>84</v>
      </c>
      <c r="I3665" t="s">
        <v>210</v>
      </c>
      <c r="J3665">
        <v>2</v>
      </c>
      <c r="K3665">
        <v>300</v>
      </c>
      <c r="L3665">
        <v>0</v>
      </c>
      <c r="M3665">
        <v>600</v>
      </c>
      <c r="N3665">
        <v>340</v>
      </c>
      <c r="O3665">
        <v>260</v>
      </c>
    </row>
    <row r="3666" spans="1:15" x14ac:dyDescent="0.25">
      <c r="A3666" t="s">
        <v>4731</v>
      </c>
      <c r="B3666" s="2">
        <v>49322</v>
      </c>
      <c r="C3666" t="s">
        <v>721</v>
      </c>
      <c r="D3666" t="s">
        <v>722</v>
      </c>
      <c r="E3666" t="s">
        <v>96</v>
      </c>
      <c r="F3666" t="s">
        <v>97</v>
      </c>
      <c r="G3666" t="s">
        <v>20</v>
      </c>
      <c r="H3666" t="s">
        <v>84</v>
      </c>
      <c r="I3666" t="s">
        <v>85</v>
      </c>
      <c r="J3666">
        <v>1</v>
      </c>
      <c r="K3666">
        <v>280</v>
      </c>
      <c r="L3666">
        <v>0.1</v>
      </c>
      <c r="M3666">
        <v>252</v>
      </c>
      <c r="N3666">
        <v>160</v>
      </c>
      <c r="O3666">
        <v>92</v>
      </c>
    </row>
    <row r="3667" spans="1:15" x14ac:dyDescent="0.25">
      <c r="A3667" t="s">
        <v>4732</v>
      </c>
      <c r="B3667" s="2">
        <v>49323</v>
      </c>
      <c r="C3667" t="s">
        <v>390</v>
      </c>
      <c r="D3667" t="s">
        <v>391</v>
      </c>
      <c r="E3667" t="s">
        <v>96</v>
      </c>
      <c r="F3667" t="s">
        <v>200</v>
      </c>
      <c r="G3667" t="s">
        <v>28</v>
      </c>
      <c r="H3667" t="s">
        <v>63</v>
      </c>
      <c r="I3667" t="s">
        <v>64</v>
      </c>
      <c r="J3667">
        <v>2</v>
      </c>
      <c r="K3667">
        <v>2400</v>
      </c>
      <c r="L3667">
        <v>0.2</v>
      </c>
      <c r="M3667">
        <v>3840</v>
      </c>
      <c r="N3667">
        <v>3300</v>
      </c>
      <c r="O3667">
        <v>540</v>
      </c>
    </row>
    <row r="3668" spans="1:15" x14ac:dyDescent="0.25">
      <c r="A3668" t="s">
        <v>4733</v>
      </c>
      <c r="B3668" s="2">
        <v>49324</v>
      </c>
      <c r="C3668" t="s">
        <v>87</v>
      </c>
      <c r="D3668" t="s">
        <v>88</v>
      </c>
      <c r="E3668" t="s">
        <v>39</v>
      </c>
      <c r="F3668" t="s">
        <v>124</v>
      </c>
      <c r="G3668" t="s">
        <v>57</v>
      </c>
      <c r="H3668" t="s">
        <v>104</v>
      </c>
      <c r="I3668" t="s">
        <v>105</v>
      </c>
      <c r="J3668">
        <v>3</v>
      </c>
      <c r="K3668">
        <v>7500</v>
      </c>
      <c r="L3668">
        <v>0.1</v>
      </c>
      <c r="M3668">
        <v>20250</v>
      </c>
      <c r="N3668">
        <v>15600</v>
      </c>
      <c r="O3668">
        <v>4650</v>
      </c>
    </row>
    <row r="3669" spans="1:15" x14ac:dyDescent="0.25">
      <c r="A3669" t="s">
        <v>4734</v>
      </c>
      <c r="B3669" s="2">
        <v>49325</v>
      </c>
      <c r="C3669" t="s">
        <v>1071</v>
      </c>
      <c r="D3669" t="s">
        <v>1072</v>
      </c>
      <c r="E3669" t="s">
        <v>18</v>
      </c>
      <c r="F3669" t="s">
        <v>94</v>
      </c>
      <c r="G3669" t="s">
        <v>51</v>
      </c>
      <c r="H3669" t="s">
        <v>21</v>
      </c>
      <c r="I3669" t="s">
        <v>116</v>
      </c>
      <c r="J3669">
        <v>4</v>
      </c>
      <c r="K3669">
        <v>1400</v>
      </c>
      <c r="L3669">
        <v>0.25</v>
      </c>
      <c r="M3669">
        <v>4200</v>
      </c>
      <c r="N3669">
        <v>3600</v>
      </c>
      <c r="O3669">
        <v>600</v>
      </c>
    </row>
    <row r="3670" spans="1:15" x14ac:dyDescent="0.25">
      <c r="A3670" t="s">
        <v>4735</v>
      </c>
      <c r="B3670" s="2">
        <v>49326</v>
      </c>
      <c r="C3670" t="s">
        <v>2326</v>
      </c>
      <c r="D3670" t="s">
        <v>2327</v>
      </c>
      <c r="E3670" t="s">
        <v>26</v>
      </c>
      <c r="F3670" t="s">
        <v>46</v>
      </c>
      <c r="G3670" t="s">
        <v>20</v>
      </c>
      <c r="H3670" t="s">
        <v>84</v>
      </c>
      <c r="I3670" t="s">
        <v>169</v>
      </c>
      <c r="J3670">
        <v>5</v>
      </c>
      <c r="K3670">
        <v>450</v>
      </c>
      <c r="L3670">
        <v>0.2</v>
      </c>
      <c r="M3670">
        <v>1800</v>
      </c>
      <c r="N3670">
        <v>1300</v>
      </c>
      <c r="O3670">
        <v>500</v>
      </c>
    </row>
    <row r="3671" spans="1:15" x14ac:dyDescent="0.25">
      <c r="A3671" t="s">
        <v>4736</v>
      </c>
      <c r="B3671" s="2">
        <v>49327</v>
      </c>
      <c r="C3671" t="s">
        <v>1393</v>
      </c>
      <c r="D3671" t="s">
        <v>1394</v>
      </c>
      <c r="E3671" t="s">
        <v>96</v>
      </c>
      <c r="F3671" t="s">
        <v>200</v>
      </c>
      <c r="G3671" t="s">
        <v>51</v>
      </c>
      <c r="H3671" t="s">
        <v>52</v>
      </c>
      <c r="I3671" t="s">
        <v>208</v>
      </c>
      <c r="J3671">
        <v>5</v>
      </c>
      <c r="K3671">
        <v>2800</v>
      </c>
      <c r="L3671">
        <v>0.05</v>
      </c>
      <c r="M3671">
        <v>13300</v>
      </c>
      <c r="N3671">
        <v>9000</v>
      </c>
      <c r="O3671">
        <v>4300</v>
      </c>
    </row>
    <row r="3672" spans="1:15" x14ac:dyDescent="0.25">
      <c r="A3672" t="s">
        <v>4737</v>
      </c>
      <c r="B3672" s="2">
        <v>49328</v>
      </c>
      <c r="C3672" t="s">
        <v>2005</v>
      </c>
      <c r="D3672" t="s">
        <v>2006</v>
      </c>
      <c r="E3672" t="s">
        <v>26</v>
      </c>
      <c r="F3672" t="s">
        <v>27</v>
      </c>
      <c r="G3672" t="s">
        <v>28</v>
      </c>
      <c r="H3672" t="s">
        <v>29</v>
      </c>
      <c r="I3672" t="s">
        <v>30</v>
      </c>
      <c r="J3672">
        <v>3</v>
      </c>
      <c r="K3672">
        <v>1900</v>
      </c>
      <c r="L3672">
        <v>0.1</v>
      </c>
      <c r="M3672">
        <v>5130</v>
      </c>
      <c r="N3672">
        <v>3750</v>
      </c>
      <c r="O3672">
        <v>1380</v>
      </c>
    </row>
    <row r="3673" spans="1:15" x14ac:dyDescent="0.25">
      <c r="A3673" t="s">
        <v>4738</v>
      </c>
      <c r="B3673" s="2">
        <v>49329</v>
      </c>
      <c r="C3673" t="s">
        <v>941</v>
      </c>
      <c r="D3673" t="s">
        <v>942</v>
      </c>
      <c r="E3673" t="s">
        <v>39</v>
      </c>
      <c r="F3673" t="s">
        <v>71</v>
      </c>
      <c r="G3673" t="s">
        <v>51</v>
      </c>
      <c r="H3673" t="s">
        <v>21</v>
      </c>
      <c r="I3673" t="s">
        <v>116</v>
      </c>
      <c r="J3673">
        <v>5</v>
      </c>
      <c r="K3673">
        <v>1400</v>
      </c>
      <c r="L3673">
        <v>0.1</v>
      </c>
      <c r="M3673">
        <v>6300</v>
      </c>
      <c r="N3673">
        <v>4500</v>
      </c>
      <c r="O3673">
        <v>1800</v>
      </c>
    </row>
    <row r="3674" spans="1:15" x14ac:dyDescent="0.25">
      <c r="A3674" t="s">
        <v>4739</v>
      </c>
      <c r="B3674" s="2">
        <v>49330</v>
      </c>
      <c r="C3674" t="s">
        <v>1477</v>
      </c>
      <c r="D3674" t="s">
        <v>1478</v>
      </c>
      <c r="E3674" t="s">
        <v>39</v>
      </c>
      <c r="F3674" t="s">
        <v>71</v>
      </c>
      <c r="G3674" t="s">
        <v>20</v>
      </c>
      <c r="H3674" t="s">
        <v>84</v>
      </c>
      <c r="I3674" t="s">
        <v>210</v>
      </c>
      <c r="J3674">
        <v>3</v>
      </c>
      <c r="K3674">
        <v>300</v>
      </c>
      <c r="L3674">
        <v>0.15</v>
      </c>
      <c r="M3674">
        <v>765</v>
      </c>
      <c r="N3674">
        <v>510</v>
      </c>
      <c r="O3674">
        <v>255</v>
      </c>
    </row>
    <row r="3675" spans="1:15" x14ac:dyDescent="0.25">
      <c r="A3675" t="s">
        <v>4740</v>
      </c>
      <c r="B3675" s="2">
        <v>49331</v>
      </c>
      <c r="C3675" t="s">
        <v>974</v>
      </c>
      <c r="D3675" t="s">
        <v>975</v>
      </c>
      <c r="E3675" t="s">
        <v>26</v>
      </c>
      <c r="F3675" t="s">
        <v>128</v>
      </c>
      <c r="G3675" t="s">
        <v>20</v>
      </c>
      <c r="H3675" t="s">
        <v>21</v>
      </c>
      <c r="I3675" t="s">
        <v>22</v>
      </c>
      <c r="J3675">
        <v>1</v>
      </c>
      <c r="K3675">
        <v>650</v>
      </c>
      <c r="L3675">
        <v>0.05</v>
      </c>
      <c r="M3675">
        <v>617.5</v>
      </c>
      <c r="N3675">
        <v>390</v>
      </c>
      <c r="O3675">
        <v>227.5</v>
      </c>
    </row>
    <row r="3676" spans="1:15" x14ac:dyDescent="0.25">
      <c r="A3676" t="s">
        <v>4741</v>
      </c>
      <c r="B3676" s="2">
        <v>49332</v>
      </c>
      <c r="C3676" t="s">
        <v>439</v>
      </c>
      <c r="D3676" t="s">
        <v>440</v>
      </c>
      <c r="E3676" t="s">
        <v>96</v>
      </c>
      <c r="F3676" t="s">
        <v>200</v>
      </c>
      <c r="G3676" t="s">
        <v>51</v>
      </c>
      <c r="H3676" t="s">
        <v>89</v>
      </c>
      <c r="I3676" t="s">
        <v>90</v>
      </c>
      <c r="J3676">
        <v>4</v>
      </c>
      <c r="K3676">
        <v>10500</v>
      </c>
      <c r="L3676">
        <v>0.2</v>
      </c>
      <c r="M3676">
        <v>33600</v>
      </c>
      <c r="N3676">
        <v>30400</v>
      </c>
      <c r="O3676">
        <v>3200</v>
      </c>
    </row>
    <row r="3677" spans="1:15" x14ac:dyDescent="0.25">
      <c r="A3677" t="s">
        <v>4742</v>
      </c>
      <c r="B3677" s="2">
        <v>49333</v>
      </c>
      <c r="C3677" t="s">
        <v>817</v>
      </c>
      <c r="D3677" t="s">
        <v>818</v>
      </c>
      <c r="E3677" t="s">
        <v>96</v>
      </c>
      <c r="F3677" t="s">
        <v>97</v>
      </c>
      <c r="G3677" t="s">
        <v>57</v>
      </c>
      <c r="H3677" t="s">
        <v>58</v>
      </c>
      <c r="I3677" t="s">
        <v>59</v>
      </c>
      <c r="J3677">
        <v>1</v>
      </c>
      <c r="K3677">
        <v>5600</v>
      </c>
      <c r="L3677">
        <v>0.05</v>
      </c>
      <c r="M3677">
        <v>5320</v>
      </c>
      <c r="N3677">
        <v>3900</v>
      </c>
      <c r="O3677">
        <v>1420</v>
      </c>
    </row>
    <row r="3678" spans="1:15" x14ac:dyDescent="0.25">
      <c r="A3678" t="s">
        <v>4743</v>
      </c>
      <c r="B3678" s="2">
        <v>49334</v>
      </c>
      <c r="C3678" t="s">
        <v>396</v>
      </c>
      <c r="D3678" t="s">
        <v>397</v>
      </c>
      <c r="E3678" t="s">
        <v>26</v>
      </c>
      <c r="F3678" t="s">
        <v>27</v>
      </c>
      <c r="G3678" t="s">
        <v>51</v>
      </c>
      <c r="H3678" t="s">
        <v>21</v>
      </c>
      <c r="I3678" t="s">
        <v>116</v>
      </c>
      <c r="J3678">
        <v>4</v>
      </c>
      <c r="K3678">
        <v>1400</v>
      </c>
      <c r="L3678">
        <v>0.1</v>
      </c>
      <c r="M3678">
        <v>5040</v>
      </c>
      <c r="N3678">
        <v>3600</v>
      </c>
      <c r="O3678">
        <v>1440</v>
      </c>
    </row>
    <row r="3679" spans="1:15" x14ac:dyDescent="0.25">
      <c r="A3679" t="s">
        <v>4744</v>
      </c>
      <c r="B3679" s="2">
        <v>49335</v>
      </c>
      <c r="C3679" t="s">
        <v>1750</v>
      </c>
      <c r="D3679" t="s">
        <v>1751</v>
      </c>
      <c r="E3679" t="s">
        <v>96</v>
      </c>
      <c r="F3679" t="s">
        <v>196</v>
      </c>
      <c r="G3679" t="s">
        <v>20</v>
      </c>
      <c r="H3679" t="s">
        <v>84</v>
      </c>
      <c r="I3679" t="s">
        <v>169</v>
      </c>
      <c r="J3679">
        <v>2</v>
      </c>
      <c r="K3679">
        <v>450</v>
      </c>
      <c r="L3679">
        <v>0.15</v>
      </c>
      <c r="M3679">
        <v>765</v>
      </c>
      <c r="N3679">
        <v>520</v>
      </c>
      <c r="O3679">
        <v>245</v>
      </c>
    </row>
    <row r="3680" spans="1:15" x14ac:dyDescent="0.25">
      <c r="A3680" t="s">
        <v>4745</v>
      </c>
      <c r="B3680" s="2">
        <v>49336</v>
      </c>
      <c r="C3680" t="s">
        <v>2005</v>
      </c>
      <c r="D3680" t="s">
        <v>2006</v>
      </c>
      <c r="E3680" t="s">
        <v>26</v>
      </c>
      <c r="F3680" t="s">
        <v>27</v>
      </c>
      <c r="G3680" t="s">
        <v>51</v>
      </c>
      <c r="H3680" t="s">
        <v>21</v>
      </c>
      <c r="I3680" t="s">
        <v>72</v>
      </c>
      <c r="J3680">
        <v>1</v>
      </c>
      <c r="K3680">
        <v>1800</v>
      </c>
      <c r="L3680">
        <v>0.15</v>
      </c>
      <c r="M3680">
        <v>1530</v>
      </c>
      <c r="N3680">
        <v>1100</v>
      </c>
      <c r="O3680">
        <v>430</v>
      </c>
    </row>
    <row r="3681" spans="1:15" x14ac:dyDescent="0.25">
      <c r="A3681" t="s">
        <v>4746</v>
      </c>
      <c r="B3681" s="2">
        <v>49337</v>
      </c>
      <c r="C3681" t="s">
        <v>1138</v>
      </c>
      <c r="D3681" t="s">
        <v>1139</v>
      </c>
      <c r="E3681" t="s">
        <v>26</v>
      </c>
      <c r="F3681" t="s">
        <v>34</v>
      </c>
      <c r="G3681" t="s">
        <v>57</v>
      </c>
      <c r="H3681" t="s">
        <v>104</v>
      </c>
      <c r="I3681" t="s">
        <v>105</v>
      </c>
      <c r="J3681">
        <v>1</v>
      </c>
      <c r="K3681">
        <v>7500</v>
      </c>
      <c r="L3681">
        <v>0.15</v>
      </c>
      <c r="M3681">
        <v>6375</v>
      </c>
      <c r="N3681">
        <v>5200</v>
      </c>
      <c r="O3681">
        <v>1175</v>
      </c>
    </row>
    <row r="3682" spans="1:15" x14ac:dyDescent="0.25">
      <c r="A3682" t="s">
        <v>4747</v>
      </c>
      <c r="B3682" s="2">
        <v>49338</v>
      </c>
      <c r="C3682" t="s">
        <v>1067</v>
      </c>
      <c r="D3682" t="s">
        <v>1068</v>
      </c>
      <c r="E3682" t="s">
        <v>96</v>
      </c>
      <c r="F3682" t="s">
        <v>97</v>
      </c>
      <c r="G3682" t="s">
        <v>57</v>
      </c>
      <c r="H3682" t="s">
        <v>104</v>
      </c>
      <c r="I3682" t="s">
        <v>105</v>
      </c>
      <c r="J3682">
        <v>5</v>
      </c>
      <c r="K3682">
        <v>7500</v>
      </c>
      <c r="L3682">
        <v>0.2</v>
      </c>
      <c r="M3682">
        <v>30000</v>
      </c>
      <c r="N3682">
        <v>26000</v>
      </c>
      <c r="O3682">
        <v>4000</v>
      </c>
    </row>
    <row r="3683" spans="1:15" x14ac:dyDescent="0.25">
      <c r="A3683" t="s">
        <v>4748</v>
      </c>
      <c r="B3683" s="2">
        <v>49339</v>
      </c>
      <c r="C3683" t="s">
        <v>1780</v>
      </c>
      <c r="D3683" t="s">
        <v>1781</v>
      </c>
      <c r="E3683" t="s">
        <v>26</v>
      </c>
      <c r="F3683" t="s">
        <v>204</v>
      </c>
      <c r="G3683" t="s">
        <v>20</v>
      </c>
      <c r="H3683" t="s">
        <v>84</v>
      </c>
      <c r="I3683" t="s">
        <v>210</v>
      </c>
      <c r="J3683">
        <v>5</v>
      </c>
      <c r="K3683">
        <v>300</v>
      </c>
      <c r="L3683">
        <v>0.1</v>
      </c>
      <c r="M3683">
        <v>1350</v>
      </c>
      <c r="N3683">
        <v>850</v>
      </c>
      <c r="O3683">
        <v>500</v>
      </c>
    </row>
    <row r="3684" spans="1:15" x14ac:dyDescent="0.25">
      <c r="A3684" t="s">
        <v>4749</v>
      </c>
      <c r="B3684" s="2">
        <v>49340</v>
      </c>
      <c r="C3684" t="s">
        <v>1079</v>
      </c>
      <c r="D3684" t="s">
        <v>1080</v>
      </c>
      <c r="E3684" t="s">
        <v>26</v>
      </c>
      <c r="F3684" t="s">
        <v>46</v>
      </c>
      <c r="G3684" t="s">
        <v>20</v>
      </c>
      <c r="H3684" t="s">
        <v>84</v>
      </c>
      <c r="I3684" t="s">
        <v>169</v>
      </c>
      <c r="J3684">
        <v>5</v>
      </c>
      <c r="K3684">
        <v>450</v>
      </c>
      <c r="L3684">
        <v>0.2</v>
      </c>
      <c r="M3684">
        <v>1800</v>
      </c>
      <c r="N3684">
        <v>1300</v>
      </c>
      <c r="O3684">
        <v>500</v>
      </c>
    </row>
    <row r="3685" spans="1:15" x14ac:dyDescent="0.25">
      <c r="A3685" t="s">
        <v>4750</v>
      </c>
      <c r="B3685" s="2">
        <v>49341</v>
      </c>
      <c r="C3685" t="s">
        <v>1294</v>
      </c>
      <c r="D3685" t="s">
        <v>1295</v>
      </c>
      <c r="E3685" t="s">
        <v>39</v>
      </c>
      <c r="F3685" t="s">
        <v>124</v>
      </c>
      <c r="G3685" t="s">
        <v>51</v>
      </c>
      <c r="H3685" t="s">
        <v>21</v>
      </c>
      <c r="I3685" t="s">
        <v>72</v>
      </c>
      <c r="J3685">
        <v>3</v>
      </c>
      <c r="K3685">
        <v>1800</v>
      </c>
      <c r="L3685">
        <v>0</v>
      </c>
      <c r="M3685">
        <v>5400</v>
      </c>
      <c r="N3685">
        <v>3300</v>
      </c>
      <c r="O3685">
        <v>2100</v>
      </c>
    </row>
    <row r="3686" spans="1:15" x14ac:dyDescent="0.25">
      <c r="A3686" t="s">
        <v>4751</v>
      </c>
      <c r="B3686" s="2">
        <v>49342</v>
      </c>
      <c r="C3686" t="s">
        <v>2356</v>
      </c>
      <c r="D3686" t="s">
        <v>2357</v>
      </c>
      <c r="E3686" t="s">
        <v>39</v>
      </c>
      <c r="F3686" t="s">
        <v>124</v>
      </c>
      <c r="G3686" t="s">
        <v>51</v>
      </c>
      <c r="H3686" t="s">
        <v>21</v>
      </c>
      <c r="I3686" t="s">
        <v>80</v>
      </c>
      <c r="J3686">
        <v>5</v>
      </c>
      <c r="K3686">
        <v>850</v>
      </c>
      <c r="L3686">
        <v>0.25</v>
      </c>
      <c r="M3686">
        <v>3187.5</v>
      </c>
      <c r="N3686">
        <v>2800</v>
      </c>
      <c r="O3686">
        <v>387.5</v>
      </c>
    </row>
    <row r="3687" spans="1:15" x14ac:dyDescent="0.25">
      <c r="A3687" t="s">
        <v>4752</v>
      </c>
      <c r="B3687" s="2">
        <v>49343</v>
      </c>
      <c r="C3687" t="s">
        <v>986</v>
      </c>
      <c r="D3687" t="s">
        <v>987</v>
      </c>
      <c r="E3687" t="s">
        <v>39</v>
      </c>
      <c r="F3687" t="s">
        <v>71</v>
      </c>
      <c r="G3687" t="s">
        <v>20</v>
      </c>
      <c r="H3687" t="s">
        <v>21</v>
      </c>
      <c r="I3687" t="s">
        <v>22</v>
      </c>
      <c r="J3687">
        <v>5</v>
      </c>
      <c r="K3687">
        <v>650</v>
      </c>
      <c r="L3687">
        <v>0</v>
      </c>
      <c r="M3687">
        <v>3250</v>
      </c>
      <c r="N3687">
        <v>1950</v>
      </c>
      <c r="O3687">
        <v>1300</v>
      </c>
    </row>
    <row r="3688" spans="1:15" x14ac:dyDescent="0.25">
      <c r="A3688" t="s">
        <v>4753</v>
      </c>
      <c r="B3688" s="2">
        <v>49344</v>
      </c>
      <c r="C3688" t="s">
        <v>472</v>
      </c>
      <c r="D3688" t="s">
        <v>473</v>
      </c>
      <c r="E3688" t="s">
        <v>26</v>
      </c>
      <c r="F3688" t="s">
        <v>46</v>
      </c>
      <c r="G3688" t="s">
        <v>51</v>
      </c>
      <c r="H3688" t="s">
        <v>52</v>
      </c>
      <c r="I3688" t="s">
        <v>208</v>
      </c>
      <c r="J3688">
        <v>5</v>
      </c>
      <c r="K3688">
        <v>2800</v>
      </c>
      <c r="L3688">
        <v>0.1</v>
      </c>
      <c r="M3688">
        <v>12600</v>
      </c>
      <c r="N3688">
        <v>9000</v>
      </c>
      <c r="O3688">
        <v>3600</v>
      </c>
    </row>
    <row r="3689" spans="1:15" x14ac:dyDescent="0.25">
      <c r="A3689" t="s">
        <v>4754</v>
      </c>
      <c r="B3689" s="2">
        <v>49345</v>
      </c>
      <c r="C3689" t="s">
        <v>2102</v>
      </c>
      <c r="D3689" t="s">
        <v>2103</v>
      </c>
      <c r="E3689" t="s">
        <v>26</v>
      </c>
      <c r="F3689" t="s">
        <v>34</v>
      </c>
      <c r="G3689" t="s">
        <v>20</v>
      </c>
      <c r="H3689" t="s">
        <v>21</v>
      </c>
      <c r="I3689" t="s">
        <v>22</v>
      </c>
      <c r="J3689">
        <v>5</v>
      </c>
      <c r="K3689">
        <v>650</v>
      </c>
      <c r="L3689">
        <v>0.15</v>
      </c>
      <c r="M3689">
        <v>2762.5</v>
      </c>
      <c r="N3689">
        <v>1950</v>
      </c>
      <c r="O3689">
        <v>812.5</v>
      </c>
    </row>
    <row r="3690" spans="1:15" x14ac:dyDescent="0.25">
      <c r="A3690" t="s">
        <v>4755</v>
      </c>
      <c r="B3690" s="2">
        <v>49346</v>
      </c>
      <c r="C3690" t="s">
        <v>466</v>
      </c>
      <c r="D3690" t="s">
        <v>467</v>
      </c>
      <c r="E3690" t="s">
        <v>39</v>
      </c>
      <c r="F3690" t="s">
        <v>124</v>
      </c>
      <c r="G3690" t="s">
        <v>51</v>
      </c>
      <c r="H3690" t="s">
        <v>52</v>
      </c>
      <c r="I3690" t="s">
        <v>208</v>
      </c>
      <c r="J3690">
        <v>2</v>
      </c>
      <c r="K3690">
        <v>2800</v>
      </c>
      <c r="L3690">
        <v>0</v>
      </c>
      <c r="M3690">
        <v>5600</v>
      </c>
      <c r="N3690">
        <v>3600</v>
      </c>
      <c r="O3690">
        <v>2000</v>
      </c>
    </row>
    <row r="3691" spans="1:15" x14ac:dyDescent="0.25">
      <c r="A3691" t="s">
        <v>4756</v>
      </c>
      <c r="B3691" s="2">
        <v>49347</v>
      </c>
      <c r="C3691" t="s">
        <v>1012</v>
      </c>
      <c r="D3691" t="s">
        <v>1013</v>
      </c>
      <c r="E3691" t="s">
        <v>26</v>
      </c>
      <c r="F3691" t="s">
        <v>27</v>
      </c>
      <c r="G3691" t="s">
        <v>20</v>
      </c>
      <c r="H3691" t="s">
        <v>84</v>
      </c>
      <c r="I3691" t="s">
        <v>210</v>
      </c>
      <c r="J3691">
        <v>3</v>
      </c>
      <c r="K3691">
        <v>300</v>
      </c>
      <c r="L3691">
        <v>0.2</v>
      </c>
      <c r="M3691">
        <v>720</v>
      </c>
      <c r="N3691">
        <v>510</v>
      </c>
      <c r="O3691">
        <v>210</v>
      </c>
    </row>
    <row r="3692" spans="1:15" x14ac:dyDescent="0.25">
      <c r="A3692" t="s">
        <v>4757</v>
      </c>
      <c r="B3692" s="2">
        <v>49348</v>
      </c>
      <c r="C3692" t="s">
        <v>1434</v>
      </c>
      <c r="D3692" t="s">
        <v>1435</v>
      </c>
      <c r="E3692" t="s">
        <v>96</v>
      </c>
      <c r="F3692" t="s">
        <v>120</v>
      </c>
      <c r="G3692" t="s">
        <v>51</v>
      </c>
      <c r="H3692" t="s">
        <v>21</v>
      </c>
      <c r="I3692" t="s">
        <v>80</v>
      </c>
      <c r="J3692">
        <v>1</v>
      </c>
      <c r="K3692">
        <v>850</v>
      </c>
      <c r="L3692">
        <v>0.05</v>
      </c>
      <c r="M3692">
        <v>807.5</v>
      </c>
      <c r="N3692">
        <v>560</v>
      </c>
      <c r="O3692">
        <v>247.5</v>
      </c>
    </row>
    <row r="3693" spans="1:15" x14ac:dyDescent="0.25">
      <c r="A3693" t="s">
        <v>4758</v>
      </c>
      <c r="B3693" s="2">
        <v>49349</v>
      </c>
      <c r="C3693" t="s">
        <v>1034</v>
      </c>
      <c r="D3693" t="s">
        <v>1035</v>
      </c>
      <c r="E3693" t="s">
        <v>96</v>
      </c>
      <c r="F3693" t="s">
        <v>97</v>
      </c>
      <c r="G3693" t="s">
        <v>51</v>
      </c>
      <c r="H3693" t="s">
        <v>21</v>
      </c>
      <c r="I3693" t="s">
        <v>80</v>
      </c>
      <c r="J3693">
        <v>4</v>
      </c>
      <c r="K3693">
        <v>850</v>
      </c>
      <c r="L3693">
        <v>0.05</v>
      </c>
      <c r="M3693">
        <v>3230</v>
      </c>
      <c r="N3693">
        <v>2240</v>
      </c>
      <c r="O3693">
        <v>990</v>
      </c>
    </row>
    <row r="3694" spans="1:15" x14ac:dyDescent="0.25">
      <c r="A3694" t="s">
        <v>4759</v>
      </c>
      <c r="B3694" s="2">
        <v>49350</v>
      </c>
      <c r="C3694" t="s">
        <v>715</v>
      </c>
      <c r="D3694" t="s">
        <v>716</v>
      </c>
      <c r="E3694" t="s">
        <v>18</v>
      </c>
      <c r="F3694" t="s">
        <v>115</v>
      </c>
      <c r="G3694" t="s">
        <v>57</v>
      </c>
      <c r="H3694" t="s">
        <v>58</v>
      </c>
      <c r="I3694" t="s">
        <v>129</v>
      </c>
      <c r="J3694">
        <v>2</v>
      </c>
      <c r="K3694">
        <v>4800</v>
      </c>
      <c r="L3694">
        <v>0.1</v>
      </c>
      <c r="M3694">
        <v>8640</v>
      </c>
      <c r="N3694">
        <v>6600</v>
      </c>
      <c r="O3694">
        <v>2040</v>
      </c>
    </row>
    <row r="3695" spans="1:15" x14ac:dyDescent="0.25">
      <c r="A3695" t="s">
        <v>4760</v>
      </c>
      <c r="B3695" s="2">
        <v>49351</v>
      </c>
      <c r="C3695" t="s">
        <v>291</v>
      </c>
      <c r="D3695" t="s">
        <v>292</v>
      </c>
      <c r="E3695" t="s">
        <v>39</v>
      </c>
      <c r="F3695" t="s">
        <v>124</v>
      </c>
      <c r="G3695" t="s">
        <v>57</v>
      </c>
      <c r="H3695" t="s">
        <v>58</v>
      </c>
      <c r="I3695" t="s">
        <v>129</v>
      </c>
      <c r="J3695">
        <v>3</v>
      </c>
      <c r="K3695">
        <v>4800</v>
      </c>
      <c r="L3695">
        <v>0</v>
      </c>
      <c r="M3695">
        <v>14400</v>
      </c>
      <c r="N3695">
        <v>9900</v>
      </c>
      <c r="O3695">
        <v>4500</v>
      </c>
    </row>
    <row r="3696" spans="1:15" x14ac:dyDescent="0.25">
      <c r="A3696" t="s">
        <v>4761</v>
      </c>
      <c r="B3696" s="2">
        <v>49352</v>
      </c>
      <c r="C3696" t="s">
        <v>614</v>
      </c>
      <c r="D3696" t="s">
        <v>615</v>
      </c>
      <c r="E3696" t="s">
        <v>39</v>
      </c>
      <c r="F3696" t="s">
        <v>76</v>
      </c>
      <c r="G3696" t="s">
        <v>51</v>
      </c>
      <c r="H3696" t="s">
        <v>21</v>
      </c>
      <c r="I3696" t="s">
        <v>72</v>
      </c>
      <c r="J3696">
        <v>3</v>
      </c>
      <c r="K3696">
        <v>1800</v>
      </c>
      <c r="L3696">
        <v>0.1</v>
      </c>
      <c r="M3696">
        <v>4860</v>
      </c>
      <c r="N3696">
        <v>3300</v>
      </c>
      <c r="O3696">
        <v>1560</v>
      </c>
    </row>
    <row r="3697" spans="1:15" x14ac:dyDescent="0.25">
      <c r="A3697" t="s">
        <v>4762</v>
      </c>
      <c r="B3697" s="2">
        <v>49353</v>
      </c>
      <c r="C3697" t="s">
        <v>194</v>
      </c>
      <c r="D3697" t="s">
        <v>195</v>
      </c>
      <c r="E3697" t="s">
        <v>26</v>
      </c>
      <c r="F3697" t="s">
        <v>204</v>
      </c>
      <c r="G3697" t="s">
        <v>51</v>
      </c>
      <c r="H3697" t="s">
        <v>52</v>
      </c>
      <c r="I3697" t="s">
        <v>53</v>
      </c>
      <c r="J3697">
        <v>4</v>
      </c>
      <c r="K3697">
        <v>2200</v>
      </c>
      <c r="L3697">
        <v>0.1</v>
      </c>
      <c r="M3697">
        <v>7920</v>
      </c>
      <c r="N3697">
        <v>5800</v>
      </c>
      <c r="O3697">
        <v>2120</v>
      </c>
    </row>
    <row r="3698" spans="1:15" x14ac:dyDescent="0.25">
      <c r="A3698" t="s">
        <v>4763</v>
      </c>
      <c r="B3698" s="2">
        <v>49354</v>
      </c>
      <c r="C3698" t="s">
        <v>1682</v>
      </c>
      <c r="D3698" t="s">
        <v>1683</v>
      </c>
      <c r="E3698" t="s">
        <v>96</v>
      </c>
      <c r="F3698" t="s">
        <v>196</v>
      </c>
      <c r="G3698" t="s">
        <v>51</v>
      </c>
      <c r="H3698" t="s">
        <v>21</v>
      </c>
      <c r="I3698" t="s">
        <v>116</v>
      </c>
      <c r="J3698">
        <v>4</v>
      </c>
      <c r="K3698">
        <v>1400</v>
      </c>
      <c r="L3698">
        <v>0.15</v>
      </c>
      <c r="M3698">
        <v>4760</v>
      </c>
      <c r="N3698">
        <v>3600</v>
      </c>
      <c r="O3698">
        <v>1160</v>
      </c>
    </row>
    <row r="3699" spans="1:15" x14ac:dyDescent="0.25">
      <c r="A3699" t="s">
        <v>4764</v>
      </c>
      <c r="B3699" s="2">
        <v>49355</v>
      </c>
      <c r="C3699" t="s">
        <v>2580</v>
      </c>
      <c r="D3699" t="s">
        <v>2581</v>
      </c>
      <c r="E3699" t="s">
        <v>26</v>
      </c>
      <c r="F3699" t="s">
        <v>128</v>
      </c>
      <c r="G3699" t="s">
        <v>51</v>
      </c>
      <c r="H3699" t="s">
        <v>21</v>
      </c>
      <c r="I3699" t="s">
        <v>72</v>
      </c>
      <c r="J3699">
        <v>4</v>
      </c>
      <c r="K3699">
        <v>1800</v>
      </c>
      <c r="L3699">
        <v>0.15</v>
      </c>
      <c r="M3699">
        <v>6120</v>
      </c>
      <c r="N3699">
        <v>4400</v>
      </c>
      <c r="O3699">
        <v>1720</v>
      </c>
    </row>
    <row r="3700" spans="1:15" x14ac:dyDescent="0.25">
      <c r="A3700" t="s">
        <v>4765</v>
      </c>
      <c r="B3700" s="2">
        <v>49356</v>
      </c>
      <c r="C3700" t="s">
        <v>737</v>
      </c>
      <c r="D3700" t="s">
        <v>738</v>
      </c>
      <c r="E3700" t="s">
        <v>39</v>
      </c>
      <c r="F3700" t="s">
        <v>71</v>
      </c>
      <c r="G3700" t="s">
        <v>57</v>
      </c>
      <c r="H3700" t="s">
        <v>188</v>
      </c>
      <c r="I3700" t="s">
        <v>189</v>
      </c>
      <c r="J3700">
        <v>2</v>
      </c>
      <c r="K3700">
        <v>6200</v>
      </c>
      <c r="L3700">
        <v>0</v>
      </c>
      <c r="M3700">
        <v>12400</v>
      </c>
      <c r="N3700">
        <v>8600</v>
      </c>
      <c r="O3700">
        <v>3800</v>
      </c>
    </row>
    <row r="3701" spans="1:15" x14ac:dyDescent="0.25">
      <c r="A3701" t="s">
        <v>4766</v>
      </c>
      <c r="B3701" s="2">
        <v>49357</v>
      </c>
      <c r="C3701" t="s">
        <v>1448</v>
      </c>
      <c r="D3701" t="s">
        <v>1449</v>
      </c>
      <c r="E3701" t="s">
        <v>26</v>
      </c>
      <c r="F3701" t="s">
        <v>34</v>
      </c>
      <c r="G3701" t="s">
        <v>28</v>
      </c>
      <c r="H3701" t="s">
        <v>63</v>
      </c>
      <c r="I3701" t="s">
        <v>64</v>
      </c>
      <c r="J3701">
        <v>3</v>
      </c>
      <c r="K3701">
        <v>2400</v>
      </c>
      <c r="L3701">
        <v>0.1</v>
      </c>
      <c r="M3701">
        <v>6480</v>
      </c>
      <c r="N3701">
        <v>4950</v>
      </c>
      <c r="O3701">
        <v>1530</v>
      </c>
    </row>
    <row r="3702" spans="1:15" x14ac:dyDescent="0.25">
      <c r="A3702" t="s">
        <v>4767</v>
      </c>
      <c r="B3702" s="2">
        <v>49358</v>
      </c>
      <c r="C3702" t="s">
        <v>912</v>
      </c>
      <c r="D3702" t="s">
        <v>913</v>
      </c>
      <c r="E3702" t="s">
        <v>18</v>
      </c>
      <c r="F3702" t="s">
        <v>94</v>
      </c>
      <c r="G3702" t="s">
        <v>20</v>
      </c>
      <c r="H3702" t="s">
        <v>21</v>
      </c>
      <c r="I3702" t="s">
        <v>22</v>
      </c>
      <c r="J3702">
        <v>4</v>
      </c>
      <c r="K3702">
        <v>650</v>
      </c>
      <c r="L3702">
        <v>0.1</v>
      </c>
      <c r="M3702">
        <v>2340</v>
      </c>
      <c r="N3702">
        <v>1560</v>
      </c>
      <c r="O3702">
        <v>780</v>
      </c>
    </row>
    <row r="3703" spans="1:15" x14ac:dyDescent="0.25">
      <c r="A3703" t="s">
        <v>4768</v>
      </c>
      <c r="B3703" s="2">
        <v>49359</v>
      </c>
      <c r="C3703" t="s">
        <v>1054</v>
      </c>
      <c r="D3703" t="s">
        <v>1055</v>
      </c>
      <c r="E3703" t="s">
        <v>96</v>
      </c>
      <c r="F3703" t="s">
        <v>196</v>
      </c>
      <c r="G3703" t="s">
        <v>20</v>
      </c>
      <c r="H3703" t="s">
        <v>21</v>
      </c>
      <c r="I3703" t="s">
        <v>22</v>
      </c>
      <c r="J3703">
        <v>1</v>
      </c>
      <c r="K3703">
        <v>650</v>
      </c>
      <c r="L3703">
        <v>0.2</v>
      </c>
      <c r="M3703">
        <v>520</v>
      </c>
      <c r="N3703">
        <v>390</v>
      </c>
      <c r="O3703">
        <v>130</v>
      </c>
    </row>
    <row r="3704" spans="1:15" x14ac:dyDescent="0.25">
      <c r="A3704" t="s">
        <v>4769</v>
      </c>
      <c r="B3704" s="2">
        <v>49360</v>
      </c>
      <c r="C3704" t="s">
        <v>375</v>
      </c>
      <c r="D3704" t="s">
        <v>376</v>
      </c>
      <c r="E3704" t="s">
        <v>26</v>
      </c>
      <c r="F3704" t="s">
        <v>27</v>
      </c>
      <c r="G3704" t="s">
        <v>51</v>
      </c>
      <c r="H3704" t="s">
        <v>52</v>
      </c>
      <c r="I3704" t="s">
        <v>53</v>
      </c>
      <c r="J3704">
        <v>1</v>
      </c>
      <c r="K3704">
        <v>2200</v>
      </c>
      <c r="L3704">
        <v>0.05</v>
      </c>
      <c r="M3704">
        <v>2090</v>
      </c>
      <c r="N3704">
        <v>1450</v>
      </c>
      <c r="O3704">
        <v>640</v>
      </c>
    </row>
    <row r="3705" spans="1:15" x14ac:dyDescent="0.25">
      <c r="A3705" t="s">
        <v>4770</v>
      </c>
      <c r="B3705" s="2">
        <v>49361</v>
      </c>
      <c r="C3705" t="s">
        <v>1626</v>
      </c>
      <c r="D3705" t="s">
        <v>1627</v>
      </c>
      <c r="E3705" t="s">
        <v>39</v>
      </c>
      <c r="F3705" t="s">
        <v>40</v>
      </c>
      <c r="G3705" t="s">
        <v>57</v>
      </c>
      <c r="H3705" t="s">
        <v>104</v>
      </c>
      <c r="I3705" t="s">
        <v>105</v>
      </c>
      <c r="J3705">
        <v>2</v>
      </c>
      <c r="K3705">
        <v>7500</v>
      </c>
      <c r="L3705">
        <v>0.05</v>
      </c>
      <c r="M3705">
        <v>14250</v>
      </c>
      <c r="N3705">
        <v>10400</v>
      </c>
      <c r="O3705">
        <v>3850</v>
      </c>
    </row>
    <row r="3706" spans="1:15" x14ac:dyDescent="0.25">
      <c r="A3706" t="s">
        <v>4771</v>
      </c>
      <c r="B3706" s="2">
        <v>49362</v>
      </c>
      <c r="C3706" t="s">
        <v>1831</v>
      </c>
      <c r="D3706" t="s">
        <v>1832</v>
      </c>
      <c r="E3706" t="s">
        <v>26</v>
      </c>
      <c r="F3706" t="s">
        <v>46</v>
      </c>
      <c r="G3706" t="s">
        <v>51</v>
      </c>
      <c r="H3706" t="s">
        <v>89</v>
      </c>
      <c r="I3706" t="s">
        <v>90</v>
      </c>
      <c r="J3706">
        <v>1</v>
      </c>
      <c r="K3706">
        <v>10500</v>
      </c>
      <c r="L3706">
        <v>0.15</v>
      </c>
      <c r="M3706">
        <v>8925</v>
      </c>
      <c r="N3706">
        <v>7600</v>
      </c>
      <c r="O3706">
        <v>1325</v>
      </c>
    </row>
    <row r="3707" spans="1:15" x14ac:dyDescent="0.25">
      <c r="A3707" t="s">
        <v>4772</v>
      </c>
      <c r="B3707" s="2">
        <v>49363</v>
      </c>
      <c r="C3707" t="s">
        <v>997</v>
      </c>
      <c r="D3707" t="s">
        <v>998</v>
      </c>
      <c r="E3707" t="s">
        <v>26</v>
      </c>
      <c r="F3707" t="s">
        <v>204</v>
      </c>
      <c r="G3707" t="s">
        <v>20</v>
      </c>
      <c r="H3707" t="s">
        <v>84</v>
      </c>
      <c r="I3707" t="s">
        <v>169</v>
      </c>
      <c r="J3707">
        <v>4</v>
      </c>
      <c r="K3707">
        <v>450</v>
      </c>
      <c r="L3707">
        <v>0.1</v>
      </c>
      <c r="M3707">
        <v>1620</v>
      </c>
      <c r="N3707">
        <v>1040</v>
      </c>
      <c r="O3707">
        <v>580</v>
      </c>
    </row>
    <row r="3708" spans="1:15" x14ac:dyDescent="0.25">
      <c r="A3708" t="s">
        <v>4773</v>
      </c>
      <c r="B3708" s="2">
        <v>49364</v>
      </c>
      <c r="C3708" t="s">
        <v>235</v>
      </c>
      <c r="D3708" t="s">
        <v>236</v>
      </c>
      <c r="E3708" t="s">
        <v>18</v>
      </c>
      <c r="F3708" t="s">
        <v>227</v>
      </c>
      <c r="G3708" t="s">
        <v>51</v>
      </c>
      <c r="H3708" t="s">
        <v>21</v>
      </c>
      <c r="I3708" t="s">
        <v>72</v>
      </c>
      <c r="J3708">
        <v>1</v>
      </c>
      <c r="K3708">
        <v>1800</v>
      </c>
      <c r="L3708">
        <v>0.05</v>
      </c>
      <c r="M3708">
        <v>1710</v>
      </c>
      <c r="N3708">
        <v>1100</v>
      </c>
      <c r="O3708">
        <v>610</v>
      </c>
    </row>
    <row r="3709" spans="1:15" x14ac:dyDescent="0.25">
      <c r="A3709" t="s">
        <v>4774</v>
      </c>
      <c r="B3709" s="2">
        <v>49365</v>
      </c>
      <c r="C3709" t="s">
        <v>697</v>
      </c>
      <c r="D3709" t="s">
        <v>698</v>
      </c>
      <c r="E3709" t="s">
        <v>26</v>
      </c>
      <c r="F3709" t="s">
        <v>27</v>
      </c>
      <c r="G3709" t="s">
        <v>51</v>
      </c>
      <c r="H3709" t="s">
        <v>89</v>
      </c>
      <c r="I3709" t="s">
        <v>90</v>
      </c>
      <c r="J3709">
        <v>5</v>
      </c>
      <c r="K3709">
        <v>10500</v>
      </c>
      <c r="L3709">
        <v>0.2</v>
      </c>
      <c r="M3709">
        <v>42000</v>
      </c>
      <c r="N3709">
        <v>38000</v>
      </c>
      <c r="O3709">
        <v>4000</v>
      </c>
    </row>
    <row r="3710" spans="1:15" x14ac:dyDescent="0.25">
      <c r="A3710" t="s">
        <v>4775</v>
      </c>
      <c r="B3710" s="2">
        <v>49366</v>
      </c>
      <c r="C3710" t="s">
        <v>146</v>
      </c>
      <c r="D3710" t="s">
        <v>147</v>
      </c>
      <c r="E3710" t="s">
        <v>39</v>
      </c>
      <c r="F3710" t="s">
        <v>76</v>
      </c>
      <c r="G3710" t="s">
        <v>51</v>
      </c>
      <c r="H3710" t="s">
        <v>52</v>
      </c>
      <c r="I3710" t="s">
        <v>53</v>
      </c>
      <c r="J3710">
        <v>2</v>
      </c>
      <c r="K3710">
        <v>2200</v>
      </c>
      <c r="L3710">
        <v>0.15</v>
      </c>
      <c r="M3710">
        <v>3740</v>
      </c>
      <c r="N3710">
        <v>2900</v>
      </c>
      <c r="O3710">
        <v>840</v>
      </c>
    </row>
    <row r="3711" spans="1:15" x14ac:dyDescent="0.25">
      <c r="A3711" t="s">
        <v>4776</v>
      </c>
      <c r="B3711" s="2">
        <v>49367</v>
      </c>
      <c r="C3711" t="s">
        <v>834</v>
      </c>
      <c r="D3711" t="s">
        <v>835</v>
      </c>
      <c r="E3711" t="s">
        <v>39</v>
      </c>
      <c r="F3711" t="s">
        <v>71</v>
      </c>
      <c r="G3711" t="s">
        <v>20</v>
      </c>
      <c r="H3711" t="s">
        <v>84</v>
      </c>
      <c r="I3711" t="s">
        <v>210</v>
      </c>
      <c r="J3711">
        <v>5</v>
      </c>
      <c r="K3711">
        <v>300</v>
      </c>
      <c r="L3711">
        <v>0.05</v>
      </c>
      <c r="M3711">
        <v>1425</v>
      </c>
      <c r="N3711">
        <v>850</v>
      </c>
      <c r="O3711">
        <v>575</v>
      </c>
    </row>
    <row r="3712" spans="1:15" x14ac:dyDescent="0.25">
      <c r="A3712" t="s">
        <v>4777</v>
      </c>
      <c r="B3712" s="2">
        <v>49368</v>
      </c>
      <c r="C3712" t="s">
        <v>1964</v>
      </c>
      <c r="D3712" t="s">
        <v>1965</v>
      </c>
      <c r="E3712" t="s">
        <v>39</v>
      </c>
      <c r="F3712" t="s">
        <v>71</v>
      </c>
      <c r="G3712" t="s">
        <v>57</v>
      </c>
      <c r="H3712" t="s">
        <v>104</v>
      </c>
      <c r="I3712" t="s">
        <v>105</v>
      </c>
      <c r="J3712">
        <v>4</v>
      </c>
      <c r="K3712">
        <v>7500</v>
      </c>
      <c r="L3712">
        <v>0.15</v>
      </c>
      <c r="M3712">
        <v>25500</v>
      </c>
      <c r="N3712">
        <v>20800</v>
      </c>
      <c r="O3712">
        <v>4700</v>
      </c>
    </row>
    <row r="3713" spans="1:15" x14ac:dyDescent="0.25">
      <c r="A3713" t="s">
        <v>4778</v>
      </c>
      <c r="B3713" s="2">
        <v>49369</v>
      </c>
      <c r="C3713" t="s">
        <v>899</v>
      </c>
      <c r="D3713" t="s">
        <v>900</v>
      </c>
      <c r="E3713" t="s">
        <v>18</v>
      </c>
      <c r="F3713" t="s">
        <v>227</v>
      </c>
      <c r="G3713" t="s">
        <v>51</v>
      </c>
      <c r="H3713" t="s">
        <v>52</v>
      </c>
      <c r="I3713" t="s">
        <v>208</v>
      </c>
      <c r="J3713">
        <v>3</v>
      </c>
      <c r="K3713">
        <v>2800</v>
      </c>
      <c r="L3713">
        <v>0.2</v>
      </c>
      <c r="M3713">
        <v>6720</v>
      </c>
      <c r="N3713">
        <v>5400</v>
      </c>
      <c r="O3713">
        <v>1320</v>
      </c>
    </row>
    <row r="3714" spans="1:15" x14ac:dyDescent="0.25">
      <c r="A3714" t="s">
        <v>4779</v>
      </c>
      <c r="B3714" s="2">
        <v>49370</v>
      </c>
      <c r="C3714" t="s">
        <v>2131</v>
      </c>
      <c r="D3714" t="s">
        <v>2132</v>
      </c>
      <c r="E3714" t="s">
        <v>26</v>
      </c>
      <c r="F3714" t="s">
        <v>128</v>
      </c>
      <c r="G3714" t="s">
        <v>57</v>
      </c>
      <c r="H3714" t="s">
        <v>58</v>
      </c>
      <c r="I3714" t="s">
        <v>129</v>
      </c>
      <c r="J3714">
        <v>4</v>
      </c>
      <c r="K3714">
        <v>4800</v>
      </c>
      <c r="L3714">
        <v>0.15</v>
      </c>
      <c r="M3714">
        <v>16320</v>
      </c>
      <c r="N3714">
        <v>13200</v>
      </c>
      <c r="O3714">
        <v>3120</v>
      </c>
    </row>
    <row r="3715" spans="1:15" x14ac:dyDescent="0.25">
      <c r="A3715" t="s">
        <v>4780</v>
      </c>
      <c r="B3715" s="2">
        <v>49371</v>
      </c>
      <c r="C3715" t="s">
        <v>110</v>
      </c>
      <c r="D3715" t="s">
        <v>111</v>
      </c>
      <c r="E3715" t="s">
        <v>39</v>
      </c>
      <c r="F3715" t="s">
        <v>71</v>
      </c>
      <c r="G3715" t="s">
        <v>20</v>
      </c>
      <c r="H3715" t="s">
        <v>21</v>
      </c>
      <c r="I3715" t="s">
        <v>22</v>
      </c>
      <c r="J3715">
        <v>4</v>
      </c>
      <c r="K3715">
        <v>650</v>
      </c>
      <c r="L3715">
        <v>0.2</v>
      </c>
      <c r="M3715">
        <v>2080</v>
      </c>
      <c r="N3715">
        <v>1560</v>
      </c>
      <c r="O3715">
        <v>520</v>
      </c>
    </row>
    <row r="3716" spans="1:15" x14ac:dyDescent="0.25">
      <c r="A3716" t="s">
        <v>4781</v>
      </c>
      <c r="B3716" s="2">
        <v>49372</v>
      </c>
      <c r="C3716" t="s">
        <v>824</v>
      </c>
      <c r="D3716" t="s">
        <v>825</v>
      </c>
      <c r="E3716" t="s">
        <v>26</v>
      </c>
      <c r="F3716" t="s">
        <v>34</v>
      </c>
      <c r="G3716" t="s">
        <v>20</v>
      </c>
      <c r="H3716" t="s">
        <v>41</v>
      </c>
      <c r="I3716" t="s">
        <v>42</v>
      </c>
      <c r="J3716">
        <v>5</v>
      </c>
      <c r="K3716">
        <v>520</v>
      </c>
      <c r="L3716">
        <v>0.2</v>
      </c>
      <c r="M3716">
        <v>2080</v>
      </c>
      <c r="N3716">
        <v>1650</v>
      </c>
      <c r="O3716">
        <v>430</v>
      </c>
    </row>
    <row r="3717" spans="1:15" x14ac:dyDescent="0.25">
      <c r="A3717" t="s">
        <v>4782</v>
      </c>
      <c r="B3717" s="2">
        <v>49373</v>
      </c>
      <c r="C3717" t="s">
        <v>744</v>
      </c>
      <c r="D3717" t="s">
        <v>745</v>
      </c>
      <c r="E3717" t="s">
        <v>96</v>
      </c>
      <c r="F3717" t="s">
        <v>120</v>
      </c>
      <c r="G3717" t="s">
        <v>20</v>
      </c>
      <c r="H3717" t="s">
        <v>84</v>
      </c>
      <c r="I3717" t="s">
        <v>210</v>
      </c>
      <c r="J3717">
        <v>4</v>
      </c>
      <c r="K3717">
        <v>300</v>
      </c>
      <c r="L3717">
        <v>0.1</v>
      </c>
      <c r="M3717">
        <v>1080</v>
      </c>
      <c r="N3717">
        <v>680</v>
      </c>
      <c r="O3717">
        <v>400</v>
      </c>
    </row>
    <row r="3718" spans="1:15" x14ac:dyDescent="0.25">
      <c r="A3718" t="s">
        <v>4783</v>
      </c>
      <c r="B3718" s="2">
        <v>49374</v>
      </c>
      <c r="C3718" t="s">
        <v>414</v>
      </c>
      <c r="D3718" t="s">
        <v>415</v>
      </c>
      <c r="E3718" t="s">
        <v>26</v>
      </c>
      <c r="F3718" t="s">
        <v>34</v>
      </c>
      <c r="G3718" t="s">
        <v>28</v>
      </c>
      <c r="H3718" t="s">
        <v>29</v>
      </c>
      <c r="I3718" t="s">
        <v>47</v>
      </c>
      <c r="J3718">
        <v>2</v>
      </c>
      <c r="K3718">
        <v>6800</v>
      </c>
      <c r="L3718">
        <v>0</v>
      </c>
      <c r="M3718">
        <v>13600</v>
      </c>
      <c r="N3718">
        <v>9400</v>
      </c>
      <c r="O3718">
        <v>4200</v>
      </c>
    </row>
    <row r="3719" spans="1:15" x14ac:dyDescent="0.25">
      <c r="A3719" t="s">
        <v>4784</v>
      </c>
      <c r="B3719" s="2">
        <v>49375</v>
      </c>
      <c r="C3719" t="s">
        <v>772</v>
      </c>
      <c r="D3719" t="s">
        <v>773</v>
      </c>
      <c r="E3719" t="s">
        <v>18</v>
      </c>
      <c r="F3719" t="s">
        <v>94</v>
      </c>
      <c r="G3719" t="s">
        <v>57</v>
      </c>
      <c r="H3719" t="s">
        <v>104</v>
      </c>
      <c r="I3719" t="s">
        <v>105</v>
      </c>
      <c r="J3719">
        <v>3</v>
      </c>
      <c r="K3719">
        <v>7500</v>
      </c>
      <c r="L3719">
        <v>0.15</v>
      </c>
      <c r="M3719">
        <v>19125</v>
      </c>
      <c r="N3719">
        <v>15600</v>
      </c>
      <c r="O3719">
        <v>3525</v>
      </c>
    </row>
    <row r="3720" spans="1:15" x14ac:dyDescent="0.25">
      <c r="A3720" t="s">
        <v>4785</v>
      </c>
      <c r="B3720" s="2">
        <v>49376</v>
      </c>
      <c r="C3720" t="s">
        <v>1054</v>
      </c>
      <c r="D3720" t="s">
        <v>1055</v>
      </c>
      <c r="E3720" t="s">
        <v>39</v>
      </c>
      <c r="F3720" t="s">
        <v>124</v>
      </c>
      <c r="G3720" t="s">
        <v>51</v>
      </c>
      <c r="H3720" t="s">
        <v>52</v>
      </c>
      <c r="I3720" t="s">
        <v>208</v>
      </c>
      <c r="J3720">
        <v>3</v>
      </c>
      <c r="K3720">
        <v>2800</v>
      </c>
      <c r="L3720">
        <v>0.15</v>
      </c>
      <c r="M3720">
        <v>7140</v>
      </c>
      <c r="N3720">
        <v>5400</v>
      </c>
      <c r="O3720">
        <v>1740</v>
      </c>
    </row>
    <row r="3721" spans="1:15" x14ac:dyDescent="0.25">
      <c r="A3721" t="s">
        <v>4786</v>
      </c>
      <c r="B3721" s="2">
        <v>49377</v>
      </c>
      <c r="C3721" t="s">
        <v>278</v>
      </c>
      <c r="D3721" t="s">
        <v>279</v>
      </c>
      <c r="E3721" t="s">
        <v>26</v>
      </c>
      <c r="F3721" t="s">
        <v>27</v>
      </c>
      <c r="G3721" t="s">
        <v>28</v>
      </c>
      <c r="H3721" t="s">
        <v>29</v>
      </c>
      <c r="I3721" t="s">
        <v>35</v>
      </c>
      <c r="J3721">
        <v>1</v>
      </c>
      <c r="K3721">
        <v>4200</v>
      </c>
      <c r="L3721">
        <v>0</v>
      </c>
      <c r="M3721">
        <v>4200</v>
      </c>
      <c r="N3721">
        <v>2900</v>
      </c>
      <c r="O3721">
        <v>1300</v>
      </c>
    </row>
    <row r="3722" spans="1:15" x14ac:dyDescent="0.25">
      <c r="A3722" t="s">
        <v>4787</v>
      </c>
      <c r="B3722" s="2">
        <v>49378</v>
      </c>
      <c r="C3722" t="s">
        <v>994</v>
      </c>
      <c r="D3722" t="s">
        <v>995</v>
      </c>
      <c r="E3722" t="s">
        <v>26</v>
      </c>
      <c r="F3722" t="s">
        <v>128</v>
      </c>
      <c r="G3722" t="s">
        <v>51</v>
      </c>
      <c r="H3722" t="s">
        <v>21</v>
      </c>
      <c r="I3722" t="s">
        <v>116</v>
      </c>
      <c r="J3722">
        <v>5</v>
      </c>
      <c r="K3722">
        <v>1400</v>
      </c>
      <c r="L3722">
        <v>0.1</v>
      </c>
      <c r="M3722">
        <v>6300</v>
      </c>
      <c r="N3722">
        <v>4500</v>
      </c>
      <c r="O3722">
        <v>1800</v>
      </c>
    </row>
    <row r="3723" spans="1:15" x14ac:dyDescent="0.25">
      <c r="A3723" t="s">
        <v>4788</v>
      </c>
      <c r="B3723" s="2">
        <v>49379</v>
      </c>
      <c r="C3723" t="s">
        <v>556</v>
      </c>
      <c r="D3723" t="s">
        <v>557</v>
      </c>
      <c r="E3723" t="s">
        <v>39</v>
      </c>
      <c r="F3723" t="s">
        <v>124</v>
      </c>
      <c r="G3723" t="s">
        <v>20</v>
      </c>
      <c r="H3723" t="s">
        <v>84</v>
      </c>
      <c r="I3723" t="s">
        <v>169</v>
      </c>
      <c r="J3723">
        <v>4</v>
      </c>
      <c r="K3723">
        <v>450</v>
      </c>
      <c r="L3723">
        <v>0.05</v>
      </c>
      <c r="M3723">
        <v>1710</v>
      </c>
      <c r="N3723">
        <v>1040</v>
      </c>
      <c r="O3723">
        <v>670</v>
      </c>
    </row>
    <row r="3724" spans="1:15" x14ac:dyDescent="0.25">
      <c r="A3724" t="s">
        <v>4789</v>
      </c>
      <c r="B3724" s="2">
        <v>49380</v>
      </c>
      <c r="C3724" t="s">
        <v>1003</v>
      </c>
      <c r="D3724" t="s">
        <v>1004</v>
      </c>
      <c r="E3724" t="s">
        <v>39</v>
      </c>
      <c r="F3724" t="s">
        <v>124</v>
      </c>
      <c r="G3724" t="s">
        <v>51</v>
      </c>
      <c r="H3724" t="s">
        <v>21</v>
      </c>
      <c r="I3724" t="s">
        <v>80</v>
      </c>
      <c r="J3724">
        <v>2</v>
      </c>
      <c r="K3724">
        <v>850</v>
      </c>
      <c r="L3724">
        <v>0.2</v>
      </c>
      <c r="M3724">
        <v>1360</v>
      </c>
      <c r="N3724">
        <v>1120</v>
      </c>
      <c r="O3724">
        <v>240</v>
      </c>
    </row>
    <row r="3725" spans="1:15" x14ac:dyDescent="0.25">
      <c r="A3725" t="s">
        <v>4790</v>
      </c>
      <c r="B3725" s="2">
        <v>49381</v>
      </c>
      <c r="C3725" t="s">
        <v>957</v>
      </c>
      <c r="D3725" t="s">
        <v>958</v>
      </c>
      <c r="E3725" t="s">
        <v>26</v>
      </c>
      <c r="F3725" t="s">
        <v>128</v>
      </c>
      <c r="G3725" t="s">
        <v>51</v>
      </c>
      <c r="H3725" t="s">
        <v>21</v>
      </c>
      <c r="I3725" t="s">
        <v>80</v>
      </c>
      <c r="J3725">
        <v>2</v>
      </c>
      <c r="K3725">
        <v>850</v>
      </c>
      <c r="L3725">
        <v>0.2</v>
      </c>
      <c r="M3725">
        <v>1360</v>
      </c>
      <c r="N3725">
        <v>1120</v>
      </c>
      <c r="O3725">
        <v>240</v>
      </c>
    </row>
    <row r="3726" spans="1:15" x14ac:dyDescent="0.25">
      <c r="A3726" t="s">
        <v>4791</v>
      </c>
      <c r="B3726" s="2">
        <v>49382</v>
      </c>
      <c r="C3726" t="s">
        <v>1641</v>
      </c>
      <c r="D3726" t="s">
        <v>1642</v>
      </c>
      <c r="E3726" t="s">
        <v>96</v>
      </c>
      <c r="F3726" t="s">
        <v>200</v>
      </c>
      <c r="G3726" t="s">
        <v>20</v>
      </c>
      <c r="H3726" t="s">
        <v>84</v>
      </c>
      <c r="I3726" t="s">
        <v>85</v>
      </c>
      <c r="J3726">
        <v>3</v>
      </c>
      <c r="K3726">
        <v>280</v>
      </c>
      <c r="L3726">
        <v>0.05</v>
      </c>
      <c r="M3726">
        <v>798</v>
      </c>
      <c r="N3726">
        <v>480</v>
      </c>
      <c r="O3726">
        <v>318</v>
      </c>
    </row>
    <row r="3727" spans="1:15" x14ac:dyDescent="0.25">
      <c r="A3727" t="s">
        <v>4792</v>
      </c>
      <c r="B3727" s="2">
        <v>49383</v>
      </c>
      <c r="C3727" t="s">
        <v>134</v>
      </c>
      <c r="D3727" t="s">
        <v>135</v>
      </c>
      <c r="E3727" t="s">
        <v>39</v>
      </c>
      <c r="F3727" t="s">
        <v>76</v>
      </c>
      <c r="G3727" t="s">
        <v>57</v>
      </c>
      <c r="H3727" t="s">
        <v>104</v>
      </c>
      <c r="I3727" t="s">
        <v>105</v>
      </c>
      <c r="J3727">
        <v>2</v>
      </c>
      <c r="K3727">
        <v>7500</v>
      </c>
      <c r="L3727">
        <v>0.15</v>
      </c>
      <c r="M3727">
        <v>12750</v>
      </c>
      <c r="N3727">
        <v>10400</v>
      </c>
      <c r="O3727">
        <v>2350</v>
      </c>
    </row>
    <row r="3728" spans="1:15" x14ac:dyDescent="0.25">
      <c r="A3728" t="s">
        <v>4793</v>
      </c>
      <c r="B3728" s="2">
        <v>49384</v>
      </c>
      <c r="C3728" t="s">
        <v>229</v>
      </c>
      <c r="D3728" t="s">
        <v>230</v>
      </c>
      <c r="E3728" t="s">
        <v>18</v>
      </c>
      <c r="F3728" t="s">
        <v>115</v>
      </c>
      <c r="G3728" t="s">
        <v>51</v>
      </c>
      <c r="H3728" t="s">
        <v>52</v>
      </c>
      <c r="I3728" t="s">
        <v>208</v>
      </c>
      <c r="J3728">
        <v>1</v>
      </c>
      <c r="K3728">
        <v>2800</v>
      </c>
      <c r="L3728">
        <v>0.05</v>
      </c>
      <c r="M3728">
        <v>2660</v>
      </c>
      <c r="N3728">
        <v>1800</v>
      </c>
      <c r="O3728">
        <v>860</v>
      </c>
    </row>
    <row r="3729" spans="1:15" x14ac:dyDescent="0.25">
      <c r="A3729" t="s">
        <v>4794</v>
      </c>
      <c r="B3729" s="2">
        <v>49385</v>
      </c>
      <c r="C3729" t="s">
        <v>1167</v>
      </c>
      <c r="D3729" t="s">
        <v>1168</v>
      </c>
      <c r="E3729" t="s">
        <v>39</v>
      </c>
      <c r="F3729" t="s">
        <v>40</v>
      </c>
      <c r="G3729" t="s">
        <v>57</v>
      </c>
      <c r="H3729" t="s">
        <v>58</v>
      </c>
      <c r="I3729" t="s">
        <v>129</v>
      </c>
      <c r="J3729">
        <v>3</v>
      </c>
      <c r="K3729">
        <v>4800</v>
      </c>
      <c r="L3729">
        <v>0.1</v>
      </c>
      <c r="M3729">
        <v>12960</v>
      </c>
      <c r="N3729">
        <v>9900</v>
      </c>
      <c r="O3729">
        <v>3060</v>
      </c>
    </row>
    <row r="3730" spans="1:15" x14ac:dyDescent="0.25">
      <c r="A3730" t="s">
        <v>4795</v>
      </c>
      <c r="B3730" s="2">
        <v>49386</v>
      </c>
      <c r="C3730" t="s">
        <v>1190</v>
      </c>
      <c r="D3730" t="s">
        <v>1191</v>
      </c>
      <c r="E3730" t="s">
        <v>39</v>
      </c>
      <c r="F3730" t="s">
        <v>40</v>
      </c>
      <c r="G3730" t="s">
        <v>20</v>
      </c>
      <c r="H3730" t="s">
        <v>41</v>
      </c>
      <c r="I3730" t="s">
        <v>42</v>
      </c>
      <c r="J3730">
        <v>5</v>
      </c>
      <c r="K3730">
        <v>520</v>
      </c>
      <c r="L3730">
        <v>0.15</v>
      </c>
      <c r="M3730">
        <v>2210</v>
      </c>
      <c r="N3730">
        <v>1650</v>
      </c>
      <c r="O3730">
        <v>560</v>
      </c>
    </row>
    <row r="3731" spans="1:15" x14ac:dyDescent="0.25">
      <c r="A3731" t="s">
        <v>4796</v>
      </c>
      <c r="B3731" s="2">
        <v>49387</v>
      </c>
      <c r="C3731" t="s">
        <v>1003</v>
      </c>
      <c r="D3731" t="s">
        <v>1004</v>
      </c>
      <c r="E3731" t="s">
        <v>26</v>
      </c>
      <c r="F3731" t="s">
        <v>34</v>
      </c>
      <c r="G3731" t="s">
        <v>28</v>
      </c>
      <c r="H3731" t="s">
        <v>29</v>
      </c>
      <c r="I3731" t="s">
        <v>35</v>
      </c>
      <c r="J3731">
        <v>2</v>
      </c>
      <c r="K3731">
        <v>4200</v>
      </c>
      <c r="L3731">
        <v>0</v>
      </c>
      <c r="M3731">
        <v>8400</v>
      </c>
      <c r="N3731">
        <v>5800</v>
      </c>
      <c r="O3731">
        <v>2600</v>
      </c>
    </row>
    <row r="3732" spans="1:15" x14ac:dyDescent="0.25">
      <c r="A3732" t="s">
        <v>4797</v>
      </c>
      <c r="B3732" s="2">
        <v>49388</v>
      </c>
      <c r="C3732" t="s">
        <v>1762</v>
      </c>
      <c r="D3732" t="s">
        <v>1763</v>
      </c>
      <c r="E3732" t="s">
        <v>26</v>
      </c>
      <c r="F3732" t="s">
        <v>27</v>
      </c>
      <c r="G3732" t="s">
        <v>57</v>
      </c>
      <c r="H3732" t="s">
        <v>58</v>
      </c>
      <c r="I3732" t="s">
        <v>59</v>
      </c>
      <c r="J3732">
        <v>3</v>
      </c>
      <c r="K3732">
        <v>5600</v>
      </c>
      <c r="L3732">
        <v>0.15</v>
      </c>
      <c r="M3732">
        <v>14280</v>
      </c>
      <c r="N3732">
        <v>11700</v>
      </c>
      <c r="O3732">
        <v>2580</v>
      </c>
    </row>
    <row r="3733" spans="1:15" x14ac:dyDescent="0.25">
      <c r="A3733" t="s">
        <v>4798</v>
      </c>
      <c r="B3733" s="2">
        <v>49389</v>
      </c>
      <c r="C3733" t="s">
        <v>948</v>
      </c>
      <c r="D3733" t="s">
        <v>949</v>
      </c>
      <c r="E3733" t="s">
        <v>26</v>
      </c>
      <c r="F3733" t="s">
        <v>128</v>
      </c>
      <c r="G3733" t="s">
        <v>20</v>
      </c>
      <c r="H3733" t="s">
        <v>84</v>
      </c>
      <c r="I3733" t="s">
        <v>85</v>
      </c>
      <c r="J3733">
        <v>1</v>
      </c>
      <c r="K3733">
        <v>280</v>
      </c>
      <c r="L3733">
        <v>0.1</v>
      </c>
      <c r="M3733">
        <v>252</v>
      </c>
      <c r="N3733">
        <v>160</v>
      </c>
      <c r="O3733">
        <v>92</v>
      </c>
    </row>
    <row r="3734" spans="1:15" x14ac:dyDescent="0.25">
      <c r="A3734" t="s">
        <v>4799</v>
      </c>
      <c r="B3734" s="2">
        <v>49390</v>
      </c>
      <c r="C3734" t="s">
        <v>655</v>
      </c>
      <c r="D3734" t="s">
        <v>656</v>
      </c>
      <c r="E3734" t="s">
        <v>26</v>
      </c>
      <c r="F3734" t="s">
        <v>204</v>
      </c>
      <c r="G3734" t="s">
        <v>28</v>
      </c>
      <c r="H3734" t="s">
        <v>29</v>
      </c>
      <c r="I3734" t="s">
        <v>30</v>
      </c>
      <c r="J3734">
        <v>2</v>
      </c>
      <c r="K3734">
        <v>1900</v>
      </c>
      <c r="L3734">
        <v>0.25</v>
      </c>
      <c r="M3734">
        <v>2850</v>
      </c>
      <c r="N3734">
        <v>2500</v>
      </c>
      <c r="O3734">
        <v>350</v>
      </c>
    </row>
    <row r="3735" spans="1:15" x14ac:dyDescent="0.25">
      <c r="A3735" t="s">
        <v>4800</v>
      </c>
      <c r="B3735" s="2">
        <v>49391</v>
      </c>
      <c r="C3735" t="s">
        <v>556</v>
      </c>
      <c r="D3735" t="s">
        <v>557</v>
      </c>
      <c r="E3735" t="s">
        <v>26</v>
      </c>
      <c r="F3735" t="s">
        <v>128</v>
      </c>
      <c r="G3735" t="s">
        <v>51</v>
      </c>
      <c r="H3735" t="s">
        <v>89</v>
      </c>
      <c r="I3735" t="s">
        <v>90</v>
      </c>
      <c r="J3735">
        <v>1</v>
      </c>
      <c r="K3735">
        <v>10500</v>
      </c>
      <c r="L3735">
        <v>0.25</v>
      </c>
      <c r="M3735">
        <v>7875</v>
      </c>
      <c r="N3735">
        <v>7600</v>
      </c>
      <c r="O3735">
        <v>275</v>
      </c>
    </row>
    <row r="3736" spans="1:15" x14ac:dyDescent="0.25">
      <c r="A3736" t="s">
        <v>4801</v>
      </c>
      <c r="B3736" s="2">
        <v>49392</v>
      </c>
      <c r="C3736" t="s">
        <v>672</v>
      </c>
      <c r="D3736" t="s">
        <v>673</v>
      </c>
      <c r="E3736" t="s">
        <v>39</v>
      </c>
      <c r="F3736" t="s">
        <v>71</v>
      </c>
      <c r="G3736" t="s">
        <v>51</v>
      </c>
      <c r="H3736" t="s">
        <v>89</v>
      </c>
      <c r="I3736" t="s">
        <v>90</v>
      </c>
      <c r="J3736">
        <v>5</v>
      </c>
      <c r="K3736">
        <v>10500</v>
      </c>
      <c r="L3736">
        <v>0.25</v>
      </c>
      <c r="M3736">
        <v>39375</v>
      </c>
      <c r="N3736">
        <v>38000</v>
      </c>
      <c r="O3736">
        <v>1375</v>
      </c>
    </row>
    <row r="3737" spans="1:15" x14ac:dyDescent="0.25">
      <c r="A3737" t="s">
        <v>4802</v>
      </c>
      <c r="B3737" s="2">
        <v>49393</v>
      </c>
      <c r="C3737" t="s">
        <v>262</v>
      </c>
      <c r="D3737" t="s">
        <v>263</v>
      </c>
      <c r="E3737" t="s">
        <v>39</v>
      </c>
      <c r="F3737" t="s">
        <v>76</v>
      </c>
      <c r="G3737" t="s">
        <v>20</v>
      </c>
      <c r="H3737" t="s">
        <v>84</v>
      </c>
      <c r="I3737" t="s">
        <v>210</v>
      </c>
      <c r="J3737">
        <v>3</v>
      </c>
      <c r="K3737">
        <v>300</v>
      </c>
      <c r="L3737">
        <v>0.15</v>
      </c>
      <c r="M3737">
        <v>765</v>
      </c>
      <c r="N3737">
        <v>510</v>
      </c>
      <c r="O3737">
        <v>255</v>
      </c>
    </row>
    <row r="3738" spans="1:15" x14ac:dyDescent="0.25">
      <c r="A3738" t="s">
        <v>4803</v>
      </c>
      <c r="B3738" s="2">
        <v>49394</v>
      </c>
      <c r="C3738" t="s">
        <v>1213</v>
      </c>
      <c r="D3738" t="s">
        <v>1214</v>
      </c>
      <c r="E3738" t="s">
        <v>96</v>
      </c>
      <c r="F3738" t="s">
        <v>97</v>
      </c>
      <c r="G3738" t="s">
        <v>51</v>
      </c>
      <c r="H3738" t="s">
        <v>89</v>
      </c>
      <c r="I3738" t="s">
        <v>90</v>
      </c>
      <c r="J3738">
        <v>4</v>
      </c>
      <c r="K3738">
        <v>10500</v>
      </c>
      <c r="L3738">
        <v>0.05</v>
      </c>
      <c r="M3738">
        <v>39900</v>
      </c>
      <c r="N3738">
        <v>30400</v>
      </c>
      <c r="O3738">
        <v>9500</v>
      </c>
    </row>
    <row r="3739" spans="1:15" x14ac:dyDescent="0.25">
      <c r="A3739" t="s">
        <v>4804</v>
      </c>
      <c r="B3739" s="2">
        <v>49395</v>
      </c>
      <c r="C3739" t="s">
        <v>655</v>
      </c>
      <c r="D3739" t="s">
        <v>656</v>
      </c>
      <c r="E3739" t="s">
        <v>39</v>
      </c>
      <c r="F3739" t="s">
        <v>76</v>
      </c>
      <c r="G3739" t="s">
        <v>28</v>
      </c>
      <c r="H3739" t="s">
        <v>63</v>
      </c>
      <c r="I3739" t="s">
        <v>64</v>
      </c>
      <c r="J3739">
        <v>1</v>
      </c>
      <c r="K3739">
        <v>2400</v>
      </c>
      <c r="L3739">
        <v>0.2</v>
      </c>
      <c r="M3739">
        <v>1920</v>
      </c>
      <c r="N3739">
        <v>1650</v>
      </c>
      <c r="O3739">
        <v>270</v>
      </c>
    </row>
    <row r="3740" spans="1:15" x14ac:dyDescent="0.25">
      <c r="A3740" t="s">
        <v>4805</v>
      </c>
      <c r="B3740" s="2">
        <v>49396</v>
      </c>
      <c r="C3740" t="s">
        <v>659</v>
      </c>
      <c r="D3740" t="s">
        <v>660</v>
      </c>
      <c r="E3740" t="s">
        <v>26</v>
      </c>
      <c r="F3740" t="s">
        <v>128</v>
      </c>
      <c r="G3740" t="s">
        <v>28</v>
      </c>
      <c r="H3740" t="s">
        <v>29</v>
      </c>
      <c r="I3740" t="s">
        <v>35</v>
      </c>
      <c r="J3740">
        <v>1</v>
      </c>
      <c r="K3740">
        <v>4200</v>
      </c>
      <c r="L3740">
        <v>0.05</v>
      </c>
      <c r="M3740">
        <v>3990</v>
      </c>
      <c r="N3740">
        <v>2900</v>
      </c>
      <c r="O3740">
        <v>1090</v>
      </c>
    </row>
    <row r="3741" spans="1:15" x14ac:dyDescent="0.25">
      <c r="A3741" t="s">
        <v>4806</v>
      </c>
      <c r="B3741" s="2">
        <v>49397</v>
      </c>
      <c r="C3741" t="s">
        <v>1595</v>
      </c>
      <c r="D3741" t="s">
        <v>1596</v>
      </c>
      <c r="E3741" t="s">
        <v>26</v>
      </c>
      <c r="F3741" t="s">
        <v>27</v>
      </c>
      <c r="G3741" t="s">
        <v>51</v>
      </c>
      <c r="H3741" t="s">
        <v>52</v>
      </c>
      <c r="I3741" t="s">
        <v>208</v>
      </c>
      <c r="J3741">
        <v>2</v>
      </c>
      <c r="K3741">
        <v>2800</v>
      </c>
      <c r="L3741">
        <v>0.05</v>
      </c>
      <c r="M3741">
        <v>5320</v>
      </c>
      <c r="N3741">
        <v>3600</v>
      </c>
      <c r="O3741">
        <v>1720</v>
      </c>
    </row>
    <row r="3742" spans="1:15" x14ac:dyDescent="0.25">
      <c r="A3742" t="s">
        <v>4807</v>
      </c>
      <c r="B3742" s="2">
        <v>49398</v>
      </c>
      <c r="C3742" t="s">
        <v>606</v>
      </c>
      <c r="D3742" t="s">
        <v>607</v>
      </c>
      <c r="E3742" t="s">
        <v>96</v>
      </c>
      <c r="F3742" t="s">
        <v>97</v>
      </c>
      <c r="G3742" t="s">
        <v>57</v>
      </c>
      <c r="H3742" t="s">
        <v>104</v>
      </c>
      <c r="I3742" t="s">
        <v>105</v>
      </c>
      <c r="J3742">
        <v>2</v>
      </c>
      <c r="K3742">
        <v>7500</v>
      </c>
      <c r="L3742">
        <v>0.05</v>
      </c>
      <c r="M3742">
        <v>14250</v>
      </c>
      <c r="N3742">
        <v>10400</v>
      </c>
      <c r="O3742">
        <v>3850</v>
      </c>
    </row>
    <row r="3743" spans="1:15" x14ac:dyDescent="0.25">
      <c r="A3743" t="s">
        <v>4808</v>
      </c>
      <c r="B3743" s="2">
        <v>49399</v>
      </c>
      <c r="C3743" t="s">
        <v>1022</v>
      </c>
      <c r="D3743" t="s">
        <v>1023</v>
      </c>
      <c r="E3743" t="s">
        <v>96</v>
      </c>
      <c r="F3743" t="s">
        <v>120</v>
      </c>
      <c r="G3743" t="s">
        <v>51</v>
      </c>
      <c r="H3743" t="s">
        <v>89</v>
      </c>
      <c r="I3743" t="s">
        <v>90</v>
      </c>
      <c r="J3743">
        <v>4</v>
      </c>
      <c r="K3743">
        <v>10500</v>
      </c>
      <c r="L3743">
        <v>0.05</v>
      </c>
      <c r="M3743">
        <v>39900</v>
      </c>
      <c r="N3743">
        <v>30400</v>
      </c>
      <c r="O3743">
        <v>9500</v>
      </c>
    </row>
    <row r="3744" spans="1:15" x14ac:dyDescent="0.25">
      <c r="A3744" t="s">
        <v>4809</v>
      </c>
      <c r="B3744" s="2">
        <v>49400</v>
      </c>
      <c r="C3744" t="s">
        <v>1204</v>
      </c>
      <c r="D3744" t="s">
        <v>1205</v>
      </c>
      <c r="E3744" t="s">
        <v>26</v>
      </c>
      <c r="F3744" t="s">
        <v>204</v>
      </c>
      <c r="G3744" t="s">
        <v>20</v>
      </c>
      <c r="H3744" t="s">
        <v>84</v>
      </c>
      <c r="I3744" t="s">
        <v>85</v>
      </c>
      <c r="J3744">
        <v>1</v>
      </c>
      <c r="K3744">
        <v>280</v>
      </c>
      <c r="L3744">
        <v>0.2</v>
      </c>
      <c r="M3744">
        <v>224</v>
      </c>
      <c r="N3744">
        <v>160</v>
      </c>
      <c r="O3744">
        <v>64</v>
      </c>
    </row>
    <row r="3745" spans="1:15" x14ac:dyDescent="0.25">
      <c r="A3745" t="s">
        <v>4810</v>
      </c>
      <c r="B3745" s="2">
        <v>49401</v>
      </c>
      <c r="C3745" t="s">
        <v>411</v>
      </c>
      <c r="D3745" t="s">
        <v>412</v>
      </c>
      <c r="E3745" t="s">
        <v>39</v>
      </c>
      <c r="F3745" t="s">
        <v>71</v>
      </c>
      <c r="G3745" t="s">
        <v>20</v>
      </c>
      <c r="H3745" t="s">
        <v>84</v>
      </c>
      <c r="I3745" t="s">
        <v>210</v>
      </c>
      <c r="J3745">
        <v>2</v>
      </c>
      <c r="K3745">
        <v>300</v>
      </c>
      <c r="L3745">
        <v>0.1</v>
      </c>
      <c r="M3745">
        <v>540</v>
      </c>
      <c r="N3745">
        <v>340</v>
      </c>
      <c r="O3745">
        <v>200</v>
      </c>
    </row>
    <row r="3746" spans="1:15" x14ac:dyDescent="0.25">
      <c r="A3746" t="s">
        <v>4811</v>
      </c>
      <c r="B3746" s="2">
        <v>49402</v>
      </c>
      <c r="C3746" t="s">
        <v>902</v>
      </c>
      <c r="D3746" t="s">
        <v>903</v>
      </c>
      <c r="E3746" t="s">
        <v>96</v>
      </c>
      <c r="F3746" t="s">
        <v>200</v>
      </c>
      <c r="G3746" t="s">
        <v>28</v>
      </c>
      <c r="H3746" t="s">
        <v>63</v>
      </c>
      <c r="I3746" t="s">
        <v>64</v>
      </c>
      <c r="J3746">
        <v>1</v>
      </c>
      <c r="K3746">
        <v>2400</v>
      </c>
      <c r="L3746">
        <v>0.2</v>
      </c>
      <c r="M3746">
        <v>1920</v>
      </c>
      <c r="N3746">
        <v>1650</v>
      </c>
      <c r="O3746">
        <v>270</v>
      </c>
    </row>
    <row r="3747" spans="1:15" x14ac:dyDescent="0.25">
      <c r="A3747" t="s">
        <v>4812</v>
      </c>
      <c r="B3747" s="2">
        <v>49403</v>
      </c>
      <c r="C3747" t="s">
        <v>330</v>
      </c>
      <c r="D3747" t="s">
        <v>331</v>
      </c>
      <c r="E3747" t="s">
        <v>18</v>
      </c>
      <c r="F3747" t="s">
        <v>94</v>
      </c>
      <c r="G3747" t="s">
        <v>28</v>
      </c>
      <c r="H3747" t="s">
        <v>29</v>
      </c>
      <c r="I3747" t="s">
        <v>35</v>
      </c>
      <c r="J3747">
        <v>2</v>
      </c>
      <c r="K3747">
        <v>4200</v>
      </c>
      <c r="L3747">
        <v>0.1</v>
      </c>
      <c r="M3747">
        <v>7560</v>
      </c>
      <c r="N3747">
        <v>5800</v>
      </c>
      <c r="O3747">
        <v>1760</v>
      </c>
    </row>
    <row r="3748" spans="1:15" x14ac:dyDescent="0.25">
      <c r="A3748" t="s">
        <v>4813</v>
      </c>
      <c r="B3748" s="2">
        <v>49404</v>
      </c>
      <c r="C3748" t="s">
        <v>513</v>
      </c>
      <c r="D3748" t="s">
        <v>514</v>
      </c>
      <c r="E3748" t="s">
        <v>26</v>
      </c>
      <c r="F3748" t="s">
        <v>27</v>
      </c>
      <c r="G3748" t="s">
        <v>20</v>
      </c>
      <c r="H3748" t="s">
        <v>84</v>
      </c>
      <c r="I3748" t="s">
        <v>169</v>
      </c>
      <c r="J3748">
        <v>3</v>
      </c>
      <c r="K3748">
        <v>450</v>
      </c>
      <c r="L3748">
        <v>0.2</v>
      </c>
      <c r="M3748">
        <v>1080</v>
      </c>
      <c r="N3748">
        <v>780</v>
      </c>
      <c r="O3748">
        <v>300</v>
      </c>
    </row>
    <row r="3749" spans="1:15" x14ac:dyDescent="0.25">
      <c r="A3749" t="s">
        <v>4814</v>
      </c>
      <c r="B3749" s="2">
        <v>49405</v>
      </c>
      <c r="C3749" t="s">
        <v>2374</v>
      </c>
      <c r="D3749" t="s">
        <v>2375</v>
      </c>
      <c r="E3749" t="s">
        <v>26</v>
      </c>
      <c r="F3749" t="s">
        <v>27</v>
      </c>
      <c r="G3749" t="s">
        <v>20</v>
      </c>
      <c r="H3749" t="s">
        <v>41</v>
      </c>
      <c r="I3749" t="s">
        <v>42</v>
      </c>
      <c r="J3749">
        <v>3</v>
      </c>
      <c r="K3749">
        <v>520</v>
      </c>
      <c r="L3749">
        <v>0.1</v>
      </c>
      <c r="M3749">
        <v>1404</v>
      </c>
      <c r="N3749">
        <v>990</v>
      </c>
      <c r="O3749">
        <v>414</v>
      </c>
    </row>
    <row r="3750" spans="1:15" x14ac:dyDescent="0.25">
      <c r="A3750" t="s">
        <v>4815</v>
      </c>
      <c r="B3750" s="2">
        <v>49406</v>
      </c>
      <c r="C3750" t="s">
        <v>769</v>
      </c>
      <c r="D3750" t="s">
        <v>770</v>
      </c>
      <c r="E3750" t="s">
        <v>26</v>
      </c>
      <c r="F3750" t="s">
        <v>27</v>
      </c>
      <c r="G3750" t="s">
        <v>51</v>
      </c>
      <c r="H3750" t="s">
        <v>52</v>
      </c>
      <c r="I3750" t="s">
        <v>208</v>
      </c>
      <c r="J3750">
        <v>1</v>
      </c>
      <c r="K3750">
        <v>2800</v>
      </c>
      <c r="L3750">
        <v>0.1</v>
      </c>
      <c r="M3750">
        <v>2520</v>
      </c>
      <c r="N3750">
        <v>1800</v>
      </c>
      <c r="O3750">
        <v>720</v>
      </c>
    </row>
    <row r="3751" spans="1:15" x14ac:dyDescent="0.25">
      <c r="A3751" t="s">
        <v>4816</v>
      </c>
      <c r="B3751" s="2">
        <v>49407</v>
      </c>
      <c r="C3751" t="s">
        <v>597</v>
      </c>
      <c r="D3751" t="s">
        <v>598</v>
      </c>
      <c r="E3751" t="s">
        <v>96</v>
      </c>
      <c r="F3751" t="s">
        <v>196</v>
      </c>
      <c r="G3751" t="s">
        <v>20</v>
      </c>
      <c r="H3751" t="s">
        <v>21</v>
      </c>
      <c r="I3751" t="s">
        <v>22</v>
      </c>
      <c r="J3751">
        <v>4</v>
      </c>
      <c r="K3751">
        <v>650</v>
      </c>
      <c r="L3751">
        <v>0.05</v>
      </c>
      <c r="M3751">
        <v>2470</v>
      </c>
      <c r="N3751">
        <v>1560</v>
      </c>
      <c r="O3751">
        <v>910</v>
      </c>
    </row>
    <row r="3752" spans="1:15" x14ac:dyDescent="0.25">
      <c r="A3752" t="s">
        <v>4817</v>
      </c>
      <c r="B3752" s="2">
        <v>49408</v>
      </c>
      <c r="C3752" t="s">
        <v>2031</v>
      </c>
      <c r="D3752" t="s">
        <v>2032</v>
      </c>
      <c r="E3752" t="s">
        <v>96</v>
      </c>
      <c r="F3752" t="s">
        <v>120</v>
      </c>
      <c r="G3752" t="s">
        <v>20</v>
      </c>
      <c r="H3752" t="s">
        <v>84</v>
      </c>
      <c r="I3752" t="s">
        <v>210</v>
      </c>
      <c r="J3752">
        <v>2</v>
      </c>
      <c r="K3752">
        <v>300</v>
      </c>
      <c r="L3752">
        <v>0.05</v>
      </c>
      <c r="M3752">
        <v>570</v>
      </c>
      <c r="N3752">
        <v>340</v>
      </c>
      <c r="O3752">
        <v>230</v>
      </c>
    </row>
    <row r="3753" spans="1:15" x14ac:dyDescent="0.25">
      <c r="A3753" t="s">
        <v>4818</v>
      </c>
      <c r="B3753" s="2">
        <v>49409</v>
      </c>
      <c r="C3753" t="s">
        <v>466</v>
      </c>
      <c r="D3753" t="s">
        <v>467</v>
      </c>
      <c r="E3753" t="s">
        <v>96</v>
      </c>
      <c r="F3753" t="s">
        <v>97</v>
      </c>
      <c r="G3753" t="s">
        <v>51</v>
      </c>
      <c r="H3753" t="s">
        <v>21</v>
      </c>
      <c r="I3753" t="s">
        <v>72</v>
      </c>
      <c r="J3753">
        <v>3</v>
      </c>
      <c r="K3753">
        <v>1800</v>
      </c>
      <c r="L3753">
        <v>0.15</v>
      </c>
      <c r="M3753">
        <v>4590</v>
      </c>
      <c r="N3753">
        <v>3300</v>
      </c>
      <c r="O3753">
        <v>1290</v>
      </c>
    </row>
    <row r="3754" spans="1:15" x14ac:dyDescent="0.25">
      <c r="A3754" t="s">
        <v>4819</v>
      </c>
      <c r="B3754" s="2">
        <v>49410</v>
      </c>
      <c r="C3754" t="s">
        <v>1858</v>
      </c>
      <c r="D3754" t="s">
        <v>1859</v>
      </c>
      <c r="E3754" t="s">
        <v>26</v>
      </c>
      <c r="F3754" t="s">
        <v>34</v>
      </c>
      <c r="G3754" t="s">
        <v>20</v>
      </c>
      <c r="H3754" t="s">
        <v>84</v>
      </c>
      <c r="I3754" t="s">
        <v>210</v>
      </c>
      <c r="J3754">
        <v>4</v>
      </c>
      <c r="K3754">
        <v>300</v>
      </c>
      <c r="L3754">
        <v>0.15</v>
      </c>
      <c r="M3754">
        <v>1020</v>
      </c>
      <c r="N3754">
        <v>680</v>
      </c>
      <c r="O3754">
        <v>340</v>
      </c>
    </row>
    <row r="3755" spans="1:15" x14ac:dyDescent="0.25">
      <c r="A3755" t="s">
        <v>4820</v>
      </c>
      <c r="B3755" s="2">
        <v>49411</v>
      </c>
      <c r="C3755" t="s">
        <v>2263</v>
      </c>
      <c r="D3755" t="s">
        <v>2264</v>
      </c>
      <c r="E3755" t="s">
        <v>39</v>
      </c>
      <c r="F3755" t="s">
        <v>71</v>
      </c>
      <c r="G3755" t="s">
        <v>20</v>
      </c>
      <c r="H3755" t="s">
        <v>84</v>
      </c>
      <c r="I3755" t="s">
        <v>169</v>
      </c>
      <c r="J3755">
        <v>3</v>
      </c>
      <c r="K3755">
        <v>450</v>
      </c>
      <c r="L3755">
        <v>0.05</v>
      </c>
      <c r="M3755">
        <v>1282.5</v>
      </c>
      <c r="N3755">
        <v>780</v>
      </c>
      <c r="O3755">
        <v>502.5</v>
      </c>
    </row>
    <row r="3756" spans="1:15" x14ac:dyDescent="0.25">
      <c r="A3756" t="s">
        <v>4821</v>
      </c>
      <c r="B3756" s="2">
        <v>49412</v>
      </c>
      <c r="C3756" t="s">
        <v>2285</v>
      </c>
      <c r="D3756" t="s">
        <v>2286</v>
      </c>
      <c r="E3756" t="s">
        <v>26</v>
      </c>
      <c r="F3756" t="s">
        <v>128</v>
      </c>
      <c r="G3756" t="s">
        <v>57</v>
      </c>
      <c r="H3756" t="s">
        <v>104</v>
      </c>
      <c r="I3756" t="s">
        <v>105</v>
      </c>
      <c r="J3756">
        <v>4</v>
      </c>
      <c r="K3756">
        <v>7500</v>
      </c>
      <c r="L3756">
        <v>0.25</v>
      </c>
      <c r="M3756">
        <v>22500</v>
      </c>
      <c r="N3756">
        <v>20800</v>
      </c>
      <c r="O3756">
        <v>1700</v>
      </c>
    </row>
    <row r="3757" spans="1:15" x14ac:dyDescent="0.25">
      <c r="A3757" t="s">
        <v>4822</v>
      </c>
      <c r="B3757" s="2">
        <v>49413</v>
      </c>
      <c r="C3757" t="s">
        <v>547</v>
      </c>
      <c r="D3757" t="s">
        <v>548</v>
      </c>
      <c r="E3757" t="s">
        <v>39</v>
      </c>
      <c r="F3757" t="s">
        <v>71</v>
      </c>
      <c r="G3757" t="s">
        <v>28</v>
      </c>
      <c r="H3757" t="s">
        <v>29</v>
      </c>
      <c r="I3757" t="s">
        <v>47</v>
      </c>
      <c r="J3757">
        <v>1</v>
      </c>
      <c r="K3757">
        <v>6800</v>
      </c>
      <c r="L3757">
        <v>0.15</v>
      </c>
      <c r="M3757">
        <v>5780</v>
      </c>
      <c r="N3757">
        <v>4700</v>
      </c>
      <c r="O3757">
        <v>1080</v>
      </c>
    </row>
    <row r="3758" spans="1:15" x14ac:dyDescent="0.25">
      <c r="A3758" t="s">
        <v>4823</v>
      </c>
      <c r="B3758" s="2">
        <v>49414</v>
      </c>
      <c r="C3758" t="s">
        <v>366</v>
      </c>
      <c r="D3758" t="s">
        <v>367</v>
      </c>
      <c r="E3758" t="s">
        <v>26</v>
      </c>
      <c r="F3758" t="s">
        <v>204</v>
      </c>
      <c r="G3758" t="s">
        <v>28</v>
      </c>
      <c r="H3758" t="s">
        <v>29</v>
      </c>
      <c r="I3758" t="s">
        <v>30</v>
      </c>
      <c r="J3758">
        <v>2</v>
      </c>
      <c r="K3758">
        <v>1900</v>
      </c>
      <c r="L3758">
        <v>0</v>
      </c>
      <c r="M3758">
        <v>3800</v>
      </c>
      <c r="N3758">
        <v>2500</v>
      </c>
      <c r="O3758">
        <v>1300</v>
      </c>
    </row>
    <row r="3759" spans="1:15" x14ac:dyDescent="0.25">
      <c r="A3759" t="s">
        <v>4824</v>
      </c>
      <c r="B3759" s="2">
        <v>49415</v>
      </c>
      <c r="C3759" t="s">
        <v>2099</v>
      </c>
      <c r="D3759" t="s">
        <v>2100</v>
      </c>
      <c r="E3759" t="s">
        <v>96</v>
      </c>
      <c r="F3759" t="s">
        <v>97</v>
      </c>
      <c r="G3759" t="s">
        <v>51</v>
      </c>
      <c r="H3759" t="s">
        <v>89</v>
      </c>
      <c r="I3759" t="s">
        <v>90</v>
      </c>
      <c r="J3759">
        <v>4</v>
      </c>
      <c r="K3759">
        <v>10500</v>
      </c>
      <c r="L3759">
        <v>0.1</v>
      </c>
      <c r="M3759">
        <v>37800</v>
      </c>
      <c r="N3759">
        <v>30400</v>
      </c>
      <c r="O3759">
        <v>7400</v>
      </c>
    </row>
    <row r="3760" spans="1:15" x14ac:dyDescent="0.25">
      <c r="A3760" t="s">
        <v>4825</v>
      </c>
      <c r="B3760" s="2">
        <v>49416</v>
      </c>
      <c r="C3760" t="s">
        <v>110</v>
      </c>
      <c r="D3760" t="s">
        <v>111</v>
      </c>
      <c r="E3760" t="s">
        <v>26</v>
      </c>
      <c r="F3760" t="s">
        <v>34</v>
      </c>
      <c r="G3760" t="s">
        <v>51</v>
      </c>
      <c r="H3760" t="s">
        <v>21</v>
      </c>
      <c r="I3760" t="s">
        <v>72</v>
      </c>
      <c r="J3760">
        <v>1</v>
      </c>
      <c r="K3760">
        <v>1800</v>
      </c>
      <c r="L3760">
        <v>0.15</v>
      </c>
      <c r="M3760">
        <v>1530</v>
      </c>
      <c r="N3760">
        <v>1100</v>
      </c>
      <c r="O3760">
        <v>430</v>
      </c>
    </row>
    <row r="3761" spans="1:15" x14ac:dyDescent="0.25">
      <c r="A3761" t="s">
        <v>4826</v>
      </c>
      <c r="B3761" s="2">
        <v>49417</v>
      </c>
      <c r="C3761" t="s">
        <v>430</v>
      </c>
      <c r="D3761" t="s">
        <v>431</v>
      </c>
      <c r="E3761" t="s">
        <v>18</v>
      </c>
      <c r="F3761" t="s">
        <v>115</v>
      </c>
      <c r="G3761" t="s">
        <v>20</v>
      </c>
      <c r="H3761" t="s">
        <v>84</v>
      </c>
      <c r="I3761" t="s">
        <v>169</v>
      </c>
      <c r="J3761">
        <v>4</v>
      </c>
      <c r="K3761">
        <v>450</v>
      </c>
      <c r="L3761">
        <v>0.15</v>
      </c>
      <c r="M3761">
        <v>1530</v>
      </c>
      <c r="N3761">
        <v>1040</v>
      </c>
      <c r="O3761">
        <v>490</v>
      </c>
    </row>
    <row r="3762" spans="1:15" x14ac:dyDescent="0.25">
      <c r="A3762" t="s">
        <v>4827</v>
      </c>
      <c r="B3762" s="2">
        <v>49418</v>
      </c>
      <c r="C3762" t="s">
        <v>469</v>
      </c>
      <c r="D3762" t="s">
        <v>470</v>
      </c>
      <c r="E3762" t="s">
        <v>39</v>
      </c>
      <c r="F3762" t="s">
        <v>71</v>
      </c>
      <c r="G3762" t="s">
        <v>51</v>
      </c>
      <c r="H3762" t="s">
        <v>89</v>
      </c>
      <c r="I3762" t="s">
        <v>90</v>
      </c>
      <c r="J3762">
        <v>5</v>
      </c>
      <c r="K3762">
        <v>10500</v>
      </c>
      <c r="L3762">
        <v>0.1</v>
      </c>
      <c r="M3762">
        <v>47250</v>
      </c>
      <c r="N3762">
        <v>38000</v>
      </c>
      <c r="O3762">
        <v>9250</v>
      </c>
    </row>
    <row r="3763" spans="1:15" x14ac:dyDescent="0.25">
      <c r="A3763" t="s">
        <v>4828</v>
      </c>
      <c r="B3763" s="2">
        <v>49419</v>
      </c>
      <c r="C3763" t="s">
        <v>834</v>
      </c>
      <c r="D3763" t="s">
        <v>835</v>
      </c>
      <c r="E3763" t="s">
        <v>26</v>
      </c>
      <c r="F3763" t="s">
        <v>34</v>
      </c>
      <c r="G3763" t="s">
        <v>51</v>
      </c>
      <c r="H3763" t="s">
        <v>21</v>
      </c>
      <c r="I3763" t="s">
        <v>80</v>
      </c>
      <c r="J3763">
        <v>4</v>
      </c>
      <c r="K3763">
        <v>850</v>
      </c>
      <c r="L3763">
        <v>0.1</v>
      </c>
      <c r="M3763">
        <v>3060</v>
      </c>
      <c r="N3763">
        <v>2240</v>
      </c>
      <c r="O3763">
        <v>820</v>
      </c>
    </row>
    <row r="3764" spans="1:15" x14ac:dyDescent="0.25">
      <c r="A3764" t="s">
        <v>4829</v>
      </c>
      <c r="B3764" s="2">
        <v>49420</v>
      </c>
      <c r="C3764" t="s">
        <v>532</v>
      </c>
      <c r="D3764" t="s">
        <v>533</v>
      </c>
      <c r="E3764" t="s">
        <v>26</v>
      </c>
      <c r="F3764" t="s">
        <v>27</v>
      </c>
      <c r="G3764" t="s">
        <v>28</v>
      </c>
      <c r="H3764" t="s">
        <v>29</v>
      </c>
      <c r="I3764" t="s">
        <v>30</v>
      </c>
      <c r="J3764">
        <v>1</v>
      </c>
      <c r="K3764">
        <v>1900</v>
      </c>
      <c r="L3764">
        <v>0</v>
      </c>
      <c r="M3764">
        <v>1900</v>
      </c>
      <c r="N3764">
        <v>1250</v>
      </c>
      <c r="O3764">
        <v>650</v>
      </c>
    </row>
    <row r="3765" spans="1:15" x14ac:dyDescent="0.25">
      <c r="A3765" t="s">
        <v>4830</v>
      </c>
      <c r="B3765" s="2">
        <v>49421</v>
      </c>
      <c r="C3765" t="s">
        <v>1948</v>
      </c>
      <c r="D3765" t="s">
        <v>1949</v>
      </c>
      <c r="E3765" t="s">
        <v>26</v>
      </c>
      <c r="F3765" t="s">
        <v>34</v>
      </c>
      <c r="G3765" t="s">
        <v>51</v>
      </c>
      <c r="H3765" t="s">
        <v>52</v>
      </c>
      <c r="I3765" t="s">
        <v>53</v>
      </c>
      <c r="J3765">
        <v>2</v>
      </c>
      <c r="K3765">
        <v>2200</v>
      </c>
      <c r="L3765">
        <v>0.15</v>
      </c>
      <c r="M3765">
        <v>3740</v>
      </c>
      <c r="N3765">
        <v>2900</v>
      </c>
      <c r="O3765">
        <v>840</v>
      </c>
    </row>
    <row r="3766" spans="1:15" x14ac:dyDescent="0.25">
      <c r="A3766" t="s">
        <v>4831</v>
      </c>
      <c r="B3766" s="2">
        <v>49422</v>
      </c>
      <c r="C3766" t="s">
        <v>2102</v>
      </c>
      <c r="D3766" t="s">
        <v>2103</v>
      </c>
      <c r="E3766" t="s">
        <v>26</v>
      </c>
      <c r="F3766" t="s">
        <v>46</v>
      </c>
      <c r="G3766" t="s">
        <v>28</v>
      </c>
      <c r="H3766" t="s">
        <v>63</v>
      </c>
      <c r="I3766" t="s">
        <v>64</v>
      </c>
      <c r="J3766">
        <v>1</v>
      </c>
      <c r="K3766">
        <v>2400</v>
      </c>
      <c r="L3766">
        <v>0.05</v>
      </c>
      <c r="M3766">
        <v>2280</v>
      </c>
      <c r="N3766">
        <v>1650</v>
      </c>
      <c r="O3766">
        <v>630</v>
      </c>
    </row>
    <row r="3767" spans="1:15" x14ac:dyDescent="0.25">
      <c r="A3767" t="s">
        <v>4832</v>
      </c>
      <c r="B3767" s="2">
        <v>49423</v>
      </c>
      <c r="C3767" t="s">
        <v>1699</v>
      </c>
      <c r="D3767" t="s">
        <v>1700</v>
      </c>
      <c r="E3767" t="s">
        <v>26</v>
      </c>
      <c r="F3767" t="s">
        <v>128</v>
      </c>
      <c r="G3767" t="s">
        <v>51</v>
      </c>
      <c r="H3767" t="s">
        <v>89</v>
      </c>
      <c r="I3767" t="s">
        <v>90</v>
      </c>
      <c r="J3767">
        <v>4</v>
      </c>
      <c r="K3767">
        <v>10500</v>
      </c>
      <c r="L3767">
        <v>0</v>
      </c>
      <c r="M3767">
        <v>42000</v>
      </c>
      <c r="N3767">
        <v>30400</v>
      </c>
      <c r="O3767">
        <v>11600</v>
      </c>
    </row>
    <row r="3768" spans="1:15" x14ac:dyDescent="0.25">
      <c r="A3768" t="s">
        <v>4833</v>
      </c>
      <c r="B3768" s="2">
        <v>49424</v>
      </c>
      <c r="C3768" t="s">
        <v>244</v>
      </c>
      <c r="D3768" t="s">
        <v>245</v>
      </c>
      <c r="E3768" t="s">
        <v>26</v>
      </c>
      <c r="F3768" t="s">
        <v>27</v>
      </c>
      <c r="G3768" t="s">
        <v>51</v>
      </c>
      <c r="H3768" t="s">
        <v>21</v>
      </c>
      <c r="I3768" t="s">
        <v>72</v>
      </c>
      <c r="J3768">
        <v>5</v>
      </c>
      <c r="K3768">
        <v>1800</v>
      </c>
      <c r="L3768">
        <v>0.15</v>
      </c>
      <c r="M3768">
        <v>7650</v>
      </c>
      <c r="N3768">
        <v>5500</v>
      </c>
      <c r="O3768">
        <v>2150</v>
      </c>
    </row>
    <row r="3769" spans="1:15" x14ac:dyDescent="0.25">
      <c r="A3769" t="s">
        <v>4834</v>
      </c>
      <c r="B3769" s="2">
        <v>49425</v>
      </c>
      <c r="C3769" t="s">
        <v>954</v>
      </c>
      <c r="D3769" t="s">
        <v>955</v>
      </c>
      <c r="E3769" t="s">
        <v>26</v>
      </c>
      <c r="F3769" t="s">
        <v>34</v>
      </c>
      <c r="G3769" t="s">
        <v>57</v>
      </c>
      <c r="H3769" t="s">
        <v>58</v>
      </c>
      <c r="I3769" t="s">
        <v>59</v>
      </c>
      <c r="J3769">
        <v>2</v>
      </c>
      <c r="K3769">
        <v>5600</v>
      </c>
      <c r="L3769">
        <v>0.05</v>
      </c>
      <c r="M3769">
        <v>10640</v>
      </c>
      <c r="N3769">
        <v>7800</v>
      </c>
      <c r="O3769">
        <v>2840</v>
      </c>
    </row>
    <row r="3770" spans="1:15" x14ac:dyDescent="0.25">
      <c r="A3770" t="s">
        <v>4835</v>
      </c>
      <c r="B3770" s="2">
        <v>49426</v>
      </c>
      <c r="C3770" t="s">
        <v>1858</v>
      </c>
      <c r="D3770" t="s">
        <v>1859</v>
      </c>
      <c r="E3770" t="s">
        <v>39</v>
      </c>
      <c r="F3770" t="s">
        <v>71</v>
      </c>
      <c r="G3770" t="s">
        <v>51</v>
      </c>
      <c r="H3770" t="s">
        <v>21</v>
      </c>
      <c r="I3770" t="s">
        <v>116</v>
      </c>
      <c r="J3770">
        <v>3</v>
      </c>
      <c r="K3770">
        <v>1400</v>
      </c>
      <c r="L3770">
        <v>0.25</v>
      </c>
      <c r="M3770">
        <v>3150</v>
      </c>
      <c r="N3770">
        <v>2700</v>
      </c>
      <c r="O3770">
        <v>450</v>
      </c>
    </row>
    <row r="3771" spans="1:15" x14ac:dyDescent="0.25">
      <c r="A3771" t="s">
        <v>4836</v>
      </c>
      <c r="B3771" s="2">
        <v>49427</v>
      </c>
      <c r="C3771" t="s">
        <v>61</v>
      </c>
      <c r="D3771" t="s">
        <v>62</v>
      </c>
      <c r="E3771" t="s">
        <v>39</v>
      </c>
      <c r="F3771" t="s">
        <v>40</v>
      </c>
      <c r="G3771" t="s">
        <v>57</v>
      </c>
      <c r="H3771" t="s">
        <v>58</v>
      </c>
      <c r="I3771" t="s">
        <v>59</v>
      </c>
      <c r="J3771">
        <v>2</v>
      </c>
      <c r="K3771">
        <v>5600</v>
      </c>
      <c r="L3771">
        <v>0.1</v>
      </c>
      <c r="M3771">
        <v>10080</v>
      </c>
      <c r="N3771">
        <v>7800</v>
      </c>
      <c r="O3771">
        <v>2280</v>
      </c>
    </row>
    <row r="3772" spans="1:15" x14ac:dyDescent="0.25">
      <c r="A3772" t="s">
        <v>4837</v>
      </c>
      <c r="B3772" s="2">
        <v>49428</v>
      </c>
      <c r="C3772" t="s">
        <v>1915</v>
      </c>
      <c r="D3772" t="s">
        <v>1916</v>
      </c>
      <c r="E3772" t="s">
        <v>96</v>
      </c>
      <c r="F3772" t="s">
        <v>200</v>
      </c>
      <c r="G3772" t="s">
        <v>51</v>
      </c>
      <c r="H3772" t="s">
        <v>52</v>
      </c>
      <c r="I3772" t="s">
        <v>208</v>
      </c>
      <c r="J3772">
        <v>2</v>
      </c>
      <c r="K3772">
        <v>2800</v>
      </c>
      <c r="L3772">
        <v>0.1</v>
      </c>
      <c r="M3772">
        <v>5040</v>
      </c>
      <c r="N3772">
        <v>3600</v>
      </c>
      <c r="O3772">
        <v>1440</v>
      </c>
    </row>
    <row r="3773" spans="1:15" x14ac:dyDescent="0.25">
      <c r="A3773" t="s">
        <v>4838</v>
      </c>
      <c r="B3773" s="2">
        <v>49429</v>
      </c>
      <c r="C3773" t="s">
        <v>1461</v>
      </c>
      <c r="D3773" t="s">
        <v>1462</v>
      </c>
      <c r="E3773" t="s">
        <v>26</v>
      </c>
      <c r="F3773" t="s">
        <v>204</v>
      </c>
      <c r="G3773" t="s">
        <v>20</v>
      </c>
      <c r="H3773" t="s">
        <v>84</v>
      </c>
      <c r="I3773" t="s">
        <v>85</v>
      </c>
      <c r="J3773">
        <v>3</v>
      </c>
      <c r="K3773">
        <v>280</v>
      </c>
      <c r="L3773">
        <v>0.15</v>
      </c>
      <c r="M3773">
        <v>714</v>
      </c>
      <c r="N3773">
        <v>480</v>
      </c>
      <c r="O3773">
        <v>234</v>
      </c>
    </row>
    <row r="3774" spans="1:15" x14ac:dyDescent="0.25">
      <c r="A3774" t="s">
        <v>4839</v>
      </c>
      <c r="B3774" s="2">
        <v>49430</v>
      </c>
      <c r="C3774" t="s">
        <v>497</v>
      </c>
      <c r="D3774" t="s">
        <v>498</v>
      </c>
      <c r="E3774" t="s">
        <v>96</v>
      </c>
      <c r="F3774" t="s">
        <v>120</v>
      </c>
      <c r="G3774" t="s">
        <v>20</v>
      </c>
      <c r="H3774" t="s">
        <v>21</v>
      </c>
      <c r="I3774" t="s">
        <v>22</v>
      </c>
      <c r="J3774">
        <v>1</v>
      </c>
      <c r="K3774">
        <v>650</v>
      </c>
      <c r="L3774">
        <v>0.15</v>
      </c>
      <c r="M3774">
        <v>552.5</v>
      </c>
      <c r="N3774">
        <v>390</v>
      </c>
      <c r="O3774">
        <v>162.5</v>
      </c>
    </row>
    <row r="3775" spans="1:15" x14ac:dyDescent="0.25">
      <c r="A3775" t="s">
        <v>4840</v>
      </c>
      <c r="B3775" s="2">
        <v>49431</v>
      </c>
      <c r="C3775" t="s">
        <v>3218</v>
      </c>
      <c r="D3775" t="s">
        <v>3219</v>
      </c>
      <c r="E3775" t="s">
        <v>26</v>
      </c>
      <c r="F3775" t="s">
        <v>27</v>
      </c>
      <c r="G3775" t="s">
        <v>51</v>
      </c>
      <c r="H3775" t="s">
        <v>89</v>
      </c>
      <c r="I3775" t="s">
        <v>90</v>
      </c>
      <c r="J3775">
        <v>4</v>
      </c>
      <c r="K3775">
        <v>10500</v>
      </c>
      <c r="L3775">
        <v>0</v>
      </c>
      <c r="M3775">
        <v>42000</v>
      </c>
      <c r="N3775">
        <v>30400</v>
      </c>
      <c r="O3775">
        <v>11600</v>
      </c>
    </row>
    <row r="3776" spans="1:15" x14ac:dyDescent="0.25">
      <c r="A3776" t="s">
        <v>4841</v>
      </c>
      <c r="B3776" s="2">
        <v>49432</v>
      </c>
      <c r="C3776" t="s">
        <v>1404</v>
      </c>
      <c r="D3776" t="s">
        <v>1405</v>
      </c>
      <c r="E3776" t="s">
        <v>39</v>
      </c>
      <c r="F3776" t="s">
        <v>71</v>
      </c>
      <c r="G3776" t="s">
        <v>28</v>
      </c>
      <c r="H3776" t="s">
        <v>29</v>
      </c>
      <c r="I3776" t="s">
        <v>47</v>
      </c>
      <c r="J3776">
        <v>2</v>
      </c>
      <c r="K3776">
        <v>6800</v>
      </c>
      <c r="L3776">
        <v>0.05</v>
      </c>
      <c r="M3776">
        <v>12920</v>
      </c>
      <c r="N3776">
        <v>9400</v>
      </c>
      <c r="O3776">
        <v>3520</v>
      </c>
    </row>
    <row r="3777" spans="1:15" x14ac:dyDescent="0.25">
      <c r="A3777" t="s">
        <v>4842</v>
      </c>
      <c r="B3777" s="2">
        <v>49433</v>
      </c>
      <c r="C3777" t="s">
        <v>1629</v>
      </c>
      <c r="D3777" t="s">
        <v>1630</v>
      </c>
      <c r="E3777" t="s">
        <v>96</v>
      </c>
      <c r="F3777" t="s">
        <v>196</v>
      </c>
      <c r="G3777" t="s">
        <v>28</v>
      </c>
      <c r="H3777" t="s">
        <v>29</v>
      </c>
      <c r="I3777" t="s">
        <v>30</v>
      </c>
      <c r="J3777">
        <v>1</v>
      </c>
      <c r="K3777">
        <v>1900</v>
      </c>
      <c r="L3777">
        <v>0</v>
      </c>
      <c r="M3777">
        <v>1900</v>
      </c>
      <c r="N3777">
        <v>1250</v>
      </c>
      <c r="O3777">
        <v>650</v>
      </c>
    </row>
    <row r="3778" spans="1:15" x14ac:dyDescent="0.25">
      <c r="A3778" t="s">
        <v>4843</v>
      </c>
      <c r="B3778" s="2">
        <v>49434</v>
      </c>
      <c r="C3778" t="s">
        <v>741</v>
      </c>
      <c r="D3778" t="s">
        <v>742</v>
      </c>
      <c r="E3778" t="s">
        <v>26</v>
      </c>
      <c r="F3778" t="s">
        <v>46</v>
      </c>
      <c r="G3778" t="s">
        <v>51</v>
      </c>
      <c r="H3778" t="s">
        <v>89</v>
      </c>
      <c r="I3778" t="s">
        <v>90</v>
      </c>
      <c r="J3778">
        <v>5</v>
      </c>
      <c r="K3778">
        <v>10500</v>
      </c>
      <c r="L3778">
        <v>0.2</v>
      </c>
      <c r="M3778">
        <v>42000</v>
      </c>
      <c r="N3778">
        <v>38000</v>
      </c>
      <c r="O3778">
        <v>4000</v>
      </c>
    </row>
    <row r="3779" spans="1:15" x14ac:dyDescent="0.25">
      <c r="A3779" t="s">
        <v>4844</v>
      </c>
      <c r="B3779" s="2">
        <v>49435</v>
      </c>
      <c r="C3779" t="s">
        <v>1783</v>
      </c>
      <c r="D3779" t="s">
        <v>1784</v>
      </c>
      <c r="E3779" t="s">
        <v>18</v>
      </c>
      <c r="F3779" t="s">
        <v>19</v>
      </c>
      <c r="G3779" t="s">
        <v>57</v>
      </c>
      <c r="H3779" t="s">
        <v>58</v>
      </c>
      <c r="I3779" t="s">
        <v>59</v>
      </c>
      <c r="J3779">
        <v>5</v>
      </c>
      <c r="K3779">
        <v>5600</v>
      </c>
      <c r="L3779">
        <v>0</v>
      </c>
      <c r="M3779">
        <v>28000</v>
      </c>
      <c r="N3779">
        <v>19500</v>
      </c>
      <c r="O3779">
        <v>8500</v>
      </c>
    </row>
    <row r="3780" spans="1:15" x14ac:dyDescent="0.25">
      <c r="A3780" t="s">
        <v>4845</v>
      </c>
      <c r="B3780" s="2">
        <v>49436</v>
      </c>
      <c r="C3780" t="s">
        <v>1783</v>
      </c>
      <c r="D3780" t="s">
        <v>1784</v>
      </c>
      <c r="E3780" t="s">
        <v>39</v>
      </c>
      <c r="F3780" t="s">
        <v>124</v>
      </c>
      <c r="G3780" t="s">
        <v>28</v>
      </c>
      <c r="H3780" t="s">
        <v>29</v>
      </c>
      <c r="I3780" t="s">
        <v>47</v>
      </c>
      <c r="J3780">
        <v>3</v>
      </c>
      <c r="K3780">
        <v>6800</v>
      </c>
      <c r="L3780">
        <v>0</v>
      </c>
      <c r="M3780">
        <v>20400</v>
      </c>
      <c r="N3780">
        <v>14100</v>
      </c>
      <c r="O3780">
        <v>6300</v>
      </c>
    </row>
    <row r="3781" spans="1:15" x14ac:dyDescent="0.25">
      <c r="A3781" t="s">
        <v>4846</v>
      </c>
      <c r="B3781" s="2">
        <v>49437</v>
      </c>
      <c r="C3781" t="s">
        <v>1780</v>
      </c>
      <c r="D3781" t="s">
        <v>1781</v>
      </c>
      <c r="E3781" t="s">
        <v>96</v>
      </c>
      <c r="F3781" t="s">
        <v>196</v>
      </c>
      <c r="G3781" t="s">
        <v>57</v>
      </c>
      <c r="H3781" t="s">
        <v>58</v>
      </c>
      <c r="I3781" t="s">
        <v>129</v>
      </c>
      <c r="J3781">
        <v>1</v>
      </c>
      <c r="K3781">
        <v>4800</v>
      </c>
      <c r="L3781">
        <v>0.1</v>
      </c>
      <c r="M3781">
        <v>4320</v>
      </c>
      <c r="N3781">
        <v>3300</v>
      </c>
      <c r="O3781">
        <v>1020</v>
      </c>
    </row>
    <row r="3782" spans="1:15" x14ac:dyDescent="0.25">
      <c r="A3782" t="s">
        <v>4847</v>
      </c>
      <c r="B3782" s="2">
        <v>49438</v>
      </c>
      <c r="C3782" t="s">
        <v>222</v>
      </c>
      <c r="D3782" t="s">
        <v>223</v>
      </c>
      <c r="E3782" t="s">
        <v>26</v>
      </c>
      <c r="F3782" t="s">
        <v>27</v>
      </c>
      <c r="G3782" t="s">
        <v>20</v>
      </c>
      <c r="H3782" t="s">
        <v>84</v>
      </c>
      <c r="I3782" t="s">
        <v>169</v>
      </c>
      <c r="J3782">
        <v>5</v>
      </c>
      <c r="K3782">
        <v>450</v>
      </c>
      <c r="L3782">
        <v>0.1</v>
      </c>
      <c r="M3782">
        <v>2025</v>
      </c>
      <c r="N3782">
        <v>1300</v>
      </c>
      <c r="O3782">
        <v>725</v>
      </c>
    </row>
    <row r="3783" spans="1:15" x14ac:dyDescent="0.25">
      <c r="A3783" t="s">
        <v>4848</v>
      </c>
      <c r="B3783" s="2">
        <v>49439</v>
      </c>
      <c r="C3783" t="s">
        <v>945</v>
      </c>
      <c r="D3783" t="s">
        <v>946</v>
      </c>
      <c r="E3783" t="s">
        <v>39</v>
      </c>
      <c r="F3783" t="s">
        <v>124</v>
      </c>
      <c r="G3783" t="s">
        <v>20</v>
      </c>
      <c r="H3783" t="s">
        <v>84</v>
      </c>
      <c r="I3783" t="s">
        <v>85</v>
      </c>
      <c r="J3783">
        <v>5</v>
      </c>
      <c r="K3783">
        <v>280</v>
      </c>
      <c r="L3783">
        <v>0.15</v>
      </c>
      <c r="M3783">
        <v>1190</v>
      </c>
      <c r="N3783">
        <v>800</v>
      </c>
      <c r="O3783">
        <v>390</v>
      </c>
    </row>
    <row r="3784" spans="1:15" x14ac:dyDescent="0.25">
      <c r="A3784" t="s">
        <v>4849</v>
      </c>
      <c r="B3784" s="2">
        <v>49440</v>
      </c>
      <c r="C3784" t="s">
        <v>1567</v>
      </c>
      <c r="D3784" t="s">
        <v>1568</v>
      </c>
      <c r="E3784" t="s">
        <v>39</v>
      </c>
      <c r="F3784" t="s">
        <v>124</v>
      </c>
      <c r="G3784" t="s">
        <v>20</v>
      </c>
      <c r="H3784" t="s">
        <v>84</v>
      </c>
      <c r="I3784" t="s">
        <v>169</v>
      </c>
      <c r="J3784">
        <v>2</v>
      </c>
      <c r="K3784">
        <v>450</v>
      </c>
      <c r="L3784">
        <v>0.1</v>
      </c>
      <c r="M3784">
        <v>810</v>
      </c>
      <c r="N3784">
        <v>520</v>
      </c>
      <c r="O3784">
        <v>290</v>
      </c>
    </row>
    <row r="3785" spans="1:15" x14ac:dyDescent="0.25">
      <c r="A3785" t="s">
        <v>4850</v>
      </c>
      <c r="B3785" s="2">
        <v>49441</v>
      </c>
      <c r="C3785" t="s">
        <v>2019</v>
      </c>
      <c r="D3785" t="s">
        <v>2020</v>
      </c>
      <c r="E3785" t="s">
        <v>39</v>
      </c>
      <c r="F3785" t="s">
        <v>76</v>
      </c>
      <c r="G3785" t="s">
        <v>57</v>
      </c>
      <c r="H3785" t="s">
        <v>58</v>
      </c>
      <c r="I3785" t="s">
        <v>59</v>
      </c>
      <c r="J3785">
        <v>5</v>
      </c>
      <c r="K3785">
        <v>5600</v>
      </c>
      <c r="L3785">
        <v>0</v>
      </c>
      <c r="M3785">
        <v>28000</v>
      </c>
      <c r="N3785">
        <v>19500</v>
      </c>
      <c r="O3785">
        <v>8500</v>
      </c>
    </row>
    <row r="3786" spans="1:15" x14ac:dyDescent="0.25">
      <c r="A3786" t="s">
        <v>4851</v>
      </c>
      <c r="B3786" s="2">
        <v>49442</v>
      </c>
      <c r="C3786" t="s">
        <v>659</v>
      </c>
      <c r="D3786" t="s">
        <v>660</v>
      </c>
      <c r="E3786" t="s">
        <v>39</v>
      </c>
      <c r="F3786" t="s">
        <v>40</v>
      </c>
      <c r="G3786" t="s">
        <v>51</v>
      </c>
      <c r="H3786" t="s">
        <v>89</v>
      </c>
      <c r="I3786" t="s">
        <v>90</v>
      </c>
      <c r="J3786">
        <v>3</v>
      </c>
      <c r="K3786">
        <v>10500</v>
      </c>
      <c r="L3786">
        <v>0.1</v>
      </c>
      <c r="M3786">
        <v>28350</v>
      </c>
      <c r="N3786">
        <v>22800</v>
      </c>
      <c r="O3786">
        <v>5550</v>
      </c>
    </row>
    <row r="3787" spans="1:15" x14ac:dyDescent="0.25">
      <c r="A3787" t="s">
        <v>4852</v>
      </c>
      <c r="B3787" s="2">
        <v>49443</v>
      </c>
      <c r="C3787" t="s">
        <v>420</v>
      </c>
      <c r="D3787" t="s">
        <v>421</v>
      </c>
      <c r="E3787" t="s">
        <v>26</v>
      </c>
      <c r="F3787" t="s">
        <v>204</v>
      </c>
      <c r="G3787" t="s">
        <v>57</v>
      </c>
      <c r="H3787" t="s">
        <v>58</v>
      </c>
      <c r="I3787" t="s">
        <v>59</v>
      </c>
      <c r="J3787">
        <v>1</v>
      </c>
      <c r="K3787">
        <v>5600</v>
      </c>
      <c r="L3787">
        <v>0.1</v>
      </c>
      <c r="M3787">
        <v>5040</v>
      </c>
      <c r="N3787">
        <v>3900</v>
      </c>
      <c r="O3787">
        <v>1140</v>
      </c>
    </row>
    <row r="3788" spans="1:15" x14ac:dyDescent="0.25">
      <c r="A3788" t="s">
        <v>4853</v>
      </c>
      <c r="B3788" s="2">
        <v>49444</v>
      </c>
      <c r="C3788" t="s">
        <v>2449</v>
      </c>
      <c r="D3788" t="s">
        <v>2450</v>
      </c>
      <c r="E3788" t="s">
        <v>26</v>
      </c>
      <c r="F3788" t="s">
        <v>27</v>
      </c>
      <c r="G3788" t="s">
        <v>20</v>
      </c>
      <c r="H3788" t="s">
        <v>21</v>
      </c>
      <c r="I3788" t="s">
        <v>22</v>
      </c>
      <c r="J3788">
        <v>3</v>
      </c>
      <c r="K3788">
        <v>650</v>
      </c>
      <c r="L3788">
        <v>0.05</v>
      </c>
      <c r="M3788">
        <v>1852.5</v>
      </c>
      <c r="N3788">
        <v>1170</v>
      </c>
      <c r="O3788">
        <v>682.5</v>
      </c>
    </row>
    <row r="3789" spans="1:15" x14ac:dyDescent="0.25">
      <c r="A3789" t="s">
        <v>4854</v>
      </c>
      <c r="B3789" s="2">
        <v>49445</v>
      </c>
      <c r="C3789" t="s">
        <v>1720</v>
      </c>
      <c r="D3789" t="s">
        <v>1721</v>
      </c>
      <c r="E3789" t="s">
        <v>18</v>
      </c>
      <c r="F3789" t="s">
        <v>19</v>
      </c>
      <c r="G3789" t="s">
        <v>51</v>
      </c>
      <c r="H3789" t="s">
        <v>52</v>
      </c>
      <c r="I3789" t="s">
        <v>53</v>
      </c>
      <c r="J3789">
        <v>5</v>
      </c>
      <c r="K3789">
        <v>2200</v>
      </c>
      <c r="L3789">
        <v>0.2</v>
      </c>
      <c r="M3789">
        <v>8800</v>
      </c>
      <c r="N3789">
        <v>7250</v>
      </c>
      <c r="O3789">
        <v>1550</v>
      </c>
    </row>
    <row r="3790" spans="1:15" x14ac:dyDescent="0.25">
      <c r="A3790" t="s">
        <v>4855</v>
      </c>
      <c r="B3790" s="2">
        <v>49446</v>
      </c>
      <c r="C3790" t="s">
        <v>1641</v>
      </c>
      <c r="D3790" t="s">
        <v>1642</v>
      </c>
      <c r="E3790" t="s">
        <v>39</v>
      </c>
      <c r="F3790" t="s">
        <v>76</v>
      </c>
      <c r="G3790" t="s">
        <v>57</v>
      </c>
      <c r="H3790" t="s">
        <v>104</v>
      </c>
      <c r="I3790" t="s">
        <v>105</v>
      </c>
      <c r="J3790">
        <v>5</v>
      </c>
      <c r="K3790">
        <v>7500</v>
      </c>
      <c r="L3790">
        <v>0.1</v>
      </c>
      <c r="M3790">
        <v>33750</v>
      </c>
      <c r="N3790">
        <v>26000</v>
      </c>
      <c r="O3790">
        <v>7750</v>
      </c>
    </row>
    <row r="3791" spans="1:15" x14ac:dyDescent="0.25">
      <c r="A3791" t="s">
        <v>4856</v>
      </c>
      <c r="B3791" s="2">
        <v>49447</v>
      </c>
      <c r="C3791" t="s">
        <v>1413</v>
      </c>
      <c r="D3791" t="s">
        <v>1414</v>
      </c>
      <c r="E3791" t="s">
        <v>18</v>
      </c>
      <c r="F3791" t="s">
        <v>94</v>
      </c>
      <c r="G3791" t="s">
        <v>51</v>
      </c>
      <c r="H3791" t="s">
        <v>52</v>
      </c>
      <c r="I3791" t="s">
        <v>53</v>
      </c>
      <c r="J3791">
        <v>5</v>
      </c>
      <c r="K3791">
        <v>2200</v>
      </c>
      <c r="L3791">
        <v>0.15</v>
      </c>
      <c r="M3791">
        <v>9350</v>
      </c>
      <c r="N3791">
        <v>7250</v>
      </c>
      <c r="O3791">
        <v>2100</v>
      </c>
    </row>
    <row r="3792" spans="1:15" x14ac:dyDescent="0.25">
      <c r="A3792" t="s">
        <v>4857</v>
      </c>
      <c r="B3792" s="2">
        <v>49448</v>
      </c>
      <c r="C3792" t="s">
        <v>588</v>
      </c>
      <c r="D3792" t="s">
        <v>589</v>
      </c>
      <c r="E3792" t="s">
        <v>96</v>
      </c>
      <c r="F3792" t="s">
        <v>97</v>
      </c>
      <c r="G3792" t="s">
        <v>28</v>
      </c>
      <c r="H3792" t="s">
        <v>29</v>
      </c>
      <c r="I3792" t="s">
        <v>35</v>
      </c>
      <c r="J3792">
        <v>2</v>
      </c>
      <c r="K3792">
        <v>4200</v>
      </c>
      <c r="L3792">
        <v>0</v>
      </c>
      <c r="M3792">
        <v>8400</v>
      </c>
      <c r="N3792">
        <v>5800</v>
      </c>
      <c r="O3792">
        <v>2600</v>
      </c>
    </row>
    <row r="3793" spans="1:15" x14ac:dyDescent="0.25">
      <c r="A3793" t="s">
        <v>4858</v>
      </c>
      <c r="B3793" s="2">
        <v>49449</v>
      </c>
      <c r="C3793" t="s">
        <v>333</v>
      </c>
      <c r="D3793" t="s">
        <v>334</v>
      </c>
      <c r="E3793" t="s">
        <v>39</v>
      </c>
      <c r="F3793" t="s">
        <v>71</v>
      </c>
      <c r="G3793" t="s">
        <v>57</v>
      </c>
      <c r="H3793" t="s">
        <v>58</v>
      </c>
      <c r="I3793" t="s">
        <v>59</v>
      </c>
      <c r="J3793">
        <v>5</v>
      </c>
      <c r="K3793">
        <v>5600</v>
      </c>
      <c r="L3793">
        <v>0</v>
      </c>
      <c r="M3793">
        <v>28000</v>
      </c>
      <c r="N3793">
        <v>19500</v>
      </c>
      <c r="O3793">
        <v>8500</v>
      </c>
    </row>
    <row r="3794" spans="1:15" x14ac:dyDescent="0.25">
      <c r="A3794" t="s">
        <v>4859</v>
      </c>
      <c r="B3794" s="2">
        <v>49450</v>
      </c>
      <c r="C3794" t="s">
        <v>1294</v>
      </c>
      <c r="D3794" t="s">
        <v>1295</v>
      </c>
      <c r="E3794" t="s">
        <v>18</v>
      </c>
      <c r="F3794" t="s">
        <v>94</v>
      </c>
      <c r="G3794" t="s">
        <v>51</v>
      </c>
      <c r="H3794" t="s">
        <v>21</v>
      </c>
      <c r="I3794" t="s">
        <v>116</v>
      </c>
      <c r="J3794">
        <v>1</v>
      </c>
      <c r="K3794">
        <v>1400</v>
      </c>
      <c r="L3794">
        <v>0.05</v>
      </c>
      <c r="M3794">
        <v>1330</v>
      </c>
      <c r="N3794">
        <v>900</v>
      </c>
      <c r="O3794">
        <v>430</v>
      </c>
    </row>
    <row r="3795" spans="1:15" x14ac:dyDescent="0.25">
      <c r="A3795" t="s">
        <v>4860</v>
      </c>
      <c r="B3795" s="2">
        <v>49451</v>
      </c>
      <c r="C3795" t="s">
        <v>110</v>
      </c>
      <c r="D3795" t="s">
        <v>111</v>
      </c>
      <c r="E3795" t="s">
        <v>39</v>
      </c>
      <c r="F3795" t="s">
        <v>71</v>
      </c>
      <c r="G3795" t="s">
        <v>51</v>
      </c>
      <c r="H3795" t="s">
        <v>89</v>
      </c>
      <c r="I3795" t="s">
        <v>90</v>
      </c>
      <c r="J3795">
        <v>2</v>
      </c>
      <c r="K3795">
        <v>10500</v>
      </c>
      <c r="L3795">
        <v>0.1</v>
      </c>
      <c r="M3795">
        <v>18900</v>
      </c>
      <c r="N3795">
        <v>15200</v>
      </c>
      <c r="O3795">
        <v>3700</v>
      </c>
    </row>
    <row r="3796" spans="1:15" x14ac:dyDescent="0.25">
      <c r="A3796" t="s">
        <v>4861</v>
      </c>
      <c r="B3796" s="2">
        <v>49452</v>
      </c>
      <c r="C3796" t="s">
        <v>600</v>
      </c>
      <c r="D3796" t="s">
        <v>601</v>
      </c>
      <c r="E3796" t="s">
        <v>96</v>
      </c>
      <c r="F3796" t="s">
        <v>97</v>
      </c>
      <c r="G3796" t="s">
        <v>51</v>
      </c>
      <c r="H3796" t="s">
        <v>21</v>
      </c>
      <c r="I3796" t="s">
        <v>72</v>
      </c>
      <c r="J3796">
        <v>3</v>
      </c>
      <c r="K3796">
        <v>1800</v>
      </c>
      <c r="L3796">
        <v>0.1</v>
      </c>
      <c r="M3796">
        <v>4860</v>
      </c>
      <c r="N3796">
        <v>3300</v>
      </c>
      <c r="O3796">
        <v>1560</v>
      </c>
    </row>
    <row r="3797" spans="1:15" x14ac:dyDescent="0.25">
      <c r="A3797" t="s">
        <v>4862</v>
      </c>
      <c r="B3797" s="2">
        <v>49453</v>
      </c>
      <c r="C3797" t="s">
        <v>494</v>
      </c>
      <c r="D3797" t="s">
        <v>495</v>
      </c>
      <c r="E3797" t="s">
        <v>18</v>
      </c>
      <c r="F3797" t="s">
        <v>19</v>
      </c>
      <c r="G3797" t="s">
        <v>51</v>
      </c>
      <c r="H3797" t="s">
        <v>21</v>
      </c>
      <c r="I3797" t="s">
        <v>80</v>
      </c>
      <c r="J3797">
        <v>1</v>
      </c>
      <c r="K3797">
        <v>850</v>
      </c>
      <c r="L3797">
        <v>0.1</v>
      </c>
      <c r="M3797">
        <v>765</v>
      </c>
      <c r="N3797">
        <v>560</v>
      </c>
      <c r="O3797">
        <v>205</v>
      </c>
    </row>
    <row r="3798" spans="1:15" x14ac:dyDescent="0.25">
      <c r="A3798" t="s">
        <v>4863</v>
      </c>
      <c r="B3798" s="2">
        <v>49454</v>
      </c>
      <c r="C3798" t="s">
        <v>532</v>
      </c>
      <c r="D3798" t="s">
        <v>533</v>
      </c>
      <c r="E3798" t="s">
        <v>96</v>
      </c>
      <c r="F3798" t="s">
        <v>97</v>
      </c>
      <c r="G3798" t="s">
        <v>51</v>
      </c>
      <c r="H3798" t="s">
        <v>21</v>
      </c>
      <c r="I3798" t="s">
        <v>80</v>
      </c>
      <c r="J3798">
        <v>5</v>
      </c>
      <c r="K3798">
        <v>850</v>
      </c>
      <c r="L3798">
        <v>0.15</v>
      </c>
      <c r="M3798">
        <v>3612.5</v>
      </c>
      <c r="N3798">
        <v>2800</v>
      </c>
      <c r="O3798">
        <v>812.5</v>
      </c>
    </row>
    <row r="3799" spans="1:15" x14ac:dyDescent="0.25">
      <c r="A3799" t="s">
        <v>4864</v>
      </c>
      <c r="B3799" s="2">
        <v>49455</v>
      </c>
      <c r="C3799" t="s">
        <v>49</v>
      </c>
      <c r="D3799" t="s">
        <v>50</v>
      </c>
      <c r="E3799" t="s">
        <v>26</v>
      </c>
      <c r="F3799" t="s">
        <v>204</v>
      </c>
      <c r="G3799" t="s">
        <v>57</v>
      </c>
      <c r="H3799" t="s">
        <v>104</v>
      </c>
      <c r="I3799" t="s">
        <v>105</v>
      </c>
      <c r="J3799">
        <v>3</v>
      </c>
      <c r="K3799">
        <v>7500</v>
      </c>
      <c r="L3799">
        <v>0.2</v>
      </c>
      <c r="M3799">
        <v>18000</v>
      </c>
      <c r="N3799">
        <v>15600</v>
      </c>
      <c r="O3799">
        <v>2400</v>
      </c>
    </row>
    <row r="3800" spans="1:15" x14ac:dyDescent="0.25">
      <c r="A3800" t="s">
        <v>4865</v>
      </c>
      <c r="B3800" s="2">
        <v>49456</v>
      </c>
      <c r="C3800" t="s">
        <v>2335</v>
      </c>
      <c r="D3800" t="s">
        <v>2336</v>
      </c>
      <c r="E3800" t="s">
        <v>26</v>
      </c>
      <c r="F3800" t="s">
        <v>34</v>
      </c>
      <c r="G3800" t="s">
        <v>20</v>
      </c>
      <c r="H3800" t="s">
        <v>21</v>
      </c>
      <c r="I3800" t="s">
        <v>22</v>
      </c>
      <c r="J3800">
        <v>5</v>
      </c>
      <c r="K3800">
        <v>650</v>
      </c>
      <c r="L3800">
        <v>0</v>
      </c>
      <c r="M3800">
        <v>3250</v>
      </c>
      <c r="N3800">
        <v>1950</v>
      </c>
      <c r="O3800">
        <v>1300</v>
      </c>
    </row>
    <row r="3801" spans="1:15" x14ac:dyDescent="0.25">
      <c r="A3801" t="s">
        <v>4866</v>
      </c>
      <c r="B3801" s="2">
        <v>49457</v>
      </c>
      <c r="C3801" t="s">
        <v>1623</v>
      </c>
      <c r="D3801" t="s">
        <v>1624</v>
      </c>
      <c r="E3801" t="s">
        <v>26</v>
      </c>
      <c r="F3801" t="s">
        <v>27</v>
      </c>
      <c r="G3801" t="s">
        <v>51</v>
      </c>
      <c r="H3801" t="s">
        <v>21</v>
      </c>
      <c r="I3801" t="s">
        <v>116</v>
      </c>
      <c r="J3801">
        <v>3</v>
      </c>
      <c r="K3801">
        <v>1400</v>
      </c>
      <c r="L3801">
        <v>0.15</v>
      </c>
      <c r="M3801">
        <v>3570</v>
      </c>
      <c r="N3801">
        <v>2700</v>
      </c>
      <c r="O3801">
        <v>870</v>
      </c>
    </row>
    <row r="3802" spans="1:15" x14ac:dyDescent="0.25">
      <c r="A3802" t="s">
        <v>4867</v>
      </c>
      <c r="B3802" s="2">
        <v>49458</v>
      </c>
      <c r="C3802" t="s">
        <v>2457</v>
      </c>
      <c r="D3802" t="s">
        <v>2458</v>
      </c>
      <c r="E3802" t="s">
        <v>39</v>
      </c>
      <c r="F3802" t="s">
        <v>76</v>
      </c>
      <c r="G3802" t="s">
        <v>51</v>
      </c>
      <c r="H3802" t="s">
        <v>52</v>
      </c>
      <c r="I3802" t="s">
        <v>53</v>
      </c>
      <c r="J3802">
        <v>3</v>
      </c>
      <c r="K3802">
        <v>2200</v>
      </c>
      <c r="L3802">
        <v>0.05</v>
      </c>
      <c r="M3802">
        <v>6270</v>
      </c>
      <c r="N3802">
        <v>4350</v>
      </c>
      <c r="O3802">
        <v>1920</v>
      </c>
    </row>
    <row r="3803" spans="1:15" x14ac:dyDescent="0.25">
      <c r="A3803" t="s">
        <v>4868</v>
      </c>
      <c r="B3803" s="2">
        <v>49459</v>
      </c>
      <c r="C3803" t="s">
        <v>1049</v>
      </c>
      <c r="D3803" t="s">
        <v>1050</v>
      </c>
      <c r="E3803" t="s">
        <v>39</v>
      </c>
      <c r="F3803" t="s">
        <v>124</v>
      </c>
      <c r="G3803" t="s">
        <v>20</v>
      </c>
      <c r="H3803" t="s">
        <v>84</v>
      </c>
      <c r="I3803" t="s">
        <v>210</v>
      </c>
      <c r="J3803">
        <v>2</v>
      </c>
      <c r="K3803">
        <v>300</v>
      </c>
      <c r="L3803">
        <v>0.15</v>
      </c>
      <c r="M3803">
        <v>510</v>
      </c>
      <c r="N3803">
        <v>340</v>
      </c>
      <c r="O3803">
        <v>170</v>
      </c>
    </row>
    <row r="3804" spans="1:15" x14ac:dyDescent="0.25">
      <c r="A3804" t="s">
        <v>4869</v>
      </c>
      <c r="B3804" s="2">
        <v>49460</v>
      </c>
      <c r="C3804" t="s">
        <v>588</v>
      </c>
      <c r="D3804" t="s">
        <v>589</v>
      </c>
      <c r="E3804" t="s">
        <v>39</v>
      </c>
      <c r="F3804" t="s">
        <v>124</v>
      </c>
      <c r="G3804" t="s">
        <v>57</v>
      </c>
      <c r="H3804" t="s">
        <v>58</v>
      </c>
      <c r="I3804" t="s">
        <v>129</v>
      </c>
      <c r="J3804">
        <v>5</v>
      </c>
      <c r="K3804">
        <v>4800</v>
      </c>
      <c r="L3804">
        <v>0.1</v>
      </c>
      <c r="M3804">
        <v>21600</v>
      </c>
      <c r="N3804">
        <v>16500</v>
      </c>
      <c r="O3804">
        <v>5100</v>
      </c>
    </row>
    <row r="3805" spans="1:15" x14ac:dyDescent="0.25">
      <c r="A3805" t="s">
        <v>4870</v>
      </c>
      <c r="B3805" s="2">
        <v>49461</v>
      </c>
      <c r="C3805" t="s">
        <v>2005</v>
      </c>
      <c r="D3805" t="s">
        <v>2006</v>
      </c>
      <c r="E3805" t="s">
        <v>26</v>
      </c>
      <c r="F3805" t="s">
        <v>204</v>
      </c>
      <c r="G3805" t="s">
        <v>51</v>
      </c>
      <c r="H3805" t="s">
        <v>52</v>
      </c>
      <c r="I3805" t="s">
        <v>53</v>
      </c>
      <c r="J3805">
        <v>2</v>
      </c>
      <c r="K3805">
        <v>2200</v>
      </c>
      <c r="L3805">
        <v>0.15</v>
      </c>
      <c r="M3805">
        <v>3740</v>
      </c>
      <c r="N3805">
        <v>2900</v>
      </c>
      <c r="O3805">
        <v>840</v>
      </c>
    </row>
    <row r="3806" spans="1:15" x14ac:dyDescent="0.25">
      <c r="A3806" t="s">
        <v>4871</v>
      </c>
      <c r="B3806" s="2">
        <v>49462</v>
      </c>
      <c r="C3806" t="s">
        <v>637</v>
      </c>
      <c r="D3806" t="s">
        <v>638</v>
      </c>
      <c r="E3806" t="s">
        <v>96</v>
      </c>
      <c r="F3806" t="s">
        <v>200</v>
      </c>
      <c r="G3806" t="s">
        <v>57</v>
      </c>
      <c r="H3806" t="s">
        <v>188</v>
      </c>
      <c r="I3806" t="s">
        <v>189</v>
      </c>
      <c r="J3806">
        <v>1</v>
      </c>
      <c r="K3806">
        <v>6200</v>
      </c>
      <c r="L3806">
        <v>0.2</v>
      </c>
      <c r="M3806">
        <v>4960</v>
      </c>
      <c r="N3806">
        <v>4300</v>
      </c>
      <c r="O3806">
        <v>660</v>
      </c>
    </row>
    <row r="3807" spans="1:15" x14ac:dyDescent="0.25">
      <c r="A3807" t="s">
        <v>4872</v>
      </c>
      <c r="B3807" s="2">
        <v>49463</v>
      </c>
      <c r="C3807" t="s">
        <v>16</v>
      </c>
      <c r="D3807" t="s">
        <v>17</v>
      </c>
      <c r="E3807" t="s">
        <v>39</v>
      </c>
      <c r="F3807" t="s">
        <v>76</v>
      </c>
      <c r="G3807" t="s">
        <v>51</v>
      </c>
      <c r="H3807" t="s">
        <v>21</v>
      </c>
      <c r="I3807" t="s">
        <v>116</v>
      </c>
      <c r="J3807">
        <v>5</v>
      </c>
      <c r="K3807">
        <v>1400</v>
      </c>
      <c r="L3807">
        <v>0.15</v>
      </c>
      <c r="M3807">
        <v>5950</v>
      </c>
      <c r="N3807">
        <v>4500</v>
      </c>
      <c r="O3807">
        <v>1450</v>
      </c>
    </row>
    <row r="3808" spans="1:15" x14ac:dyDescent="0.25">
      <c r="A3808" t="s">
        <v>4873</v>
      </c>
      <c r="B3808" s="2">
        <v>49464</v>
      </c>
      <c r="C3808" t="s">
        <v>311</v>
      </c>
      <c r="D3808" t="s">
        <v>312</v>
      </c>
      <c r="E3808" t="s">
        <v>26</v>
      </c>
      <c r="F3808" t="s">
        <v>34</v>
      </c>
      <c r="G3808" t="s">
        <v>20</v>
      </c>
      <c r="H3808" t="s">
        <v>21</v>
      </c>
      <c r="I3808" t="s">
        <v>22</v>
      </c>
      <c r="J3808">
        <v>4</v>
      </c>
      <c r="K3808">
        <v>650</v>
      </c>
      <c r="L3808">
        <v>0.1</v>
      </c>
      <c r="M3808">
        <v>2340</v>
      </c>
      <c r="N3808">
        <v>1560</v>
      </c>
      <c r="O3808">
        <v>780</v>
      </c>
    </row>
    <row r="3809" spans="1:15" x14ac:dyDescent="0.25">
      <c r="A3809" t="s">
        <v>4874</v>
      </c>
      <c r="B3809" s="2">
        <v>49465</v>
      </c>
      <c r="C3809" t="s">
        <v>507</v>
      </c>
      <c r="D3809" t="s">
        <v>508</v>
      </c>
      <c r="E3809" t="s">
        <v>26</v>
      </c>
      <c r="F3809" t="s">
        <v>27</v>
      </c>
      <c r="G3809" t="s">
        <v>28</v>
      </c>
      <c r="H3809" t="s">
        <v>29</v>
      </c>
      <c r="I3809" t="s">
        <v>47</v>
      </c>
      <c r="J3809">
        <v>1</v>
      </c>
      <c r="K3809">
        <v>6800</v>
      </c>
      <c r="L3809">
        <v>0.15</v>
      </c>
      <c r="M3809">
        <v>5780</v>
      </c>
      <c r="N3809">
        <v>4700</v>
      </c>
      <c r="O3809">
        <v>1080</v>
      </c>
    </row>
    <row r="3810" spans="1:15" x14ac:dyDescent="0.25">
      <c r="A3810" t="s">
        <v>4875</v>
      </c>
      <c r="B3810" s="2">
        <v>49466</v>
      </c>
      <c r="C3810" t="s">
        <v>491</v>
      </c>
      <c r="D3810" t="s">
        <v>492</v>
      </c>
      <c r="E3810" t="s">
        <v>26</v>
      </c>
      <c r="F3810" t="s">
        <v>34</v>
      </c>
      <c r="G3810" t="s">
        <v>51</v>
      </c>
      <c r="H3810" t="s">
        <v>52</v>
      </c>
      <c r="I3810" t="s">
        <v>53</v>
      </c>
      <c r="J3810">
        <v>3</v>
      </c>
      <c r="K3810">
        <v>2200</v>
      </c>
      <c r="L3810">
        <v>0.15</v>
      </c>
      <c r="M3810">
        <v>5610</v>
      </c>
      <c r="N3810">
        <v>4350</v>
      </c>
      <c r="O3810">
        <v>1260</v>
      </c>
    </row>
    <row r="3811" spans="1:15" x14ac:dyDescent="0.25">
      <c r="A3811" t="s">
        <v>4876</v>
      </c>
      <c r="B3811" s="2">
        <v>49467</v>
      </c>
      <c r="C3811" t="s">
        <v>524</v>
      </c>
      <c r="D3811" t="s">
        <v>525</v>
      </c>
      <c r="E3811" t="s">
        <v>26</v>
      </c>
      <c r="F3811" t="s">
        <v>27</v>
      </c>
      <c r="G3811" t="s">
        <v>20</v>
      </c>
      <c r="H3811" t="s">
        <v>84</v>
      </c>
      <c r="I3811" t="s">
        <v>169</v>
      </c>
      <c r="J3811">
        <v>2</v>
      </c>
      <c r="K3811">
        <v>450</v>
      </c>
      <c r="L3811">
        <v>0.05</v>
      </c>
      <c r="M3811">
        <v>855</v>
      </c>
      <c r="N3811">
        <v>520</v>
      </c>
      <c r="O3811">
        <v>335</v>
      </c>
    </row>
    <row r="3812" spans="1:15" x14ac:dyDescent="0.25">
      <c r="A3812" t="s">
        <v>4877</v>
      </c>
      <c r="B3812" s="2">
        <v>49468</v>
      </c>
      <c r="C3812" t="s">
        <v>430</v>
      </c>
      <c r="D3812" t="s">
        <v>431</v>
      </c>
      <c r="E3812" t="s">
        <v>26</v>
      </c>
      <c r="F3812" t="s">
        <v>128</v>
      </c>
      <c r="G3812" t="s">
        <v>51</v>
      </c>
      <c r="H3812" t="s">
        <v>89</v>
      </c>
      <c r="I3812" t="s">
        <v>90</v>
      </c>
      <c r="J3812">
        <v>2</v>
      </c>
      <c r="K3812">
        <v>10500</v>
      </c>
      <c r="L3812">
        <v>0.15</v>
      </c>
      <c r="M3812">
        <v>17850</v>
      </c>
      <c r="N3812">
        <v>15200</v>
      </c>
      <c r="O3812">
        <v>2650</v>
      </c>
    </row>
    <row r="3813" spans="1:15" x14ac:dyDescent="0.25">
      <c r="A3813" t="s">
        <v>4878</v>
      </c>
      <c r="B3813" s="2">
        <v>49469</v>
      </c>
      <c r="C3813" t="s">
        <v>1259</v>
      </c>
      <c r="D3813" t="s">
        <v>1260</v>
      </c>
      <c r="E3813" t="s">
        <v>26</v>
      </c>
      <c r="F3813" t="s">
        <v>34</v>
      </c>
      <c r="G3813" t="s">
        <v>20</v>
      </c>
      <c r="H3813" t="s">
        <v>84</v>
      </c>
      <c r="I3813" t="s">
        <v>169</v>
      </c>
      <c r="J3813">
        <v>5</v>
      </c>
      <c r="K3813">
        <v>450</v>
      </c>
      <c r="L3813">
        <v>0.25</v>
      </c>
      <c r="M3813">
        <v>1687.5</v>
      </c>
      <c r="N3813">
        <v>1300</v>
      </c>
      <c r="O3813">
        <v>387.5</v>
      </c>
    </row>
    <row r="3814" spans="1:15" x14ac:dyDescent="0.25">
      <c r="A3814" t="s">
        <v>4879</v>
      </c>
      <c r="B3814" s="2">
        <v>49470</v>
      </c>
      <c r="C3814" t="s">
        <v>647</v>
      </c>
      <c r="D3814" t="s">
        <v>648</v>
      </c>
      <c r="E3814" t="s">
        <v>26</v>
      </c>
      <c r="F3814" t="s">
        <v>204</v>
      </c>
      <c r="G3814" t="s">
        <v>51</v>
      </c>
      <c r="H3814" t="s">
        <v>21</v>
      </c>
      <c r="I3814" t="s">
        <v>80</v>
      </c>
      <c r="J3814">
        <v>2</v>
      </c>
      <c r="K3814">
        <v>850</v>
      </c>
      <c r="L3814">
        <v>0.15</v>
      </c>
      <c r="M3814">
        <v>1445</v>
      </c>
      <c r="N3814">
        <v>1120</v>
      </c>
      <c r="O3814">
        <v>325</v>
      </c>
    </row>
    <row r="3815" spans="1:15" x14ac:dyDescent="0.25">
      <c r="A3815" t="s">
        <v>4880</v>
      </c>
      <c r="B3815" s="2">
        <v>49471</v>
      </c>
      <c r="C3815" t="s">
        <v>1384</v>
      </c>
      <c r="D3815" t="s">
        <v>1385</v>
      </c>
      <c r="E3815" t="s">
        <v>26</v>
      </c>
      <c r="F3815" t="s">
        <v>128</v>
      </c>
      <c r="G3815" t="s">
        <v>51</v>
      </c>
      <c r="H3815" t="s">
        <v>21</v>
      </c>
      <c r="I3815" t="s">
        <v>80</v>
      </c>
      <c r="J3815">
        <v>5</v>
      </c>
      <c r="K3815">
        <v>850</v>
      </c>
      <c r="L3815">
        <v>0.15</v>
      </c>
      <c r="M3815">
        <v>3612.5</v>
      </c>
      <c r="N3815">
        <v>2800</v>
      </c>
      <c r="O3815">
        <v>812.5</v>
      </c>
    </row>
    <row r="3816" spans="1:15" x14ac:dyDescent="0.25">
      <c r="A3816" t="s">
        <v>4881</v>
      </c>
      <c r="B3816" s="2">
        <v>49472</v>
      </c>
      <c r="C3816" t="s">
        <v>990</v>
      </c>
      <c r="D3816" t="s">
        <v>991</v>
      </c>
      <c r="E3816" t="s">
        <v>26</v>
      </c>
      <c r="F3816" t="s">
        <v>34</v>
      </c>
      <c r="G3816" t="s">
        <v>28</v>
      </c>
      <c r="H3816" t="s">
        <v>29</v>
      </c>
      <c r="I3816" t="s">
        <v>30</v>
      </c>
      <c r="J3816">
        <v>3</v>
      </c>
      <c r="K3816">
        <v>1900</v>
      </c>
      <c r="L3816">
        <v>0.2</v>
      </c>
      <c r="M3816">
        <v>4560</v>
      </c>
      <c r="N3816">
        <v>3750</v>
      </c>
      <c r="O3816">
        <v>810</v>
      </c>
    </row>
    <row r="3817" spans="1:15" x14ac:dyDescent="0.25">
      <c r="A3817" t="s">
        <v>4882</v>
      </c>
      <c r="B3817" s="2">
        <v>49473</v>
      </c>
      <c r="C3817" t="s">
        <v>766</v>
      </c>
      <c r="D3817" t="s">
        <v>767</v>
      </c>
      <c r="E3817" t="s">
        <v>96</v>
      </c>
      <c r="F3817" t="s">
        <v>120</v>
      </c>
      <c r="G3817" t="s">
        <v>51</v>
      </c>
      <c r="H3817" t="s">
        <v>52</v>
      </c>
      <c r="I3817" t="s">
        <v>53</v>
      </c>
      <c r="J3817">
        <v>5</v>
      </c>
      <c r="K3817">
        <v>2200</v>
      </c>
      <c r="L3817">
        <v>0</v>
      </c>
      <c r="M3817">
        <v>11000</v>
      </c>
      <c r="N3817">
        <v>7250</v>
      </c>
      <c r="O3817">
        <v>3750</v>
      </c>
    </row>
    <row r="3818" spans="1:15" x14ac:dyDescent="0.25">
      <c r="A3818" t="s">
        <v>4883</v>
      </c>
      <c r="B3818" s="2">
        <v>49474</v>
      </c>
      <c r="C3818" t="s">
        <v>1111</v>
      </c>
      <c r="D3818" t="s">
        <v>1112</v>
      </c>
      <c r="E3818" t="s">
        <v>39</v>
      </c>
      <c r="F3818" t="s">
        <v>124</v>
      </c>
      <c r="G3818" t="s">
        <v>20</v>
      </c>
      <c r="H3818" t="s">
        <v>21</v>
      </c>
      <c r="I3818" t="s">
        <v>22</v>
      </c>
      <c r="J3818">
        <v>4</v>
      </c>
      <c r="K3818">
        <v>650</v>
      </c>
      <c r="L3818">
        <v>0.15</v>
      </c>
      <c r="M3818">
        <v>2210</v>
      </c>
      <c r="N3818">
        <v>1560</v>
      </c>
      <c r="O3818">
        <v>650</v>
      </c>
    </row>
    <row r="3819" spans="1:15" x14ac:dyDescent="0.25">
      <c r="A3819" t="s">
        <v>4884</v>
      </c>
      <c r="B3819" s="2">
        <v>49475</v>
      </c>
      <c r="C3819" t="s">
        <v>3142</v>
      </c>
      <c r="D3819" t="s">
        <v>3143</v>
      </c>
      <c r="E3819" t="s">
        <v>96</v>
      </c>
      <c r="F3819" t="s">
        <v>200</v>
      </c>
      <c r="G3819" t="s">
        <v>20</v>
      </c>
      <c r="H3819" t="s">
        <v>84</v>
      </c>
      <c r="I3819" t="s">
        <v>85</v>
      </c>
      <c r="J3819">
        <v>5</v>
      </c>
      <c r="K3819">
        <v>280</v>
      </c>
      <c r="L3819">
        <v>0.15</v>
      </c>
      <c r="M3819">
        <v>1190</v>
      </c>
      <c r="N3819">
        <v>800</v>
      </c>
      <c r="O3819">
        <v>390</v>
      </c>
    </row>
    <row r="3820" spans="1:15" x14ac:dyDescent="0.25">
      <c r="A3820" t="s">
        <v>4885</v>
      </c>
      <c r="B3820" s="2">
        <v>49476</v>
      </c>
      <c r="C3820" t="s">
        <v>427</v>
      </c>
      <c r="D3820" t="s">
        <v>428</v>
      </c>
      <c r="E3820" t="s">
        <v>39</v>
      </c>
      <c r="F3820" t="s">
        <v>76</v>
      </c>
      <c r="G3820" t="s">
        <v>51</v>
      </c>
      <c r="H3820" t="s">
        <v>21</v>
      </c>
      <c r="I3820" t="s">
        <v>80</v>
      </c>
      <c r="J3820">
        <v>1</v>
      </c>
      <c r="K3820">
        <v>850</v>
      </c>
      <c r="L3820">
        <v>0.05</v>
      </c>
      <c r="M3820">
        <v>807.5</v>
      </c>
      <c r="N3820">
        <v>560</v>
      </c>
      <c r="O3820">
        <v>247.5</v>
      </c>
    </row>
    <row r="3821" spans="1:15" x14ac:dyDescent="0.25">
      <c r="A3821" t="s">
        <v>4886</v>
      </c>
      <c r="B3821" s="2">
        <v>49477</v>
      </c>
      <c r="C3821" t="s">
        <v>831</v>
      </c>
      <c r="D3821" t="s">
        <v>832</v>
      </c>
      <c r="E3821" t="s">
        <v>26</v>
      </c>
      <c r="F3821" t="s">
        <v>128</v>
      </c>
      <c r="G3821" t="s">
        <v>51</v>
      </c>
      <c r="H3821" t="s">
        <v>52</v>
      </c>
      <c r="I3821" t="s">
        <v>208</v>
      </c>
      <c r="J3821">
        <v>1</v>
      </c>
      <c r="K3821">
        <v>2800</v>
      </c>
      <c r="L3821">
        <v>0.05</v>
      </c>
      <c r="M3821">
        <v>2660</v>
      </c>
      <c r="N3821">
        <v>1800</v>
      </c>
      <c r="O3821">
        <v>860</v>
      </c>
    </row>
    <row r="3822" spans="1:15" x14ac:dyDescent="0.25">
      <c r="A3822" t="s">
        <v>4887</v>
      </c>
      <c r="B3822" s="2">
        <v>49478</v>
      </c>
      <c r="C3822" t="s">
        <v>2924</v>
      </c>
      <c r="D3822" t="s">
        <v>2925</v>
      </c>
      <c r="E3822" t="s">
        <v>96</v>
      </c>
      <c r="F3822" t="s">
        <v>97</v>
      </c>
      <c r="G3822" t="s">
        <v>28</v>
      </c>
      <c r="H3822" t="s">
        <v>29</v>
      </c>
      <c r="I3822" t="s">
        <v>30</v>
      </c>
      <c r="J3822">
        <v>2</v>
      </c>
      <c r="K3822">
        <v>1900</v>
      </c>
      <c r="L3822">
        <v>0.1</v>
      </c>
      <c r="M3822">
        <v>3420</v>
      </c>
      <c r="N3822">
        <v>2500</v>
      </c>
      <c r="O3822">
        <v>920</v>
      </c>
    </row>
    <row r="3823" spans="1:15" x14ac:dyDescent="0.25">
      <c r="A3823" t="s">
        <v>4888</v>
      </c>
      <c r="B3823" s="2">
        <v>49479</v>
      </c>
      <c r="C3823" t="s">
        <v>24</v>
      </c>
      <c r="D3823" t="s">
        <v>25</v>
      </c>
      <c r="E3823" t="s">
        <v>18</v>
      </c>
      <c r="F3823" t="s">
        <v>94</v>
      </c>
      <c r="G3823" t="s">
        <v>57</v>
      </c>
      <c r="H3823" t="s">
        <v>188</v>
      </c>
      <c r="I3823" t="s">
        <v>189</v>
      </c>
      <c r="J3823">
        <v>4</v>
      </c>
      <c r="K3823">
        <v>6200</v>
      </c>
      <c r="L3823">
        <v>0</v>
      </c>
      <c r="M3823">
        <v>24800</v>
      </c>
      <c r="N3823">
        <v>17200</v>
      </c>
      <c r="O3823">
        <v>7600</v>
      </c>
    </row>
    <row r="3824" spans="1:15" x14ac:dyDescent="0.25">
      <c r="A3824" t="s">
        <v>4889</v>
      </c>
      <c r="B3824" s="2">
        <v>49480</v>
      </c>
      <c r="C3824" t="s">
        <v>573</v>
      </c>
      <c r="D3824" t="s">
        <v>574</v>
      </c>
      <c r="E3824" t="s">
        <v>26</v>
      </c>
      <c r="F3824" t="s">
        <v>27</v>
      </c>
      <c r="G3824" t="s">
        <v>28</v>
      </c>
      <c r="H3824" t="s">
        <v>29</v>
      </c>
      <c r="I3824" t="s">
        <v>35</v>
      </c>
      <c r="J3824">
        <v>5</v>
      </c>
      <c r="K3824">
        <v>4200</v>
      </c>
      <c r="L3824">
        <v>0.15</v>
      </c>
      <c r="M3824">
        <v>17850</v>
      </c>
      <c r="N3824">
        <v>14500</v>
      </c>
      <c r="O3824">
        <v>3350</v>
      </c>
    </row>
    <row r="3825" spans="1:15" x14ac:dyDescent="0.25">
      <c r="A3825" t="s">
        <v>4890</v>
      </c>
      <c r="B3825" s="2">
        <v>49481</v>
      </c>
      <c r="C3825" t="s">
        <v>131</v>
      </c>
      <c r="D3825" t="s">
        <v>132</v>
      </c>
      <c r="E3825" t="s">
        <v>26</v>
      </c>
      <c r="F3825" t="s">
        <v>128</v>
      </c>
      <c r="G3825" t="s">
        <v>51</v>
      </c>
      <c r="H3825" t="s">
        <v>21</v>
      </c>
      <c r="I3825" t="s">
        <v>80</v>
      </c>
      <c r="J3825">
        <v>3</v>
      </c>
      <c r="K3825">
        <v>850</v>
      </c>
      <c r="L3825">
        <v>0.1</v>
      </c>
      <c r="M3825">
        <v>2295</v>
      </c>
      <c r="N3825">
        <v>1680</v>
      </c>
      <c r="O3825">
        <v>615</v>
      </c>
    </row>
    <row r="3826" spans="1:15" x14ac:dyDescent="0.25">
      <c r="A3826" t="s">
        <v>4891</v>
      </c>
      <c r="B3826" s="2">
        <v>49482</v>
      </c>
      <c r="C3826" t="s">
        <v>1268</v>
      </c>
      <c r="D3826" t="s">
        <v>1269</v>
      </c>
      <c r="E3826" t="s">
        <v>26</v>
      </c>
      <c r="F3826" t="s">
        <v>27</v>
      </c>
      <c r="G3826" t="s">
        <v>28</v>
      </c>
      <c r="H3826" t="s">
        <v>29</v>
      </c>
      <c r="I3826" t="s">
        <v>30</v>
      </c>
      <c r="J3826">
        <v>5</v>
      </c>
      <c r="K3826">
        <v>1900</v>
      </c>
      <c r="L3826">
        <v>0.1</v>
      </c>
      <c r="M3826">
        <v>8550</v>
      </c>
      <c r="N3826">
        <v>6250</v>
      </c>
      <c r="O3826">
        <v>2300</v>
      </c>
    </row>
    <row r="3827" spans="1:15" x14ac:dyDescent="0.25">
      <c r="A3827" t="s">
        <v>4892</v>
      </c>
      <c r="B3827" s="2">
        <v>49483</v>
      </c>
      <c r="C3827" t="s">
        <v>1448</v>
      </c>
      <c r="D3827" t="s">
        <v>1449</v>
      </c>
      <c r="E3827" t="s">
        <v>39</v>
      </c>
      <c r="F3827" t="s">
        <v>40</v>
      </c>
      <c r="G3827" t="s">
        <v>20</v>
      </c>
      <c r="H3827" t="s">
        <v>84</v>
      </c>
      <c r="I3827" t="s">
        <v>85</v>
      </c>
      <c r="J3827">
        <v>4</v>
      </c>
      <c r="K3827">
        <v>280</v>
      </c>
      <c r="L3827">
        <v>0.15</v>
      </c>
      <c r="M3827">
        <v>952</v>
      </c>
      <c r="N3827">
        <v>640</v>
      </c>
      <c r="O3827">
        <v>312</v>
      </c>
    </row>
    <row r="3828" spans="1:15" x14ac:dyDescent="0.25">
      <c r="A3828" t="s">
        <v>4893</v>
      </c>
      <c r="B3828" s="2">
        <v>49484</v>
      </c>
      <c r="C3828" t="s">
        <v>180</v>
      </c>
      <c r="D3828" t="s">
        <v>181</v>
      </c>
      <c r="E3828" t="s">
        <v>96</v>
      </c>
      <c r="F3828" t="s">
        <v>120</v>
      </c>
      <c r="G3828" t="s">
        <v>51</v>
      </c>
      <c r="H3828" t="s">
        <v>52</v>
      </c>
      <c r="I3828" t="s">
        <v>208</v>
      </c>
      <c r="J3828">
        <v>4</v>
      </c>
      <c r="K3828">
        <v>2800</v>
      </c>
      <c r="L3828">
        <v>0.15</v>
      </c>
      <c r="M3828">
        <v>9520</v>
      </c>
      <c r="N3828">
        <v>7200</v>
      </c>
      <c r="O3828">
        <v>2320</v>
      </c>
    </row>
    <row r="3829" spans="1:15" x14ac:dyDescent="0.25">
      <c r="A3829" t="s">
        <v>4894</v>
      </c>
      <c r="B3829" s="2">
        <v>49485</v>
      </c>
      <c r="C3829" t="s">
        <v>899</v>
      </c>
      <c r="D3829" t="s">
        <v>900</v>
      </c>
      <c r="E3829" t="s">
        <v>39</v>
      </c>
      <c r="F3829" t="s">
        <v>124</v>
      </c>
      <c r="G3829" t="s">
        <v>51</v>
      </c>
      <c r="H3829" t="s">
        <v>21</v>
      </c>
      <c r="I3829" t="s">
        <v>80</v>
      </c>
      <c r="J3829">
        <v>4</v>
      </c>
      <c r="K3829">
        <v>850</v>
      </c>
      <c r="L3829">
        <v>0.15</v>
      </c>
      <c r="M3829">
        <v>2890</v>
      </c>
      <c r="N3829">
        <v>2240</v>
      </c>
      <c r="O3829">
        <v>650</v>
      </c>
    </row>
    <row r="3830" spans="1:15" x14ac:dyDescent="0.25">
      <c r="A3830" t="s">
        <v>4895</v>
      </c>
      <c r="B3830" s="2">
        <v>49486</v>
      </c>
      <c r="C3830" t="s">
        <v>225</v>
      </c>
      <c r="D3830" t="s">
        <v>226</v>
      </c>
      <c r="E3830" t="s">
        <v>96</v>
      </c>
      <c r="F3830" t="s">
        <v>120</v>
      </c>
      <c r="G3830" t="s">
        <v>51</v>
      </c>
      <c r="H3830" t="s">
        <v>52</v>
      </c>
      <c r="I3830" t="s">
        <v>53</v>
      </c>
      <c r="J3830">
        <v>4</v>
      </c>
      <c r="K3830">
        <v>2200</v>
      </c>
      <c r="L3830">
        <v>0.2</v>
      </c>
      <c r="M3830">
        <v>7040</v>
      </c>
      <c r="N3830">
        <v>5800</v>
      </c>
      <c r="O3830">
        <v>1240</v>
      </c>
    </row>
    <row r="3831" spans="1:15" x14ac:dyDescent="0.25">
      <c r="A3831" t="s">
        <v>4896</v>
      </c>
      <c r="B3831" s="2">
        <v>49487</v>
      </c>
      <c r="C3831" t="s">
        <v>2102</v>
      </c>
      <c r="D3831" t="s">
        <v>2103</v>
      </c>
      <c r="E3831" t="s">
        <v>26</v>
      </c>
      <c r="F3831" t="s">
        <v>46</v>
      </c>
      <c r="G3831" t="s">
        <v>28</v>
      </c>
      <c r="H3831" t="s">
        <v>29</v>
      </c>
      <c r="I3831" t="s">
        <v>30</v>
      </c>
      <c r="J3831">
        <v>5</v>
      </c>
      <c r="K3831">
        <v>1900</v>
      </c>
      <c r="L3831">
        <v>0.1</v>
      </c>
      <c r="M3831">
        <v>8550</v>
      </c>
      <c r="N3831">
        <v>6250</v>
      </c>
      <c r="O3831">
        <v>2300</v>
      </c>
    </row>
    <row r="3832" spans="1:15" x14ac:dyDescent="0.25">
      <c r="A3832" t="s">
        <v>4897</v>
      </c>
      <c r="B3832" s="2">
        <v>49488</v>
      </c>
      <c r="C3832" t="s">
        <v>281</v>
      </c>
      <c r="D3832" t="s">
        <v>282</v>
      </c>
      <c r="E3832" t="s">
        <v>39</v>
      </c>
      <c r="F3832" t="s">
        <v>76</v>
      </c>
      <c r="G3832" t="s">
        <v>51</v>
      </c>
      <c r="H3832" t="s">
        <v>21</v>
      </c>
      <c r="I3832" t="s">
        <v>72</v>
      </c>
      <c r="J3832">
        <v>5</v>
      </c>
      <c r="K3832">
        <v>1800</v>
      </c>
      <c r="L3832">
        <v>0.05</v>
      </c>
      <c r="M3832">
        <v>8550</v>
      </c>
      <c r="N3832">
        <v>5500</v>
      </c>
      <c r="O3832">
        <v>3050</v>
      </c>
    </row>
    <row r="3833" spans="1:15" x14ac:dyDescent="0.25">
      <c r="A3833" t="s">
        <v>4898</v>
      </c>
      <c r="B3833" s="2">
        <v>49489</v>
      </c>
      <c r="C3833" t="s">
        <v>248</v>
      </c>
      <c r="D3833" t="s">
        <v>249</v>
      </c>
      <c r="E3833" t="s">
        <v>26</v>
      </c>
      <c r="F3833" t="s">
        <v>204</v>
      </c>
      <c r="G3833" t="s">
        <v>51</v>
      </c>
      <c r="H3833" t="s">
        <v>21</v>
      </c>
      <c r="I3833" t="s">
        <v>80</v>
      </c>
      <c r="J3833">
        <v>4</v>
      </c>
      <c r="K3833">
        <v>850</v>
      </c>
      <c r="L3833">
        <v>0.05</v>
      </c>
      <c r="M3833">
        <v>3230</v>
      </c>
      <c r="N3833">
        <v>2240</v>
      </c>
      <c r="O3833">
        <v>990</v>
      </c>
    </row>
    <row r="3834" spans="1:15" x14ac:dyDescent="0.25">
      <c r="A3834" t="s">
        <v>4899</v>
      </c>
      <c r="B3834" s="2">
        <v>49490</v>
      </c>
      <c r="C3834" t="s">
        <v>1253</v>
      </c>
      <c r="D3834" t="s">
        <v>1254</v>
      </c>
      <c r="E3834" t="s">
        <v>26</v>
      </c>
      <c r="F3834" t="s">
        <v>128</v>
      </c>
      <c r="G3834" t="s">
        <v>57</v>
      </c>
      <c r="H3834" t="s">
        <v>58</v>
      </c>
      <c r="I3834" t="s">
        <v>59</v>
      </c>
      <c r="J3834">
        <v>2</v>
      </c>
      <c r="K3834">
        <v>5600</v>
      </c>
      <c r="L3834">
        <v>0.05</v>
      </c>
      <c r="M3834">
        <v>10640</v>
      </c>
      <c r="N3834">
        <v>7800</v>
      </c>
      <c r="O3834">
        <v>2840</v>
      </c>
    </row>
    <row r="3835" spans="1:15" x14ac:dyDescent="0.25">
      <c r="A3835" t="s">
        <v>4900</v>
      </c>
      <c r="B3835" s="2">
        <v>49491</v>
      </c>
      <c r="C3835" t="s">
        <v>1037</v>
      </c>
      <c r="D3835" t="s">
        <v>1038</v>
      </c>
      <c r="E3835" t="s">
        <v>18</v>
      </c>
      <c r="F3835" t="s">
        <v>227</v>
      </c>
      <c r="G3835" t="s">
        <v>28</v>
      </c>
      <c r="H3835" t="s">
        <v>29</v>
      </c>
      <c r="I3835" t="s">
        <v>30</v>
      </c>
      <c r="J3835">
        <v>1</v>
      </c>
      <c r="K3835">
        <v>1900</v>
      </c>
      <c r="L3835">
        <v>0.1</v>
      </c>
      <c r="M3835">
        <v>1710</v>
      </c>
      <c r="N3835">
        <v>1250</v>
      </c>
      <c r="O3835">
        <v>460</v>
      </c>
    </row>
    <row r="3836" spans="1:15" x14ac:dyDescent="0.25">
      <c r="A3836" t="s">
        <v>4901</v>
      </c>
      <c r="B3836" s="2">
        <v>49492</v>
      </c>
      <c r="C3836" t="s">
        <v>102</v>
      </c>
      <c r="D3836" t="s">
        <v>103</v>
      </c>
      <c r="E3836" t="s">
        <v>39</v>
      </c>
      <c r="F3836" t="s">
        <v>40</v>
      </c>
      <c r="G3836" t="s">
        <v>20</v>
      </c>
      <c r="H3836" t="s">
        <v>21</v>
      </c>
      <c r="I3836" t="s">
        <v>22</v>
      </c>
      <c r="J3836">
        <v>3</v>
      </c>
      <c r="K3836">
        <v>650</v>
      </c>
      <c r="L3836">
        <v>0.05</v>
      </c>
      <c r="M3836">
        <v>1852.5</v>
      </c>
      <c r="N3836">
        <v>1170</v>
      </c>
      <c r="O3836">
        <v>682.5</v>
      </c>
    </row>
    <row r="3837" spans="1:15" x14ac:dyDescent="0.25">
      <c r="A3837" t="s">
        <v>4902</v>
      </c>
      <c r="B3837" s="2">
        <v>49493</v>
      </c>
      <c r="C3837" t="s">
        <v>327</v>
      </c>
      <c r="D3837" t="s">
        <v>328</v>
      </c>
      <c r="E3837" t="s">
        <v>26</v>
      </c>
      <c r="F3837" t="s">
        <v>128</v>
      </c>
      <c r="G3837" t="s">
        <v>20</v>
      </c>
      <c r="H3837" t="s">
        <v>41</v>
      </c>
      <c r="I3837" t="s">
        <v>42</v>
      </c>
      <c r="J3837">
        <v>3</v>
      </c>
      <c r="K3837">
        <v>520</v>
      </c>
      <c r="L3837">
        <v>0.1</v>
      </c>
      <c r="M3837">
        <v>1404</v>
      </c>
      <c r="N3837">
        <v>990</v>
      </c>
      <c r="O3837">
        <v>414</v>
      </c>
    </row>
    <row r="3838" spans="1:15" x14ac:dyDescent="0.25">
      <c r="A3838" t="s">
        <v>4903</v>
      </c>
      <c r="B3838" s="2">
        <v>49494</v>
      </c>
      <c r="C3838" t="s">
        <v>252</v>
      </c>
      <c r="D3838" t="s">
        <v>253</v>
      </c>
      <c r="E3838" t="s">
        <v>96</v>
      </c>
      <c r="F3838" t="s">
        <v>97</v>
      </c>
      <c r="G3838" t="s">
        <v>51</v>
      </c>
      <c r="H3838" t="s">
        <v>21</v>
      </c>
      <c r="I3838" t="s">
        <v>72</v>
      </c>
      <c r="J3838">
        <v>3</v>
      </c>
      <c r="K3838">
        <v>1800</v>
      </c>
      <c r="L3838">
        <v>0</v>
      </c>
      <c r="M3838">
        <v>5400</v>
      </c>
      <c r="N3838">
        <v>3300</v>
      </c>
      <c r="O3838">
        <v>2100</v>
      </c>
    </row>
    <row r="3839" spans="1:15" x14ac:dyDescent="0.25">
      <c r="A3839" t="s">
        <v>4904</v>
      </c>
      <c r="B3839" s="2">
        <v>49495</v>
      </c>
      <c r="C3839" t="s">
        <v>969</v>
      </c>
      <c r="D3839" t="s">
        <v>970</v>
      </c>
      <c r="E3839" t="s">
        <v>39</v>
      </c>
      <c r="F3839" t="s">
        <v>40</v>
      </c>
      <c r="G3839" t="s">
        <v>51</v>
      </c>
      <c r="H3839" t="s">
        <v>52</v>
      </c>
      <c r="I3839" t="s">
        <v>208</v>
      </c>
      <c r="J3839">
        <v>5</v>
      </c>
      <c r="K3839">
        <v>2800</v>
      </c>
      <c r="L3839">
        <v>0.05</v>
      </c>
      <c r="M3839">
        <v>13300</v>
      </c>
      <c r="N3839">
        <v>9000</v>
      </c>
      <c r="O3839">
        <v>4300</v>
      </c>
    </row>
    <row r="3840" spans="1:15" x14ac:dyDescent="0.25">
      <c r="A3840" t="s">
        <v>4905</v>
      </c>
      <c r="B3840" s="2">
        <v>49496</v>
      </c>
      <c r="C3840" t="s">
        <v>703</v>
      </c>
      <c r="D3840" t="s">
        <v>704</v>
      </c>
      <c r="E3840" t="s">
        <v>26</v>
      </c>
      <c r="F3840" t="s">
        <v>27</v>
      </c>
      <c r="G3840" t="s">
        <v>20</v>
      </c>
      <c r="H3840" t="s">
        <v>84</v>
      </c>
      <c r="I3840" t="s">
        <v>169</v>
      </c>
      <c r="J3840">
        <v>2</v>
      </c>
      <c r="K3840">
        <v>450</v>
      </c>
      <c r="L3840">
        <v>0.05</v>
      </c>
      <c r="M3840">
        <v>855</v>
      </c>
      <c r="N3840">
        <v>520</v>
      </c>
      <c r="O3840">
        <v>335</v>
      </c>
    </row>
    <row r="3841" spans="1:15" x14ac:dyDescent="0.25">
      <c r="A3841" t="s">
        <v>4906</v>
      </c>
      <c r="B3841" s="2">
        <v>49497</v>
      </c>
      <c r="C3841" t="s">
        <v>78</v>
      </c>
      <c r="D3841" t="s">
        <v>79</v>
      </c>
      <c r="E3841" t="s">
        <v>26</v>
      </c>
      <c r="F3841" t="s">
        <v>27</v>
      </c>
      <c r="G3841" t="s">
        <v>20</v>
      </c>
      <c r="H3841" t="s">
        <v>21</v>
      </c>
      <c r="I3841" t="s">
        <v>22</v>
      </c>
      <c r="J3841">
        <v>3</v>
      </c>
      <c r="K3841">
        <v>650</v>
      </c>
      <c r="L3841">
        <v>0.1</v>
      </c>
      <c r="M3841">
        <v>1755</v>
      </c>
      <c r="N3841">
        <v>1170</v>
      </c>
      <c r="O3841">
        <v>585</v>
      </c>
    </row>
    <row r="3842" spans="1:15" x14ac:dyDescent="0.25">
      <c r="A3842" t="s">
        <v>4907</v>
      </c>
      <c r="B3842" s="2">
        <v>49498</v>
      </c>
      <c r="C3842" t="s">
        <v>66</v>
      </c>
      <c r="D3842" t="s">
        <v>67</v>
      </c>
      <c r="E3842" t="s">
        <v>96</v>
      </c>
      <c r="F3842" t="s">
        <v>120</v>
      </c>
      <c r="G3842" t="s">
        <v>28</v>
      </c>
      <c r="H3842" t="s">
        <v>29</v>
      </c>
      <c r="I3842" t="s">
        <v>47</v>
      </c>
      <c r="J3842">
        <v>4</v>
      </c>
      <c r="K3842">
        <v>6800</v>
      </c>
      <c r="L3842">
        <v>0.2</v>
      </c>
      <c r="M3842">
        <v>21760</v>
      </c>
      <c r="N3842">
        <v>18800</v>
      </c>
      <c r="O3842">
        <v>2960</v>
      </c>
    </row>
    <row r="3843" spans="1:15" x14ac:dyDescent="0.25">
      <c r="A3843" t="s">
        <v>4908</v>
      </c>
      <c r="B3843" s="2">
        <v>49499</v>
      </c>
      <c r="C3843" t="s">
        <v>504</v>
      </c>
      <c r="D3843" t="s">
        <v>505</v>
      </c>
      <c r="E3843" t="s">
        <v>39</v>
      </c>
      <c r="F3843" t="s">
        <v>76</v>
      </c>
      <c r="G3843" t="s">
        <v>20</v>
      </c>
      <c r="H3843" t="s">
        <v>41</v>
      </c>
      <c r="I3843" t="s">
        <v>42</v>
      </c>
      <c r="J3843">
        <v>2</v>
      </c>
      <c r="K3843">
        <v>520</v>
      </c>
      <c r="L3843">
        <v>0.2</v>
      </c>
      <c r="M3843">
        <v>832</v>
      </c>
      <c r="N3843">
        <v>660</v>
      </c>
      <c r="O3843">
        <v>172</v>
      </c>
    </row>
    <row r="3844" spans="1:15" x14ac:dyDescent="0.25">
      <c r="A3844" t="s">
        <v>4909</v>
      </c>
      <c r="B3844" s="2">
        <v>49500</v>
      </c>
      <c r="C3844" t="s">
        <v>3080</v>
      </c>
      <c r="D3844" t="s">
        <v>3081</v>
      </c>
      <c r="E3844" t="s">
        <v>96</v>
      </c>
      <c r="F3844" t="s">
        <v>97</v>
      </c>
      <c r="G3844" t="s">
        <v>57</v>
      </c>
      <c r="H3844" t="s">
        <v>58</v>
      </c>
      <c r="I3844" t="s">
        <v>59</v>
      </c>
      <c r="J3844">
        <v>2</v>
      </c>
      <c r="K3844">
        <v>5600</v>
      </c>
      <c r="L3844">
        <v>0.1</v>
      </c>
      <c r="M3844">
        <v>10080</v>
      </c>
      <c r="N3844">
        <v>7800</v>
      </c>
      <c r="O3844">
        <v>2280</v>
      </c>
    </row>
    <row r="3845" spans="1:15" x14ac:dyDescent="0.25">
      <c r="A3845" t="s">
        <v>4910</v>
      </c>
      <c r="B3845" s="2">
        <v>49501</v>
      </c>
      <c r="C3845" t="s">
        <v>456</v>
      </c>
      <c r="D3845" t="s">
        <v>457</v>
      </c>
      <c r="E3845" t="s">
        <v>26</v>
      </c>
      <c r="F3845" t="s">
        <v>128</v>
      </c>
      <c r="G3845" t="s">
        <v>51</v>
      </c>
      <c r="H3845" t="s">
        <v>52</v>
      </c>
      <c r="I3845" t="s">
        <v>53</v>
      </c>
      <c r="J3845">
        <v>4</v>
      </c>
      <c r="K3845">
        <v>2200</v>
      </c>
      <c r="L3845">
        <v>0</v>
      </c>
      <c r="M3845">
        <v>8800</v>
      </c>
      <c r="N3845">
        <v>5800</v>
      </c>
      <c r="O3845">
        <v>3000</v>
      </c>
    </row>
    <row r="3846" spans="1:15" x14ac:dyDescent="0.25">
      <c r="A3846" t="s">
        <v>4911</v>
      </c>
      <c r="B3846" s="2">
        <v>49502</v>
      </c>
      <c r="C3846" t="s">
        <v>1786</v>
      </c>
      <c r="D3846" t="s">
        <v>1787</v>
      </c>
      <c r="E3846" t="s">
        <v>39</v>
      </c>
      <c r="F3846" t="s">
        <v>40</v>
      </c>
      <c r="G3846" t="s">
        <v>20</v>
      </c>
      <c r="H3846" t="s">
        <v>21</v>
      </c>
      <c r="I3846" t="s">
        <v>22</v>
      </c>
      <c r="J3846">
        <v>4</v>
      </c>
      <c r="K3846">
        <v>650</v>
      </c>
      <c r="L3846">
        <v>0.15</v>
      </c>
      <c r="M3846">
        <v>2210</v>
      </c>
      <c r="N3846">
        <v>1560</v>
      </c>
      <c r="O3846">
        <v>650</v>
      </c>
    </row>
    <row r="3847" spans="1:15" x14ac:dyDescent="0.25">
      <c r="A3847" t="s">
        <v>4912</v>
      </c>
      <c r="B3847" s="2">
        <v>49503</v>
      </c>
      <c r="C3847" t="s">
        <v>893</v>
      </c>
      <c r="D3847" t="s">
        <v>894</v>
      </c>
      <c r="E3847" t="s">
        <v>26</v>
      </c>
      <c r="F3847" t="s">
        <v>46</v>
      </c>
      <c r="G3847" t="s">
        <v>57</v>
      </c>
      <c r="H3847" t="s">
        <v>104</v>
      </c>
      <c r="I3847" t="s">
        <v>105</v>
      </c>
      <c r="J3847">
        <v>3</v>
      </c>
      <c r="K3847">
        <v>7500</v>
      </c>
      <c r="L3847">
        <v>0.05</v>
      </c>
      <c r="M3847">
        <v>21375</v>
      </c>
      <c r="N3847">
        <v>15600</v>
      </c>
      <c r="O3847">
        <v>5775</v>
      </c>
    </row>
    <row r="3848" spans="1:15" x14ac:dyDescent="0.25">
      <c r="A3848" t="s">
        <v>4913</v>
      </c>
      <c r="B3848" s="2">
        <v>49504</v>
      </c>
      <c r="C3848" t="s">
        <v>92</v>
      </c>
      <c r="D3848" t="s">
        <v>93</v>
      </c>
      <c r="E3848" t="s">
        <v>26</v>
      </c>
      <c r="F3848" t="s">
        <v>204</v>
      </c>
      <c r="G3848" t="s">
        <v>51</v>
      </c>
      <c r="H3848" t="s">
        <v>21</v>
      </c>
      <c r="I3848" t="s">
        <v>116</v>
      </c>
      <c r="J3848">
        <v>2</v>
      </c>
      <c r="K3848">
        <v>1400</v>
      </c>
      <c r="L3848">
        <v>0.2</v>
      </c>
      <c r="M3848">
        <v>2240</v>
      </c>
      <c r="N3848">
        <v>1800</v>
      </c>
      <c r="O3848">
        <v>440</v>
      </c>
    </row>
    <row r="3849" spans="1:15" x14ac:dyDescent="0.25">
      <c r="A3849" t="s">
        <v>4914</v>
      </c>
      <c r="B3849" s="2">
        <v>49505</v>
      </c>
      <c r="C3849" t="s">
        <v>1294</v>
      </c>
      <c r="D3849" t="s">
        <v>1295</v>
      </c>
      <c r="E3849" t="s">
        <v>26</v>
      </c>
      <c r="F3849" t="s">
        <v>46</v>
      </c>
      <c r="G3849" t="s">
        <v>57</v>
      </c>
      <c r="H3849" t="s">
        <v>58</v>
      </c>
      <c r="I3849" t="s">
        <v>129</v>
      </c>
      <c r="J3849">
        <v>3</v>
      </c>
      <c r="K3849">
        <v>4800</v>
      </c>
      <c r="L3849">
        <v>0.1</v>
      </c>
      <c r="M3849">
        <v>12960</v>
      </c>
      <c r="N3849">
        <v>9900</v>
      </c>
      <c r="O3849">
        <v>3060</v>
      </c>
    </row>
    <row r="3850" spans="1:15" x14ac:dyDescent="0.25">
      <c r="A3850" t="s">
        <v>4915</v>
      </c>
      <c r="B3850" s="2">
        <v>49506</v>
      </c>
      <c r="C3850" t="s">
        <v>2292</v>
      </c>
      <c r="D3850" t="s">
        <v>2293</v>
      </c>
      <c r="E3850" t="s">
        <v>26</v>
      </c>
      <c r="F3850" t="s">
        <v>46</v>
      </c>
      <c r="G3850" t="s">
        <v>57</v>
      </c>
      <c r="H3850" t="s">
        <v>104</v>
      </c>
      <c r="I3850" t="s">
        <v>105</v>
      </c>
      <c r="J3850">
        <v>2</v>
      </c>
      <c r="K3850">
        <v>7500</v>
      </c>
      <c r="L3850">
        <v>0</v>
      </c>
      <c r="M3850">
        <v>15000</v>
      </c>
      <c r="N3850">
        <v>10400</v>
      </c>
      <c r="O3850">
        <v>4600</v>
      </c>
    </row>
    <row r="3851" spans="1:15" x14ac:dyDescent="0.25">
      <c r="A3851" t="s">
        <v>4916</v>
      </c>
      <c r="B3851" s="2">
        <v>49507</v>
      </c>
      <c r="C3851" t="s">
        <v>997</v>
      </c>
      <c r="D3851" t="s">
        <v>998</v>
      </c>
      <c r="E3851" t="s">
        <v>18</v>
      </c>
      <c r="F3851" t="s">
        <v>94</v>
      </c>
      <c r="G3851" t="s">
        <v>51</v>
      </c>
      <c r="H3851" t="s">
        <v>52</v>
      </c>
      <c r="I3851" t="s">
        <v>208</v>
      </c>
      <c r="J3851">
        <v>5</v>
      </c>
      <c r="K3851">
        <v>2800</v>
      </c>
      <c r="L3851">
        <v>0.25</v>
      </c>
      <c r="M3851">
        <v>10500</v>
      </c>
      <c r="N3851">
        <v>9000</v>
      </c>
      <c r="O3851">
        <v>1500</v>
      </c>
    </row>
    <row r="3852" spans="1:15" x14ac:dyDescent="0.25">
      <c r="A3852" t="s">
        <v>4917</v>
      </c>
      <c r="B3852" s="2">
        <v>49508</v>
      </c>
      <c r="C3852" t="s">
        <v>433</v>
      </c>
      <c r="D3852" t="s">
        <v>434</v>
      </c>
      <c r="E3852" t="s">
        <v>96</v>
      </c>
      <c r="F3852" t="s">
        <v>200</v>
      </c>
      <c r="G3852" t="s">
        <v>20</v>
      </c>
      <c r="H3852" t="s">
        <v>84</v>
      </c>
      <c r="I3852" t="s">
        <v>85</v>
      </c>
      <c r="J3852">
        <v>5</v>
      </c>
      <c r="K3852">
        <v>280</v>
      </c>
      <c r="L3852">
        <v>0</v>
      </c>
      <c r="M3852">
        <v>1400</v>
      </c>
      <c r="N3852">
        <v>800</v>
      </c>
      <c r="O3852">
        <v>600</v>
      </c>
    </row>
    <row r="3853" spans="1:15" x14ac:dyDescent="0.25">
      <c r="A3853" t="s">
        <v>4918</v>
      </c>
      <c r="B3853" s="2">
        <v>49509</v>
      </c>
      <c r="C3853" t="s">
        <v>1847</v>
      </c>
      <c r="D3853" t="s">
        <v>1848</v>
      </c>
      <c r="E3853" t="s">
        <v>39</v>
      </c>
      <c r="F3853" t="s">
        <v>124</v>
      </c>
      <c r="G3853" t="s">
        <v>57</v>
      </c>
      <c r="H3853" t="s">
        <v>188</v>
      </c>
      <c r="I3853" t="s">
        <v>189</v>
      </c>
      <c r="J3853">
        <v>5</v>
      </c>
      <c r="K3853">
        <v>6200</v>
      </c>
      <c r="L3853">
        <v>0.2</v>
      </c>
      <c r="M3853">
        <v>24800</v>
      </c>
      <c r="N3853">
        <v>21500</v>
      </c>
      <c r="O3853">
        <v>3300</v>
      </c>
    </row>
    <row r="3854" spans="1:15" x14ac:dyDescent="0.25">
      <c r="A3854" t="s">
        <v>4919</v>
      </c>
      <c r="B3854" s="2">
        <v>49510</v>
      </c>
      <c r="C3854" t="s">
        <v>44</v>
      </c>
      <c r="D3854" t="s">
        <v>45</v>
      </c>
      <c r="E3854" t="s">
        <v>26</v>
      </c>
      <c r="F3854" t="s">
        <v>46</v>
      </c>
      <c r="G3854" t="s">
        <v>28</v>
      </c>
      <c r="H3854" t="s">
        <v>29</v>
      </c>
      <c r="I3854" t="s">
        <v>35</v>
      </c>
      <c r="J3854">
        <v>2</v>
      </c>
      <c r="K3854">
        <v>4200</v>
      </c>
      <c r="L3854">
        <v>0.1</v>
      </c>
      <c r="M3854">
        <v>7560</v>
      </c>
      <c r="N3854">
        <v>5800</v>
      </c>
      <c r="O3854">
        <v>1760</v>
      </c>
    </row>
    <row r="3855" spans="1:15" x14ac:dyDescent="0.25">
      <c r="A3855" t="s">
        <v>4920</v>
      </c>
      <c r="B3855" s="2">
        <v>49511</v>
      </c>
      <c r="C3855" t="s">
        <v>2052</v>
      </c>
      <c r="D3855" t="s">
        <v>2053</v>
      </c>
      <c r="E3855" t="s">
        <v>39</v>
      </c>
      <c r="F3855" t="s">
        <v>71</v>
      </c>
      <c r="G3855" t="s">
        <v>57</v>
      </c>
      <c r="H3855" t="s">
        <v>104</v>
      </c>
      <c r="I3855" t="s">
        <v>105</v>
      </c>
      <c r="J3855">
        <v>1</v>
      </c>
      <c r="K3855">
        <v>7500</v>
      </c>
      <c r="L3855">
        <v>0</v>
      </c>
      <c r="M3855">
        <v>7500</v>
      </c>
      <c r="N3855">
        <v>5200</v>
      </c>
      <c r="O3855">
        <v>2300</v>
      </c>
    </row>
    <row r="3856" spans="1:15" x14ac:dyDescent="0.25">
      <c r="A3856" t="s">
        <v>4921</v>
      </c>
      <c r="B3856" s="2">
        <v>49512</v>
      </c>
      <c r="C3856" t="s">
        <v>24</v>
      </c>
      <c r="D3856" t="s">
        <v>25</v>
      </c>
      <c r="E3856" t="s">
        <v>26</v>
      </c>
      <c r="F3856" t="s">
        <v>204</v>
      </c>
      <c r="G3856" t="s">
        <v>51</v>
      </c>
      <c r="H3856" t="s">
        <v>21</v>
      </c>
      <c r="I3856" t="s">
        <v>80</v>
      </c>
      <c r="J3856">
        <v>5</v>
      </c>
      <c r="K3856">
        <v>850</v>
      </c>
      <c r="L3856">
        <v>0.05</v>
      </c>
      <c r="M3856">
        <v>4037.5</v>
      </c>
      <c r="N3856">
        <v>2800</v>
      </c>
      <c r="O3856">
        <v>1237.5</v>
      </c>
    </row>
    <row r="3857" spans="1:15" x14ac:dyDescent="0.25">
      <c r="A3857" t="s">
        <v>4922</v>
      </c>
      <c r="B3857" s="2">
        <v>49513</v>
      </c>
      <c r="C3857" t="s">
        <v>2924</v>
      </c>
      <c r="D3857" t="s">
        <v>2925</v>
      </c>
      <c r="E3857" t="s">
        <v>26</v>
      </c>
      <c r="F3857" t="s">
        <v>34</v>
      </c>
      <c r="G3857" t="s">
        <v>20</v>
      </c>
      <c r="H3857" t="s">
        <v>21</v>
      </c>
      <c r="I3857" t="s">
        <v>22</v>
      </c>
      <c r="J3857">
        <v>1</v>
      </c>
      <c r="K3857">
        <v>650</v>
      </c>
      <c r="L3857">
        <v>0.1</v>
      </c>
      <c r="M3857">
        <v>585</v>
      </c>
      <c r="N3857">
        <v>390</v>
      </c>
      <c r="O3857">
        <v>195</v>
      </c>
    </row>
    <row r="3858" spans="1:15" x14ac:dyDescent="0.25">
      <c r="A3858" t="s">
        <v>4923</v>
      </c>
      <c r="B3858" s="2">
        <v>49514</v>
      </c>
      <c r="C3858" t="s">
        <v>1693</v>
      </c>
      <c r="D3858" t="s">
        <v>1694</v>
      </c>
      <c r="E3858" t="s">
        <v>18</v>
      </c>
      <c r="F3858" t="s">
        <v>115</v>
      </c>
      <c r="G3858" t="s">
        <v>20</v>
      </c>
      <c r="H3858" t="s">
        <v>84</v>
      </c>
      <c r="I3858" t="s">
        <v>85</v>
      </c>
      <c r="J3858">
        <v>1</v>
      </c>
      <c r="K3858">
        <v>280</v>
      </c>
      <c r="L3858">
        <v>0.1</v>
      </c>
      <c r="M3858">
        <v>252</v>
      </c>
      <c r="N3858">
        <v>160</v>
      </c>
      <c r="O3858">
        <v>92</v>
      </c>
    </row>
    <row r="3859" spans="1:15" x14ac:dyDescent="0.25">
      <c r="A3859" t="s">
        <v>4924</v>
      </c>
      <c r="B3859" s="2">
        <v>49515</v>
      </c>
      <c r="C3859" t="s">
        <v>427</v>
      </c>
      <c r="D3859" t="s">
        <v>428</v>
      </c>
      <c r="E3859" t="s">
        <v>18</v>
      </c>
      <c r="F3859" t="s">
        <v>94</v>
      </c>
      <c r="G3859" t="s">
        <v>51</v>
      </c>
      <c r="H3859" t="s">
        <v>21</v>
      </c>
      <c r="I3859" t="s">
        <v>116</v>
      </c>
      <c r="J3859">
        <v>2</v>
      </c>
      <c r="K3859">
        <v>1400</v>
      </c>
      <c r="L3859">
        <v>0.25</v>
      </c>
      <c r="M3859">
        <v>2100</v>
      </c>
      <c r="N3859">
        <v>1800</v>
      </c>
      <c r="O3859">
        <v>300</v>
      </c>
    </row>
    <row r="3860" spans="1:15" x14ac:dyDescent="0.25">
      <c r="A3860" t="s">
        <v>4925</v>
      </c>
      <c r="B3860" s="2">
        <v>49516</v>
      </c>
      <c r="C3860" t="s">
        <v>1130</v>
      </c>
      <c r="D3860" t="s">
        <v>1131</v>
      </c>
      <c r="E3860" t="s">
        <v>96</v>
      </c>
      <c r="F3860" t="s">
        <v>200</v>
      </c>
      <c r="G3860" t="s">
        <v>57</v>
      </c>
      <c r="H3860" t="s">
        <v>104</v>
      </c>
      <c r="I3860" t="s">
        <v>105</v>
      </c>
      <c r="J3860">
        <v>2</v>
      </c>
      <c r="K3860">
        <v>7500</v>
      </c>
      <c r="L3860">
        <v>0.1</v>
      </c>
      <c r="M3860">
        <v>13500</v>
      </c>
      <c r="N3860">
        <v>10400</v>
      </c>
      <c r="O3860">
        <v>3100</v>
      </c>
    </row>
    <row r="3861" spans="1:15" x14ac:dyDescent="0.25">
      <c r="A3861" t="s">
        <v>4926</v>
      </c>
      <c r="B3861" s="2">
        <v>49517</v>
      </c>
      <c r="C3861" t="s">
        <v>507</v>
      </c>
      <c r="D3861" t="s">
        <v>508</v>
      </c>
      <c r="E3861" t="s">
        <v>26</v>
      </c>
      <c r="F3861" t="s">
        <v>128</v>
      </c>
      <c r="G3861" t="s">
        <v>51</v>
      </c>
      <c r="H3861" t="s">
        <v>89</v>
      </c>
      <c r="I3861" t="s">
        <v>90</v>
      </c>
      <c r="J3861">
        <v>5</v>
      </c>
      <c r="K3861">
        <v>10500</v>
      </c>
      <c r="L3861">
        <v>0.2</v>
      </c>
      <c r="M3861">
        <v>42000</v>
      </c>
      <c r="N3861">
        <v>38000</v>
      </c>
      <c r="O3861">
        <v>4000</v>
      </c>
    </row>
    <row r="3862" spans="1:15" x14ac:dyDescent="0.25">
      <c r="A3862" t="s">
        <v>4927</v>
      </c>
      <c r="B3862" s="2">
        <v>49518</v>
      </c>
      <c r="C3862" t="s">
        <v>49</v>
      </c>
      <c r="D3862" t="s">
        <v>50</v>
      </c>
      <c r="E3862" t="s">
        <v>39</v>
      </c>
      <c r="F3862" t="s">
        <v>76</v>
      </c>
      <c r="G3862" t="s">
        <v>57</v>
      </c>
      <c r="H3862" t="s">
        <v>104</v>
      </c>
      <c r="I3862" t="s">
        <v>105</v>
      </c>
      <c r="J3862">
        <v>1</v>
      </c>
      <c r="K3862">
        <v>7500</v>
      </c>
      <c r="L3862">
        <v>0.1</v>
      </c>
      <c r="M3862">
        <v>6750</v>
      </c>
      <c r="N3862">
        <v>5200</v>
      </c>
      <c r="O3862">
        <v>1550</v>
      </c>
    </row>
    <row r="3863" spans="1:15" x14ac:dyDescent="0.25">
      <c r="A3863" t="s">
        <v>4928</v>
      </c>
      <c r="B3863" s="2">
        <v>49519</v>
      </c>
      <c r="C3863" t="s">
        <v>974</v>
      </c>
      <c r="D3863" t="s">
        <v>975</v>
      </c>
      <c r="E3863" t="s">
        <v>39</v>
      </c>
      <c r="F3863" t="s">
        <v>40</v>
      </c>
      <c r="G3863" t="s">
        <v>20</v>
      </c>
      <c r="H3863" t="s">
        <v>84</v>
      </c>
      <c r="I3863" t="s">
        <v>85</v>
      </c>
      <c r="J3863">
        <v>3</v>
      </c>
      <c r="K3863">
        <v>280</v>
      </c>
      <c r="L3863">
        <v>0.15</v>
      </c>
      <c r="M3863">
        <v>714</v>
      </c>
      <c r="N3863">
        <v>480</v>
      </c>
      <c r="O3863">
        <v>234</v>
      </c>
    </row>
    <row r="3864" spans="1:15" x14ac:dyDescent="0.25">
      <c r="A3864" t="s">
        <v>4929</v>
      </c>
      <c r="B3864" s="2">
        <v>49520</v>
      </c>
      <c r="C3864" t="s">
        <v>305</v>
      </c>
      <c r="D3864" t="s">
        <v>306</v>
      </c>
      <c r="E3864" t="s">
        <v>96</v>
      </c>
      <c r="F3864" t="s">
        <v>120</v>
      </c>
      <c r="G3864" t="s">
        <v>28</v>
      </c>
      <c r="H3864" t="s">
        <v>29</v>
      </c>
      <c r="I3864" t="s">
        <v>35</v>
      </c>
      <c r="J3864">
        <v>4</v>
      </c>
      <c r="K3864">
        <v>4200</v>
      </c>
      <c r="L3864">
        <v>0.05</v>
      </c>
      <c r="M3864">
        <v>15960</v>
      </c>
      <c r="N3864">
        <v>11600</v>
      </c>
      <c r="O3864">
        <v>4360</v>
      </c>
    </row>
    <row r="3865" spans="1:15" x14ac:dyDescent="0.25">
      <c r="A3865" t="s">
        <v>4930</v>
      </c>
      <c r="B3865" s="2">
        <v>49521</v>
      </c>
      <c r="C3865" t="s">
        <v>1563</v>
      </c>
      <c r="D3865" t="s">
        <v>1564</v>
      </c>
      <c r="E3865" t="s">
        <v>96</v>
      </c>
      <c r="F3865" t="s">
        <v>196</v>
      </c>
      <c r="G3865" t="s">
        <v>20</v>
      </c>
      <c r="H3865" t="s">
        <v>84</v>
      </c>
      <c r="I3865" t="s">
        <v>85</v>
      </c>
      <c r="J3865">
        <v>2</v>
      </c>
      <c r="K3865">
        <v>280</v>
      </c>
      <c r="L3865">
        <v>0.15</v>
      </c>
      <c r="M3865">
        <v>476</v>
      </c>
      <c r="N3865">
        <v>320</v>
      </c>
      <c r="O3865">
        <v>156</v>
      </c>
    </row>
    <row r="3866" spans="1:15" x14ac:dyDescent="0.25">
      <c r="A3866" t="s">
        <v>4931</v>
      </c>
      <c r="B3866" s="2">
        <v>49522</v>
      </c>
      <c r="C3866" t="s">
        <v>1183</v>
      </c>
      <c r="D3866" t="s">
        <v>1184</v>
      </c>
      <c r="E3866" t="s">
        <v>39</v>
      </c>
      <c r="F3866" t="s">
        <v>71</v>
      </c>
      <c r="G3866" t="s">
        <v>20</v>
      </c>
      <c r="H3866" t="s">
        <v>84</v>
      </c>
      <c r="I3866" t="s">
        <v>169</v>
      </c>
      <c r="J3866">
        <v>4</v>
      </c>
      <c r="K3866">
        <v>450</v>
      </c>
      <c r="L3866">
        <v>0.15</v>
      </c>
      <c r="M3866">
        <v>1530</v>
      </c>
      <c r="N3866">
        <v>1040</v>
      </c>
      <c r="O3866">
        <v>490</v>
      </c>
    </row>
    <row r="3867" spans="1:15" x14ac:dyDescent="0.25">
      <c r="A3867" t="s">
        <v>4932</v>
      </c>
      <c r="B3867" s="2">
        <v>49523</v>
      </c>
      <c r="C3867" t="s">
        <v>1180</v>
      </c>
      <c r="D3867" t="s">
        <v>1181</v>
      </c>
      <c r="E3867" t="s">
        <v>26</v>
      </c>
      <c r="F3867" t="s">
        <v>204</v>
      </c>
      <c r="G3867" t="s">
        <v>51</v>
      </c>
      <c r="H3867" t="s">
        <v>21</v>
      </c>
      <c r="I3867" t="s">
        <v>80</v>
      </c>
      <c r="J3867">
        <v>2</v>
      </c>
      <c r="K3867">
        <v>850</v>
      </c>
      <c r="L3867">
        <v>0.15</v>
      </c>
      <c r="M3867">
        <v>1445</v>
      </c>
      <c r="N3867">
        <v>1120</v>
      </c>
      <c r="O3867">
        <v>325</v>
      </c>
    </row>
    <row r="3868" spans="1:15" x14ac:dyDescent="0.25">
      <c r="A3868" t="s">
        <v>4933</v>
      </c>
      <c r="B3868" s="2">
        <v>49524</v>
      </c>
      <c r="C3868" t="s">
        <v>662</v>
      </c>
      <c r="D3868" t="s">
        <v>663</v>
      </c>
      <c r="E3868" t="s">
        <v>39</v>
      </c>
      <c r="F3868" t="s">
        <v>124</v>
      </c>
      <c r="G3868" t="s">
        <v>57</v>
      </c>
      <c r="H3868" t="s">
        <v>58</v>
      </c>
      <c r="I3868" t="s">
        <v>59</v>
      </c>
      <c r="J3868">
        <v>2</v>
      </c>
      <c r="K3868">
        <v>5600</v>
      </c>
      <c r="L3868">
        <v>0</v>
      </c>
      <c r="M3868">
        <v>11200</v>
      </c>
      <c r="N3868">
        <v>7800</v>
      </c>
      <c r="O3868">
        <v>3400</v>
      </c>
    </row>
    <row r="3869" spans="1:15" x14ac:dyDescent="0.25">
      <c r="A3869" t="s">
        <v>4934</v>
      </c>
      <c r="B3869" s="2">
        <v>49525</v>
      </c>
      <c r="C3869" t="s">
        <v>447</v>
      </c>
      <c r="D3869" t="s">
        <v>448</v>
      </c>
      <c r="E3869" t="s">
        <v>39</v>
      </c>
      <c r="F3869" t="s">
        <v>71</v>
      </c>
      <c r="G3869" t="s">
        <v>51</v>
      </c>
      <c r="H3869" t="s">
        <v>52</v>
      </c>
      <c r="I3869" t="s">
        <v>208</v>
      </c>
      <c r="J3869">
        <v>2</v>
      </c>
      <c r="K3869">
        <v>2800</v>
      </c>
      <c r="L3869">
        <v>0.1</v>
      </c>
      <c r="M3869">
        <v>5040</v>
      </c>
      <c r="N3869">
        <v>3600</v>
      </c>
      <c r="O3869">
        <v>1440</v>
      </c>
    </row>
    <row r="3870" spans="1:15" x14ac:dyDescent="0.25">
      <c r="A3870" t="s">
        <v>4935</v>
      </c>
      <c r="B3870" s="2">
        <v>49526</v>
      </c>
      <c r="C3870" t="s">
        <v>909</v>
      </c>
      <c r="D3870" t="s">
        <v>910</v>
      </c>
      <c r="E3870" t="s">
        <v>18</v>
      </c>
      <c r="F3870" t="s">
        <v>227</v>
      </c>
      <c r="G3870" t="s">
        <v>51</v>
      </c>
      <c r="H3870" t="s">
        <v>21</v>
      </c>
      <c r="I3870" t="s">
        <v>72</v>
      </c>
      <c r="J3870">
        <v>1</v>
      </c>
      <c r="K3870">
        <v>1800</v>
      </c>
      <c r="L3870">
        <v>0.1</v>
      </c>
      <c r="M3870">
        <v>1620</v>
      </c>
      <c r="N3870">
        <v>1100</v>
      </c>
      <c r="O3870">
        <v>520</v>
      </c>
    </row>
    <row r="3871" spans="1:15" x14ac:dyDescent="0.25">
      <c r="A3871" t="s">
        <v>4936</v>
      </c>
      <c r="B3871" s="2">
        <v>49527</v>
      </c>
      <c r="C3871" t="s">
        <v>652</v>
      </c>
      <c r="D3871" t="s">
        <v>653</v>
      </c>
      <c r="E3871" t="s">
        <v>96</v>
      </c>
      <c r="F3871" t="s">
        <v>196</v>
      </c>
      <c r="G3871" t="s">
        <v>28</v>
      </c>
      <c r="H3871" t="s">
        <v>29</v>
      </c>
      <c r="I3871" t="s">
        <v>30</v>
      </c>
      <c r="J3871">
        <v>5</v>
      </c>
      <c r="K3871">
        <v>1900</v>
      </c>
      <c r="L3871">
        <v>0.15</v>
      </c>
      <c r="M3871">
        <v>8075</v>
      </c>
      <c r="N3871">
        <v>6250</v>
      </c>
      <c r="O3871">
        <v>1825</v>
      </c>
    </row>
    <row r="3872" spans="1:15" x14ac:dyDescent="0.25">
      <c r="A3872" t="s">
        <v>4937</v>
      </c>
      <c r="B3872" s="2">
        <v>49528</v>
      </c>
      <c r="C3872" t="s">
        <v>1127</v>
      </c>
      <c r="D3872" t="s">
        <v>1128</v>
      </c>
      <c r="E3872" t="s">
        <v>26</v>
      </c>
      <c r="F3872" t="s">
        <v>34</v>
      </c>
      <c r="G3872" t="s">
        <v>20</v>
      </c>
      <c r="H3872" t="s">
        <v>84</v>
      </c>
      <c r="I3872" t="s">
        <v>169</v>
      </c>
      <c r="J3872">
        <v>4</v>
      </c>
      <c r="K3872">
        <v>450</v>
      </c>
      <c r="L3872">
        <v>0.15</v>
      </c>
      <c r="M3872">
        <v>1530</v>
      </c>
      <c r="N3872">
        <v>1040</v>
      </c>
      <c r="O3872">
        <v>490</v>
      </c>
    </row>
    <row r="3873" spans="1:15" x14ac:dyDescent="0.25">
      <c r="A3873" t="s">
        <v>4938</v>
      </c>
      <c r="B3873" s="2">
        <v>49529</v>
      </c>
      <c r="C3873" t="s">
        <v>1720</v>
      </c>
      <c r="D3873" t="s">
        <v>1721</v>
      </c>
      <c r="E3873" t="s">
        <v>39</v>
      </c>
      <c r="F3873" t="s">
        <v>76</v>
      </c>
      <c r="G3873" t="s">
        <v>20</v>
      </c>
      <c r="H3873" t="s">
        <v>84</v>
      </c>
      <c r="I3873" t="s">
        <v>85</v>
      </c>
      <c r="J3873">
        <v>5</v>
      </c>
      <c r="K3873">
        <v>280</v>
      </c>
      <c r="L3873">
        <v>0.15</v>
      </c>
      <c r="M3873">
        <v>1190</v>
      </c>
      <c r="N3873">
        <v>800</v>
      </c>
      <c r="O3873">
        <v>390</v>
      </c>
    </row>
    <row r="3874" spans="1:15" x14ac:dyDescent="0.25">
      <c r="A3874" t="s">
        <v>4939</v>
      </c>
      <c r="B3874" s="2">
        <v>49530</v>
      </c>
      <c r="C3874" t="s">
        <v>1498</v>
      </c>
      <c r="D3874" t="s">
        <v>1499</v>
      </c>
      <c r="E3874" t="s">
        <v>26</v>
      </c>
      <c r="F3874" t="s">
        <v>27</v>
      </c>
      <c r="G3874" t="s">
        <v>51</v>
      </c>
      <c r="H3874" t="s">
        <v>21</v>
      </c>
      <c r="I3874" t="s">
        <v>116</v>
      </c>
      <c r="J3874">
        <v>2</v>
      </c>
      <c r="K3874">
        <v>1400</v>
      </c>
      <c r="L3874">
        <v>0</v>
      </c>
      <c r="M3874">
        <v>2800</v>
      </c>
      <c r="N3874">
        <v>1800</v>
      </c>
      <c r="O3874">
        <v>1000</v>
      </c>
    </row>
    <row r="3875" spans="1:15" x14ac:dyDescent="0.25">
      <c r="A3875" t="s">
        <v>4940</v>
      </c>
      <c r="B3875" s="2">
        <v>49531</v>
      </c>
      <c r="C3875" t="s">
        <v>2457</v>
      </c>
      <c r="D3875" t="s">
        <v>2458</v>
      </c>
      <c r="E3875" t="s">
        <v>26</v>
      </c>
      <c r="F3875" t="s">
        <v>128</v>
      </c>
      <c r="G3875" t="s">
        <v>20</v>
      </c>
      <c r="H3875" t="s">
        <v>84</v>
      </c>
      <c r="I3875" t="s">
        <v>210</v>
      </c>
      <c r="J3875">
        <v>5</v>
      </c>
      <c r="K3875">
        <v>300</v>
      </c>
      <c r="L3875">
        <v>0.2</v>
      </c>
      <c r="M3875">
        <v>1200</v>
      </c>
      <c r="N3875">
        <v>850</v>
      </c>
      <c r="O3875">
        <v>350</v>
      </c>
    </row>
    <row r="3876" spans="1:15" x14ac:dyDescent="0.25">
      <c r="A3876" t="s">
        <v>4941</v>
      </c>
      <c r="B3876" s="2">
        <v>49532</v>
      </c>
      <c r="C3876" t="s">
        <v>444</v>
      </c>
      <c r="D3876" t="s">
        <v>445</v>
      </c>
      <c r="E3876" t="s">
        <v>96</v>
      </c>
      <c r="F3876" t="s">
        <v>200</v>
      </c>
      <c r="G3876" t="s">
        <v>28</v>
      </c>
      <c r="H3876" t="s">
        <v>29</v>
      </c>
      <c r="I3876" t="s">
        <v>30</v>
      </c>
      <c r="J3876">
        <v>2</v>
      </c>
      <c r="K3876">
        <v>1900</v>
      </c>
      <c r="L3876">
        <v>0.1</v>
      </c>
      <c r="M3876">
        <v>3420</v>
      </c>
      <c r="N3876">
        <v>2500</v>
      </c>
      <c r="O3876">
        <v>920</v>
      </c>
    </row>
    <row r="3877" spans="1:15" x14ac:dyDescent="0.25">
      <c r="A3877" t="s">
        <v>4942</v>
      </c>
      <c r="B3877" s="2">
        <v>49533</v>
      </c>
      <c r="C3877" t="s">
        <v>1598</v>
      </c>
      <c r="D3877" t="s">
        <v>1599</v>
      </c>
      <c r="E3877" t="s">
        <v>39</v>
      </c>
      <c r="F3877" t="s">
        <v>124</v>
      </c>
      <c r="G3877" t="s">
        <v>20</v>
      </c>
      <c r="H3877" t="s">
        <v>41</v>
      </c>
      <c r="I3877" t="s">
        <v>42</v>
      </c>
      <c r="J3877">
        <v>4</v>
      </c>
      <c r="K3877">
        <v>520</v>
      </c>
      <c r="L3877">
        <v>0.15</v>
      </c>
      <c r="M3877">
        <v>1768</v>
      </c>
      <c r="N3877">
        <v>1320</v>
      </c>
      <c r="O3877">
        <v>448</v>
      </c>
    </row>
    <row r="3878" spans="1:15" x14ac:dyDescent="0.25">
      <c r="A3878" t="s">
        <v>4943</v>
      </c>
      <c r="B3878" s="2">
        <v>49534</v>
      </c>
      <c r="C3878" t="s">
        <v>865</v>
      </c>
      <c r="D3878" t="s">
        <v>866</v>
      </c>
      <c r="E3878" t="s">
        <v>26</v>
      </c>
      <c r="F3878" t="s">
        <v>34</v>
      </c>
      <c r="G3878" t="s">
        <v>57</v>
      </c>
      <c r="H3878" t="s">
        <v>58</v>
      </c>
      <c r="I3878" t="s">
        <v>59</v>
      </c>
      <c r="J3878">
        <v>2</v>
      </c>
      <c r="K3878">
        <v>5600</v>
      </c>
      <c r="L3878">
        <v>0.15</v>
      </c>
      <c r="M3878">
        <v>9520</v>
      </c>
      <c r="N3878">
        <v>7800</v>
      </c>
      <c r="O3878">
        <v>1720</v>
      </c>
    </row>
    <row r="3879" spans="1:15" x14ac:dyDescent="0.25">
      <c r="A3879" t="s">
        <v>4944</v>
      </c>
      <c r="B3879" s="2">
        <v>49535</v>
      </c>
      <c r="C3879" t="s">
        <v>573</v>
      </c>
      <c r="D3879" t="s">
        <v>574</v>
      </c>
      <c r="E3879" t="s">
        <v>39</v>
      </c>
      <c r="F3879" t="s">
        <v>124</v>
      </c>
      <c r="G3879" t="s">
        <v>57</v>
      </c>
      <c r="H3879" t="s">
        <v>58</v>
      </c>
      <c r="I3879" t="s">
        <v>59</v>
      </c>
      <c r="J3879">
        <v>1</v>
      </c>
      <c r="K3879">
        <v>5600</v>
      </c>
      <c r="L3879">
        <v>0</v>
      </c>
      <c r="M3879">
        <v>5600</v>
      </c>
      <c r="N3879">
        <v>3900</v>
      </c>
      <c r="O3879">
        <v>1700</v>
      </c>
    </row>
    <row r="3880" spans="1:15" x14ac:dyDescent="0.25">
      <c r="A3880" t="s">
        <v>4945</v>
      </c>
      <c r="B3880" s="2">
        <v>49536</v>
      </c>
      <c r="C3880" t="s">
        <v>1281</v>
      </c>
      <c r="D3880" t="s">
        <v>1282</v>
      </c>
      <c r="E3880" t="s">
        <v>26</v>
      </c>
      <c r="F3880" t="s">
        <v>128</v>
      </c>
      <c r="G3880" t="s">
        <v>20</v>
      </c>
      <c r="H3880" t="s">
        <v>84</v>
      </c>
      <c r="I3880" t="s">
        <v>85</v>
      </c>
      <c r="J3880">
        <v>3</v>
      </c>
      <c r="K3880">
        <v>280</v>
      </c>
      <c r="L3880">
        <v>0.25</v>
      </c>
      <c r="M3880">
        <v>630</v>
      </c>
      <c r="N3880">
        <v>480</v>
      </c>
      <c r="O3880">
        <v>150</v>
      </c>
    </row>
    <row r="3881" spans="1:15" x14ac:dyDescent="0.25">
      <c r="A3881" t="s">
        <v>4946</v>
      </c>
      <c r="B3881" s="2">
        <v>49537</v>
      </c>
      <c r="C3881" t="s">
        <v>865</v>
      </c>
      <c r="D3881" t="s">
        <v>866</v>
      </c>
      <c r="E3881" t="s">
        <v>96</v>
      </c>
      <c r="F3881" t="s">
        <v>200</v>
      </c>
      <c r="G3881" t="s">
        <v>20</v>
      </c>
      <c r="H3881" t="s">
        <v>84</v>
      </c>
      <c r="I3881" t="s">
        <v>85</v>
      </c>
      <c r="J3881">
        <v>2</v>
      </c>
      <c r="K3881">
        <v>280</v>
      </c>
      <c r="L3881">
        <v>0.2</v>
      </c>
      <c r="M3881">
        <v>448</v>
      </c>
      <c r="N3881">
        <v>320</v>
      </c>
      <c r="O3881">
        <v>128</v>
      </c>
    </row>
    <row r="3882" spans="1:15" x14ac:dyDescent="0.25">
      <c r="A3882" t="s">
        <v>4947</v>
      </c>
      <c r="B3882" s="2">
        <v>49538</v>
      </c>
      <c r="C3882" t="s">
        <v>544</v>
      </c>
      <c r="D3882" t="s">
        <v>545</v>
      </c>
      <c r="E3882" t="s">
        <v>96</v>
      </c>
      <c r="F3882" t="s">
        <v>196</v>
      </c>
      <c r="G3882" t="s">
        <v>20</v>
      </c>
      <c r="H3882" t="s">
        <v>41</v>
      </c>
      <c r="I3882" t="s">
        <v>42</v>
      </c>
      <c r="J3882">
        <v>1</v>
      </c>
      <c r="K3882">
        <v>520</v>
      </c>
      <c r="L3882">
        <v>0.15</v>
      </c>
      <c r="M3882">
        <v>442</v>
      </c>
      <c r="N3882">
        <v>330</v>
      </c>
      <c r="O3882">
        <v>112</v>
      </c>
    </row>
    <row r="3883" spans="1:15" x14ac:dyDescent="0.25">
      <c r="A3883" t="s">
        <v>4948</v>
      </c>
      <c r="B3883" s="2">
        <v>49539</v>
      </c>
      <c r="C3883" t="s">
        <v>1268</v>
      </c>
      <c r="D3883" t="s">
        <v>1269</v>
      </c>
      <c r="E3883" t="s">
        <v>96</v>
      </c>
      <c r="F3883" t="s">
        <v>200</v>
      </c>
      <c r="G3883" t="s">
        <v>51</v>
      </c>
      <c r="H3883" t="s">
        <v>21</v>
      </c>
      <c r="I3883" t="s">
        <v>116</v>
      </c>
      <c r="J3883">
        <v>3</v>
      </c>
      <c r="K3883">
        <v>1400</v>
      </c>
      <c r="L3883">
        <v>0.2</v>
      </c>
      <c r="M3883">
        <v>3360</v>
      </c>
      <c r="N3883">
        <v>2700</v>
      </c>
      <c r="O3883">
        <v>660</v>
      </c>
    </row>
    <row r="3884" spans="1:15" x14ac:dyDescent="0.25">
      <c r="A3884" t="s">
        <v>4949</v>
      </c>
      <c r="B3884" s="2">
        <v>49540</v>
      </c>
      <c r="C3884" t="s">
        <v>140</v>
      </c>
      <c r="D3884" t="s">
        <v>141</v>
      </c>
      <c r="E3884" t="s">
        <v>26</v>
      </c>
      <c r="F3884" t="s">
        <v>34</v>
      </c>
      <c r="G3884" t="s">
        <v>20</v>
      </c>
      <c r="H3884" t="s">
        <v>84</v>
      </c>
      <c r="I3884" t="s">
        <v>210</v>
      </c>
      <c r="J3884">
        <v>3</v>
      </c>
      <c r="K3884">
        <v>300</v>
      </c>
      <c r="L3884">
        <v>0.15</v>
      </c>
      <c r="M3884">
        <v>765</v>
      </c>
      <c r="N3884">
        <v>510</v>
      </c>
      <c r="O3884">
        <v>255</v>
      </c>
    </row>
    <row r="3885" spans="1:15" x14ac:dyDescent="0.25">
      <c r="A3885" t="s">
        <v>4950</v>
      </c>
      <c r="B3885" s="2">
        <v>49541</v>
      </c>
      <c r="C3885" t="s">
        <v>439</v>
      </c>
      <c r="D3885" t="s">
        <v>440</v>
      </c>
      <c r="E3885" t="s">
        <v>96</v>
      </c>
      <c r="F3885" t="s">
        <v>120</v>
      </c>
      <c r="G3885" t="s">
        <v>51</v>
      </c>
      <c r="H3885" t="s">
        <v>21</v>
      </c>
      <c r="I3885" t="s">
        <v>116</v>
      </c>
      <c r="J3885">
        <v>2</v>
      </c>
      <c r="K3885">
        <v>1400</v>
      </c>
      <c r="L3885">
        <v>0.2</v>
      </c>
      <c r="M3885">
        <v>2240</v>
      </c>
      <c r="N3885">
        <v>1800</v>
      </c>
      <c r="O3885">
        <v>440</v>
      </c>
    </row>
    <row r="3886" spans="1:15" x14ac:dyDescent="0.25">
      <c r="A3886" t="s">
        <v>4951</v>
      </c>
      <c r="B3886" s="2">
        <v>49542</v>
      </c>
      <c r="C3886" t="s">
        <v>994</v>
      </c>
      <c r="D3886" t="s">
        <v>995</v>
      </c>
      <c r="E3886" t="s">
        <v>26</v>
      </c>
      <c r="F3886" t="s">
        <v>128</v>
      </c>
      <c r="G3886" t="s">
        <v>20</v>
      </c>
      <c r="H3886" t="s">
        <v>84</v>
      </c>
      <c r="I3886" t="s">
        <v>85</v>
      </c>
      <c r="J3886">
        <v>5</v>
      </c>
      <c r="K3886">
        <v>280</v>
      </c>
      <c r="L3886">
        <v>0.15</v>
      </c>
      <c r="M3886">
        <v>1190</v>
      </c>
      <c r="N3886">
        <v>800</v>
      </c>
      <c r="O3886">
        <v>390</v>
      </c>
    </row>
    <row r="3887" spans="1:15" x14ac:dyDescent="0.25">
      <c r="A3887" t="s">
        <v>4952</v>
      </c>
      <c r="B3887" s="2">
        <v>49543</v>
      </c>
      <c r="C3887" t="s">
        <v>2207</v>
      </c>
      <c r="D3887" t="s">
        <v>2208</v>
      </c>
      <c r="E3887" t="s">
        <v>96</v>
      </c>
      <c r="F3887" t="s">
        <v>120</v>
      </c>
      <c r="G3887" t="s">
        <v>28</v>
      </c>
      <c r="H3887" t="s">
        <v>29</v>
      </c>
      <c r="I3887" t="s">
        <v>47</v>
      </c>
      <c r="J3887">
        <v>3</v>
      </c>
      <c r="K3887">
        <v>6800</v>
      </c>
      <c r="L3887">
        <v>0.2</v>
      </c>
      <c r="M3887">
        <v>16320</v>
      </c>
      <c r="N3887">
        <v>14100</v>
      </c>
      <c r="O3887">
        <v>2220</v>
      </c>
    </row>
    <row r="3888" spans="1:15" x14ac:dyDescent="0.25">
      <c r="A3888" t="s">
        <v>4953</v>
      </c>
      <c r="B3888" s="2">
        <v>49544</v>
      </c>
      <c r="C3888" t="s">
        <v>2335</v>
      </c>
      <c r="D3888" t="s">
        <v>2336</v>
      </c>
      <c r="E3888" t="s">
        <v>39</v>
      </c>
      <c r="F3888" t="s">
        <v>71</v>
      </c>
      <c r="G3888" t="s">
        <v>51</v>
      </c>
      <c r="H3888" t="s">
        <v>21</v>
      </c>
      <c r="I3888" t="s">
        <v>72</v>
      </c>
      <c r="J3888">
        <v>4</v>
      </c>
      <c r="K3888">
        <v>1800</v>
      </c>
      <c r="L3888">
        <v>0.1</v>
      </c>
      <c r="M3888">
        <v>6480</v>
      </c>
      <c r="N3888">
        <v>4400</v>
      </c>
      <c r="O3888">
        <v>2080</v>
      </c>
    </row>
    <row r="3889" spans="1:15" x14ac:dyDescent="0.25">
      <c r="A3889" t="s">
        <v>4954</v>
      </c>
      <c r="B3889" s="2">
        <v>49545</v>
      </c>
      <c r="C3889" t="s">
        <v>2833</v>
      </c>
      <c r="D3889" t="s">
        <v>2834</v>
      </c>
      <c r="E3889" t="s">
        <v>26</v>
      </c>
      <c r="F3889" t="s">
        <v>46</v>
      </c>
      <c r="G3889" t="s">
        <v>20</v>
      </c>
      <c r="H3889" t="s">
        <v>41</v>
      </c>
      <c r="I3889" t="s">
        <v>42</v>
      </c>
      <c r="J3889">
        <v>3</v>
      </c>
      <c r="K3889">
        <v>520</v>
      </c>
      <c r="L3889">
        <v>0.25</v>
      </c>
      <c r="M3889">
        <v>1170</v>
      </c>
      <c r="N3889">
        <v>990</v>
      </c>
      <c r="O3889">
        <v>180</v>
      </c>
    </row>
    <row r="3890" spans="1:15" x14ac:dyDescent="0.25">
      <c r="A3890" t="s">
        <v>4955</v>
      </c>
      <c r="B3890" s="2">
        <v>49546</v>
      </c>
      <c r="C3890" t="s">
        <v>778</v>
      </c>
      <c r="D3890" t="s">
        <v>779</v>
      </c>
      <c r="E3890" t="s">
        <v>39</v>
      </c>
      <c r="F3890" t="s">
        <v>71</v>
      </c>
      <c r="G3890" t="s">
        <v>57</v>
      </c>
      <c r="H3890" t="s">
        <v>104</v>
      </c>
      <c r="I3890" t="s">
        <v>105</v>
      </c>
      <c r="J3890">
        <v>2</v>
      </c>
      <c r="K3890">
        <v>7500</v>
      </c>
      <c r="L3890">
        <v>0</v>
      </c>
      <c r="M3890">
        <v>15000</v>
      </c>
      <c r="N3890">
        <v>10400</v>
      </c>
      <c r="O3890">
        <v>4600</v>
      </c>
    </row>
    <row r="3891" spans="1:15" x14ac:dyDescent="0.25">
      <c r="A3891" t="s">
        <v>4956</v>
      </c>
      <c r="B3891" s="2">
        <v>49547</v>
      </c>
      <c r="C3891" t="s">
        <v>1734</v>
      </c>
      <c r="D3891" t="s">
        <v>1735</v>
      </c>
      <c r="E3891" t="s">
        <v>39</v>
      </c>
      <c r="F3891" t="s">
        <v>40</v>
      </c>
      <c r="G3891" t="s">
        <v>57</v>
      </c>
      <c r="H3891" t="s">
        <v>58</v>
      </c>
      <c r="I3891" t="s">
        <v>129</v>
      </c>
      <c r="J3891">
        <v>1</v>
      </c>
      <c r="K3891">
        <v>4800</v>
      </c>
      <c r="L3891">
        <v>0</v>
      </c>
      <c r="M3891">
        <v>4800</v>
      </c>
      <c r="N3891">
        <v>3300</v>
      </c>
      <c r="O3891">
        <v>1500</v>
      </c>
    </row>
    <row r="3892" spans="1:15" x14ac:dyDescent="0.25">
      <c r="A3892" t="s">
        <v>4957</v>
      </c>
      <c r="B3892" s="2">
        <v>49548</v>
      </c>
      <c r="C3892" t="s">
        <v>1486</v>
      </c>
      <c r="D3892" t="s">
        <v>1487</v>
      </c>
      <c r="E3892" t="s">
        <v>39</v>
      </c>
      <c r="F3892" t="s">
        <v>71</v>
      </c>
      <c r="G3892" t="s">
        <v>20</v>
      </c>
      <c r="H3892" t="s">
        <v>84</v>
      </c>
      <c r="I3892" t="s">
        <v>85</v>
      </c>
      <c r="J3892">
        <v>2</v>
      </c>
      <c r="K3892">
        <v>280</v>
      </c>
      <c r="L3892">
        <v>0.1</v>
      </c>
      <c r="M3892">
        <v>504</v>
      </c>
      <c r="N3892">
        <v>320</v>
      </c>
      <c r="O3892">
        <v>184</v>
      </c>
    </row>
    <row r="3893" spans="1:15" x14ac:dyDescent="0.25">
      <c r="A3893" t="s">
        <v>4958</v>
      </c>
      <c r="B3893" s="2">
        <v>49549</v>
      </c>
      <c r="C3893" t="s">
        <v>2687</v>
      </c>
      <c r="D3893" t="s">
        <v>2688</v>
      </c>
      <c r="E3893" t="s">
        <v>26</v>
      </c>
      <c r="F3893" t="s">
        <v>34</v>
      </c>
      <c r="G3893" t="s">
        <v>51</v>
      </c>
      <c r="H3893" t="s">
        <v>21</v>
      </c>
      <c r="I3893" t="s">
        <v>72</v>
      </c>
      <c r="J3893">
        <v>1</v>
      </c>
      <c r="K3893">
        <v>1800</v>
      </c>
      <c r="L3893">
        <v>0.15</v>
      </c>
      <c r="M3893">
        <v>1530</v>
      </c>
      <c r="N3893">
        <v>1100</v>
      </c>
      <c r="O3893">
        <v>430</v>
      </c>
    </row>
    <row r="3894" spans="1:15" x14ac:dyDescent="0.25">
      <c r="A3894" t="s">
        <v>4959</v>
      </c>
      <c r="B3894" s="2">
        <v>49550</v>
      </c>
      <c r="C3894" t="s">
        <v>1556</v>
      </c>
      <c r="D3894" t="s">
        <v>1557</v>
      </c>
      <c r="E3894" t="s">
        <v>96</v>
      </c>
      <c r="F3894" t="s">
        <v>196</v>
      </c>
      <c r="G3894" t="s">
        <v>20</v>
      </c>
      <c r="H3894" t="s">
        <v>84</v>
      </c>
      <c r="I3894" t="s">
        <v>85</v>
      </c>
      <c r="J3894">
        <v>5</v>
      </c>
      <c r="K3894">
        <v>280</v>
      </c>
      <c r="L3894">
        <v>0.05</v>
      </c>
      <c r="M3894">
        <v>1330</v>
      </c>
      <c r="N3894">
        <v>800</v>
      </c>
      <c r="O3894">
        <v>530</v>
      </c>
    </row>
    <row r="3895" spans="1:15" x14ac:dyDescent="0.25">
      <c r="A3895" t="s">
        <v>4960</v>
      </c>
      <c r="B3895" s="2">
        <v>49551</v>
      </c>
      <c r="C3895" t="s">
        <v>244</v>
      </c>
      <c r="D3895" t="s">
        <v>245</v>
      </c>
      <c r="E3895" t="s">
        <v>26</v>
      </c>
      <c r="F3895" t="s">
        <v>34</v>
      </c>
      <c r="G3895" t="s">
        <v>51</v>
      </c>
      <c r="H3895" t="s">
        <v>21</v>
      </c>
      <c r="I3895" t="s">
        <v>72</v>
      </c>
      <c r="J3895">
        <v>5</v>
      </c>
      <c r="K3895">
        <v>1800</v>
      </c>
      <c r="L3895">
        <v>0.05</v>
      </c>
      <c r="M3895">
        <v>8550</v>
      </c>
      <c r="N3895">
        <v>5500</v>
      </c>
      <c r="O3895">
        <v>3050</v>
      </c>
    </row>
    <row r="3896" spans="1:15" x14ac:dyDescent="0.25">
      <c r="A3896" t="s">
        <v>4961</v>
      </c>
      <c r="B3896" s="2">
        <v>49552</v>
      </c>
      <c r="C3896" t="s">
        <v>1595</v>
      </c>
      <c r="D3896" t="s">
        <v>1596</v>
      </c>
      <c r="E3896" t="s">
        <v>26</v>
      </c>
      <c r="F3896" t="s">
        <v>34</v>
      </c>
      <c r="G3896" t="s">
        <v>57</v>
      </c>
      <c r="H3896" t="s">
        <v>58</v>
      </c>
      <c r="I3896" t="s">
        <v>59</v>
      </c>
      <c r="J3896">
        <v>2</v>
      </c>
      <c r="K3896">
        <v>5600</v>
      </c>
      <c r="L3896">
        <v>0.05</v>
      </c>
      <c r="M3896">
        <v>10640</v>
      </c>
      <c r="N3896">
        <v>7800</v>
      </c>
      <c r="O3896">
        <v>2840</v>
      </c>
    </row>
    <row r="3897" spans="1:15" x14ac:dyDescent="0.25">
      <c r="A3897" t="s">
        <v>4962</v>
      </c>
      <c r="B3897" s="2">
        <v>49553</v>
      </c>
      <c r="C3897" t="s">
        <v>637</v>
      </c>
      <c r="D3897" t="s">
        <v>638</v>
      </c>
      <c r="E3897" t="s">
        <v>26</v>
      </c>
      <c r="F3897" t="s">
        <v>204</v>
      </c>
      <c r="G3897" t="s">
        <v>51</v>
      </c>
      <c r="H3897" t="s">
        <v>21</v>
      </c>
      <c r="I3897" t="s">
        <v>116</v>
      </c>
      <c r="J3897">
        <v>4</v>
      </c>
      <c r="K3897">
        <v>1400</v>
      </c>
      <c r="L3897">
        <v>0.1</v>
      </c>
      <c r="M3897">
        <v>5040</v>
      </c>
      <c r="N3897">
        <v>3600</v>
      </c>
      <c r="O3897">
        <v>1440</v>
      </c>
    </row>
    <row r="3898" spans="1:15" x14ac:dyDescent="0.25">
      <c r="A3898" t="s">
        <v>4963</v>
      </c>
      <c r="B3898" s="2">
        <v>49554</v>
      </c>
      <c r="C3898" t="s">
        <v>2763</v>
      </c>
      <c r="D3898" t="s">
        <v>2764</v>
      </c>
      <c r="E3898" t="s">
        <v>26</v>
      </c>
      <c r="F3898" t="s">
        <v>34</v>
      </c>
      <c r="G3898" t="s">
        <v>20</v>
      </c>
      <c r="H3898" t="s">
        <v>21</v>
      </c>
      <c r="I3898" t="s">
        <v>22</v>
      </c>
      <c r="J3898">
        <v>2</v>
      </c>
      <c r="K3898">
        <v>650</v>
      </c>
      <c r="L3898">
        <v>0.1</v>
      </c>
      <c r="M3898">
        <v>1170</v>
      </c>
      <c r="N3898">
        <v>780</v>
      </c>
      <c r="O3898">
        <v>390</v>
      </c>
    </row>
    <row r="3899" spans="1:15" x14ac:dyDescent="0.25">
      <c r="A3899" t="s">
        <v>4964</v>
      </c>
      <c r="B3899" s="2">
        <v>49555</v>
      </c>
      <c r="C3899" t="s">
        <v>1003</v>
      </c>
      <c r="D3899" t="s">
        <v>1004</v>
      </c>
      <c r="E3899" t="s">
        <v>26</v>
      </c>
      <c r="F3899" t="s">
        <v>46</v>
      </c>
      <c r="G3899" t="s">
        <v>28</v>
      </c>
      <c r="H3899" t="s">
        <v>29</v>
      </c>
      <c r="I3899" t="s">
        <v>47</v>
      </c>
      <c r="J3899">
        <v>2</v>
      </c>
      <c r="K3899">
        <v>6800</v>
      </c>
      <c r="L3899">
        <v>0</v>
      </c>
      <c r="M3899">
        <v>13600</v>
      </c>
      <c r="N3899">
        <v>9400</v>
      </c>
      <c r="O3899">
        <v>4200</v>
      </c>
    </row>
    <row r="3900" spans="1:15" x14ac:dyDescent="0.25">
      <c r="A3900" t="s">
        <v>4965</v>
      </c>
      <c r="B3900" s="2">
        <v>49556</v>
      </c>
      <c r="C3900" t="s">
        <v>2785</v>
      </c>
      <c r="D3900" t="s">
        <v>2786</v>
      </c>
      <c r="E3900" t="s">
        <v>96</v>
      </c>
      <c r="F3900" t="s">
        <v>196</v>
      </c>
      <c r="G3900" t="s">
        <v>28</v>
      </c>
      <c r="H3900" t="s">
        <v>29</v>
      </c>
      <c r="I3900" t="s">
        <v>47</v>
      </c>
      <c r="J3900">
        <v>1</v>
      </c>
      <c r="K3900">
        <v>6800</v>
      </c>
      <c r="L3900">
        <v>0.05</v>
      </c>
      <c r="M3900">
        <v>6460</v>
      </c>
      <c r="N3900">
        <v>4700</v>
      </c>
      <c r="O3900">
        <v>1760</v>
      </c>
    </row>
    <row r="3901" spans="1:15" x14ac:dyDescent="0.25">
      <c r="A3901" t="s">
        <v>4966</v>
      </c>
      <c r="B3901" s="2">
        <v>49557</v>
      </c>
      <c r="C3901" t="s">
        <v>1204</v>
      </c>
      <c r="D3901" t="s">
        <v>1205</v>
      </c>
      <c r="E3901" t="s">
        <v>96</v>
      </c>
      <c r="F3901" t="s">
        <v>120</v>
      </c>
      <c r="G3901" t="s">
        <v>51</v>
      </c>
      <c r="H3901" t="s">
        <v>21</v>
      </c>
      <c r="I3901" t="s">
        <v>72</v>
      </c>
      <c r="J3901">
        <v>3</v>
      </c>
      <c r="K3901">
        <v>1800</v>
      </c>
      <c r="L3901">
        <v>0.2</v>
      </c>
      <c r="M3901">
        <v>4320</v>
      </c>
      <c r="N3901">
        <v>3300</v>
      </c>
      <c r="O3901">
        <v>1020</v>
      </c>
    </row>
    <row r="3902" spans="1:15" x14ac:dyDescent="0.25">
      <c r="A3902" t="s">
        <v>4967</v>
      </c>
      <c r="B3902" s="2">
        <v>49558</v>
      </c>
      <c r="C3902" t="s">
        <v>532</v>
      </c>
      <c r="D3902" t="s">
        <v>533</v>
      </c>
      <c r="E3902" t="s">
        <v>39</v>
      </c>
      <c r="F3902" t="s">
        <v>71</v>
      </c>
      <c r="G3902" t="s">
        <v>51</v>
      </c>
      <c r="H3902" t="s">
        <v>21</v>
      </c>
      <c r="I3902" t="s">
        <v>116</v>
      </c>
      <c r="J3902">
        <v>5</v>
      </c>
      <c r="K3902">
        <v>1400</v>
      </c>
      <c r="L3902">
        <v>0.1</v>
      </c>
      <c r="M3902">
        <v>6300</v>
      </c>
      <c r="N3902">
        <v>4500</v>
      </c>
      <c r="O3902">
        <v>1800</v>
      </c>
    </row>
    <row r="3903" spans="1:15" x14ac:dyDescent="0.25">
      <c r="A3903" t="s">
        <v>4968</v>
      </c>
      <c r="B3903" s="2">
        <v>49559</v>
      </c>
      <c r="C3903" t="s">
        <v>1328</v>
      </c>
      <c r="D3903" t="s">
        <v>1329</v>
      </c>
      <c r="E3903" t="s">
        <v>96</v>
      </c>
      <c r="F3903" t="s">
        <v>120</v>
      </c>
      <c r="G3903" t="s">
        <v>51</v>
      </c>
      <c r="H3903" t="s">
        <v>89</v>
      </c>
      <c r="I3903" t="s">
        <v>90</v>
      </c>
      <c r="J3903">
        <v>5</v>
      </c>
      <c r="K3903">
        <v>10500</v>
      </c>
      <c r="L3903">
        <v>0.1</v>
      </c>
      <c r="M3903">
        <v>47250</v>
      </c>
      <c r="N3903">
        <v>38000</v>
      </c>
      <c r="O3903">
        <v>9250</v>
      </c>
    </row>
    <row r="3904" spans="1:15" x14ac:dyDescent="0.25">
      <c r="A3904" t="s">
        <v>4969</v>
      </c>
      <c r="B3904" s="2">
        <v>49560</v>
      </c>
      <c r="C3904" t="s">
        <v>102</v>
      </c>
      <c r="D3904" t="s">
        <v>103</v>
      </c>
      <c r="E3904" t="s">
        <v>96</v>
      </c>
      <c r="F3904" t="s">
        <v>200</v>
      </c>
      <c r="G3904" t="s">
        <v>51</v>
      </c>
      <c r="H3904" t="s">
        <v>52</v>
      </c>
      <c r="I3904" t="s">
        <v>208</v>
      </c>
      <c r="J3904">
        <v>3</v>
      </c>
      <c r="K3904">
        <v>2800</v>
      </c>
      <c r="L3904">
        <v>0.05</v>
      </c>
      <c r="M3904">
        <v>7980</v>
      </c>
      <c r="N3904">
        <v>5400</v>
      </c>
      <c r="O3904">
        <v>2580</v>
      </c>
    </row>
    <row r="3905" spans="1:15" x14ac:dyDescent="0.25">
      <c r="A3905" t="s">
        <v>4970</v>
      </c>
      <c r="B3905" s="2">
        <v>49561</v>
      </c>
      <c r="C3905" t="s">
        <v>1699</v>
      </c>
      <c r="D3905" t="s">
        <v>1700</v>
      </c>
      <c r="E3905" t="s">
        <v>39</v>
      </c>
      <c r="F3905" t="s">
        <v>76</v>
      </c>
      <c r="G3905" t="s">
        <v>57</v>
      </c>
      <c r="H3905" t="s">
        <v>58</v>
      </c>
      <c r="I3905" t="s">
        <v>59</v>
      </c>
      <c r="J3905">
        <v>2</v>
      </c>
      <c r="K3905">
        <v>5600</v>
      </c>
      <c r="L3905">
        <v>0</v>
      </c>
      <c r="M3905">
        <v>11200</v>
      </c>
      <c r="N3905">
        <v>7800</v>
      </c>
      <c r="O3905">
        <v>3400</v>
      </c>
    </row>
    <row r="3906" spans="1:15" x14ac:dyDescent="0.25">
      <c r="A3906" t="s">
        <v>4971</v>
      </c>
      <c r="B3906" s="2">
        <v>49562</v>
      </c>
      <c r="C3906" t="s">
        <v>1567</v>
      </c>
      <c r="D3906" t="s">
        <v>1568</v>
      </c>
      <c r="E3906" t="s">
        <v>39</v>
      </c>
      <c r="F3906" t="s">
        <v>76</v>
      </c>
      <c r="G3906" t="s">
        <v>28</v>
      </c>
      <c r="H3906" t="s">
        <v>29</v>
      </c>
      <c r="I3906" t="s">
        <v>47</v>
      </c>
      <c r="J3906">
        <v>3</v>
      </c>
      <c r="K3906">
        <v>6800</v>
      </c>
      <c r="L3906">
        <v>0.1</v>
      </c>
      <c r="M3906">
        <v>18360</v>
      </c>
      <c r="N3906">
        <v>14100</v>
      </c>
      <c r="O3906">
        <v>4260</v>
      </c>
    </row>
    <row r="3907" spans="1:15" x14ac:dyDescent="0.25">
      <c r="A3907" t="s">
        <v>4972</v>
      </c>
      <c r="B3907" s="2">
        <v>49563</v>
      </c>
      <c r="C3907" t="s">
        <v>1152</v>
      </c>
      <c r="D3907" t="s">
        <v>1153</v>
      </c>
      <c r="E3907" t="s">
        <v>26</v>
      </c>
      <c r="F3907" t="s">
        <v>128</v>
      </c>
      <c r="G3907" t="s">
        <v>57</v>
      </c>
      <c r="H3907" t="s">
        <v>58</v>
      </c>
      <c r="I3907" t="s">
        <v>59</v>
      </c>
      <c r="J3907">
        <v>5</v>
      </c>
      <c r="K3907">
        <v>5600</v>
      </c>
      <c r="L3907">
        <v>0.15</v>
      </c>
      <c r="M3907">
        <v>23800</v>
      </c>
      <c r="N3907">
        <v>19500</v>
      </c>
      <c r="O3907">
        <v>4300</v>
      </c>
    </row>
    <row r="3908" spans="1:15" x14ac:dyDescent="0.25">
      <c r="A3908" t="s">
        <v>4973</v>
      </c>
      <c r="B3908" s="2">
        <v>49564</v>
      </c>
      <c r="C3908" t="s">
        <v>69</v>
      </c>
      <c r="D3908" t="s">
        <v>70</v>
      </c>
      <c r="E3908" t="s">
        <v>26</v>
      </c>
      <c r="F3908" t="s">
        <v>27</v>
      </c>
      <c r="G3908" t="s">
        <v>51</v>
      </c>
      <c r="H3908" t="s">
        <v>21</v>
      </c>
      <c r="I3908" t="s">
        <v>80</v>
      </c>
      <c r="J3908">
        <v>5</v>
      </c>
      <c r="K3908">
        <v>850</v>
      </c>
      <c r="L3908">
        <v>0.25</v>
      </c>
      <c r="M3908">
        <v>3187.5</v>
      </c>
      <c r="N3908">
        <v>2800</v>
      </c>
      <c r="O3908">
        <v>387.5</v>
      </c>
    </row>
    <row r="3909" spans="1:15" x14ac:dyDescent="0.25">
      <c r="A3909" t="s">
        <v>4974</v>
      </c>
      <c r="B3909" s="2">
        <v>49565</v>
      </c>
      <c r="C3909" t="s">
        <v>1780</v>
      </c>
      <c r="D3909" t="s">
        <v>1781</v>
      </c>
      <c r="E3909" t="s">
        <v>96</v>
      </c>
      <c r="F3909" t="s">
        <v>200</v>
      </c>
      <c r="G3909" t="s">
        <v>51</v>
      </c>
      <c r="H3909" t="s">
        <v>21</v>
      </c>
      <c r="I3909" t="s">
        <v>116</v>
      </c>
      <c r="J3909">
        <v>2</v>
      </c>
      <c r="K3909">
        <v>1400</v>
      </c>
      <c r="L3909">
        <v>0</v>
      </c>
      <c r="M3909">
        <v>2800</v>
      </c>
      <c r="N3909">
        <v>1800</v>
      </c>
      <c r="O3909">
        <v>1000</v>
      </c>
    </row>
    <row r="3910" spans="1:15" x14ac:dyDescent="0.25">
      <c r="A3910" t="s">
        <v>4975</v>
      </c>
      <c r="B3910" s="2">
        <v>49566</v>
      </c>
      <c r="C3910" t="s">
        <v>977</v>
      </c>
      <c r="D3910" t="s">
        <v>978</v>
      </c>
      <c r="E3910" t="s">
        <v>26</v>
      </c>
      <c r="F3910" t="s">
        <v>27</v>
      </c>
      <c r="G3910" t="s">
        <v>28</v>
      </c>
      <c r="H3910" t="s">
        <v>29</v>
      </c>
      <c r="I3910" t="s">
        <v>47</v>
      </c>
      <c r="J3910">
        <v>4</v>
      </c>
      <c r="K3910">
        <v>6800</v>
      </c>
      <c r="L3910">
        <v>0.25</v>
      </c>
      <c r="M3910">
        <v>20400</v>
      </c>
      <c r="N3910">
        <v>18800</v>
      </c>
      <c r="O3910">
        <v>1600</v>
      </c>
    </row>
    <row r="3911" spans="1:15" x14ac:dyDescent="0.25">
      <c r="A3911" t="s">
        <v>4976</v>
      </c>
      <c r="B3911" s="2">
        <v>49567</v>
      </c>
      <c r="C3911" t="s">
        <v>1193</v>
      </c>
      <c r="D3911" t="s">
        <v>1194</v>
      </c>
      <c r="E3911" t="s">
        <v>96</v>
      </c>
      <c r="F3911" t="s">
        <v>97</v>
      </c>
      <c r="G3911" t="s">
        <v>57</v>
      </c>
      <c r="H3911" t="s">
        <v>104</v>
      </c>
      <c r="I3911" t="s">
        <v>105</v>
      </c>
      <c r="J3911">
        <v>4</v>
      </c>
      <c r="K3911">
        <v>7500</v>
      </c>
      <c r="L3911">
        <v>0.15</v>
      </c>
      <c r="M3911">
        <v>25500</v>
      </c>
      <c r="N3911">
        <v>20800</v>
      </c>
      <c r="O3911">
        <v>4700</v>
      </c>
    </row>
    <row r="3912" spans="1:15" x14ac:dyDescent="0.25">
      <c r="A3912" t="s">
        <v>4977</v>
      </c>
      <c r="B3912" s="2">
        <v>49568</v>
      </c>
      <c r="C3912" t="s">
        <v>311</v>
      </c>
      <c r="D3912" t="s">
        <v>312</v>
      </c>
      <c r="E3912" t="s">
        <v>26</v>
      </c>
      <c r="F3912" t="s">
        <v>27</v>
      </c>
      <c r="G3912" t="s">
        <v>51</v>
      </c>
      <c r="H3912" t="s">
        <v>21</v>
      </c>
      <c r="I3912" t="s">
        <v>72</v>
      </c>
      <c r="J3912">
        <v>3</v>
      </c>
      <c r="K3912">
        <v>1800</v>
      </c>
      <c r="L3912">
        <v>0.15</v>
      </c>
      <c r="M3912">
        <v>4590</v>
      </c>
      <c r="N3912">
        <v>3300</v>
      </c>
      <c r="O3912">
        <v>1290</v>
      </c>
    </row>
    <row r="3913" spans="1:15" x14ac:dyDescent="0.25">
      <c r="A3913" t="s">
        <v>4978</v>
      </c>
      <c r="B3913" s="2">
        <v>49569</v>
      </c>
      <c r="C3913" t="s">
        <v>3142</v>
      </c>
      <c r="D3913" t="s">
        <v>3143</v>
      </c>
      <c r="E3913" t="s">
        <v>96</v>
      </c>
      <c r="F3913" t="s">
        <v>120</v>
      </c>
      <c r="G3913" t="s">
        <v>28</v>
      </c>
      <c r="H3913" t="s">
        <v>29</v>
      </c>
      <c r="I3913" t="s">
        <v>30</v>
      </c>
      <c r="J3913">
        <v>2</v>
      </c>
      <c r="K3913">
        <v>1900</v>
      </c>
      <c r="L3913">
        <v>0.15</v>
      </c>
      <c r="M3913">
        <v>3230</v>
      </c>
      <c r="N3913">
        <v>2500</v>
      </c>
      <c r="O3913">
        <v>730</v>
      </c>
    </row>
    <row r="3914" spans="1:15" x14ac:dyDescent="0.25">
      <c r="A3914" t="s">
        <v>4979</v>
      </c>
      <c r="B3914" s="2">
        <v>49570</v>
      </c>
      <c r="C3914" t="s">
        <v>1724</v>
      </c>
      <c r="D3914" t="s">
        <v>1725</v>
      </c>
      <c r="E3914" t="s">
        <v>26</v>
      </c>
      <c r="F3914" t="s">
        <v>128</v>
      </c>
      <c r="G3914" t="s">
        <v>51</v>
      </c>
      <c r="H3914" t="s">
        <v>89</v>
      </c>
      <c r="I3914" t="s">
        <v>90</v>
      </c>
      <c r="J3914">
        <v>2</v>
      </c>
      <c r="K3914">
        <v>10500</v>
      </c>
      <c r="L3914">
        <v>0.15</v>
      </c>
      <c r="M3914">
        <v>17850</v>
      </c>
      <c r="N3914">
        <v>15200</v>
      </c>
      <c r="O3914">
        <v>2650</v>
      </c>
    </row>
    <row r="3915" spans="1:15" x14ac:dyDescent="0.25">
      <c r="A3915" t="s">
        <v>4980</v>
      </c>
      <c r="B3915" s="2">
        <v>49571</v>
      </c>
      <c r="C3915" t="s">
        <v>456</v>
      </c>
      <c r="D3915" t="s">
        <v>457</v>
      </c>
      <c r="E3915" t="s">
        <v>26</v>
      </c>
      <c r="F3915" t="s">
        <v>128</v>
      </c>
      <c r="G3915" t="s">
        <v>51</v>
      </c>
      <c r="H3915" t="s">
        <v>21</v>
      </c>
      <c r="I3915" t="s">
        <v>72</v>
      </c>
      <c r="J3915">
        <v>1</v>
      </c>
      <c r="K3915">
        <v>1800</v>
      </c>
      <c r="L3915">
        <v>0.15</v>
      </c>
      <c r="M3915">
        <v>1530</v>
      </c>
      <c r="N3915">
        <v>1100</v>
      </c>
      <c r="O3915">
        <v>430</v>
      </c>
    </row>
    <row r="3916" spans="1:15" x14ac:dyDescent="0.25">
      <c r="A3916" t="s">
        <v>4981</v>
      </c>
      <c r="B3916" s="2">
        <v>49572</v>
      </c>
      <c r="C3916" t="s">
        <v>532</v>
      </c>
      <c r="D3916" t="s">
        <v>533</v>
      </c>
      <c r="E3916" t="s">
        <v>39</v>
      </c>
      <c r="F3916" t="s">
        <v>40</v>
      </c>
      <c r="G3916" t="s">
        <v>51</v>
      </c>
      <c r="H3916" t="s">
        <v>21</v>
      </c>
      <c r="I3916" t="s">
        <v>72</v>
      </c>
      <c r="J3916">
        <v>2</v>
      </c>
      <c r="K3916">
        <v>1800</v>
      </c>
      <c r="L3916">
        <v>0.1</v>
      </c>
      <c r="M3916">
        <v>3240</v>
      </c>
      <c r="N3916">
        <v>2200</v>
      </c>
      <c r="O3916">
        <v>1040</v>
      </c>
    </row>
    <row r="3917" spans="1:15" x14ac:dyDescent="0.25">
      <c r="A3917" t="s">
        <v>4982</v>
      </c>
      <c r="B3917" s="2">
        <v>49573</v>
      </c>
      <c r="C3917" t="s">
        <v>1349</v>
      </c>
      <c r="D3917" t="s">
        <v>1350</v>
      </c>
      <c r="E3917" t="s">
        <v>96</v>
      </c>
      <c r="F3917" t="s">
        <v>200</v>
      </c>
      <c r="G3917" t="s">
        <v>28</v>
      </c>
      <c r="H3917" t="s">
        <v>63</v>
      </c>
      <c r="I3917" t="s">
        <v>64</v>
      </c>
      <c r="J3917">
        <v>4</v>
      </c>
      <c r="K3917">
        <v>2400</v>
      </c>
      <c r="L3917">
        <v>0</v>
      </c>
      <c r="M3917">
        <v>9600</v>
      </c>
      <c r="N3917">
        <v>6600</v>
      </c>
      <c r="O3917">
        <v>3000</v>
      </c>
    </row>
    <row r="3918" spans="1:15" x14ac:dyDescent="0.25">
      <c r="A3918" t="s">
        <v>4983</v>
      </c>
      <c r="B3918" s="2">
        <v>49574</v>
      </c>
      <c r="C3918" t="s">
        <v>524</v>
      </c>
      <c r="D3918" t="s">
        <v>525</v>
      </c>
      <c r="E3918" t="s">
        <v>26</v>
      </c>
      <c r="F3918" t="s">
        <v>27</v>
      </c>
      <c r="G3918" t="s">
        <v>51</v>
      </c>
      <c r="H3918" t="s">
        <v>21</v>
      </c>
      <c r="I3918" t="s">
        <v>72</v>
      </c>
      <c r="J3918">
        <v>4</v>
      </c>
      <c r="K3918">
        <v>1800</v>
      </c>
      <c r="L3918">
        <v>0</v>
      </c>
      <c r="M3918">
        <v>7200</v>
      </c>
      <c r="N3918">
        <v>4400</v>
      </c>
      <c r="O3918">
        <v>2800</v>
      </c>
    </row>
    <row r="3919" spans="1:15" x14ac:dyDescent="0.25">
      <c r="A3919" t="s">
        <v>4984</v>
      </c>
      <c r="B3919" s="2">
        <v>49575</v>
      </c>
      <c r="C3919" t="s">
        <v>519</v>
      </c>
      <c r="D3919" t="s">
        <v>520</v>
      </c>
      <c r="E3919" t="s">
        <v>39</v>
      </c>
      <c r="F3919" t="s">
        <v>71</v>
      </c>
      <c r="G3919" t="s">
        <v>51</v>
      </c>
      <c r="H3919" t="s">
        <v>21</v>
      </c>
      <c r="I3919" t="s">
        <v>80</v>
      </c>
      <c r="J3919">
        <v>4</v>
      </c>
      <c r="K3919">
        <v>850</v>
      </c>
      <c r="L3919">
        <v>0.1</v>
      </c>
      <c r="M3919">
        <v>3060</v>
      </c>
      <c r="N3919">
        <v>2240</v>
      </c>
      <c r="O3919">
        <v>820</v>
      </c>
    </row>
    <row r="3920" spans="1:15" x14ac:dyDescent="0.25">
      <c r="A3920" t="s">
        <v>4985</v>
      </c>
      <c r="B3920" s="2">
        <v>49576</v>
      </c>
      <c r="C3920" t="s">
        <v>824</v>
      </c>
      <c r="D3920" t="s">
        <v>825</v>
      </c>
      <c r="E3920" t="s">
        <v>26</v>
      </c>
      <c r="F3920" t="s">
        <v>204</v>
      </c>
      <c r="G3920" t="s">
        <v>51</v>
      </c>
      <c r="H3920" t="s">
        <v>89</v>
      </c>
      <c r="I3920" t="s">
        <v>90</v>
      </c>
      <c r="J3920">
        <v>4</v>
      </c>
      <c r="K3920">
        <v>10500</v>
      </c>
      <c r="L3920">
        <v>0.1</v>
      </c>
      <c r="M3920">
        <v>37800</v>
      </c>
      <c r="N3920">
        <v>30400</v>
      </c>
      <c r="O3920">
        <v>7400</v>
      </c>
    </row>
    <row r="3921" spans="1:15" x14ac:dyDescent="0.25">
      <c r="A3921" t="s">
        <v>4986</v>
      </c>
      <c r="B3921" s="2">
        <v>49577</v>
      </c>
      <c r="C3921" t="s">
        <v>760</v>
      </c>
      <c r="D3921" t="s">
        <v>761</v>
      </c>
      <c r="E3921" t="s">
        <v>26</v>
      </c>
      <c r="F3921" t="s">
        <v>27</v>
      </c>
      <c r="G3921" t="s">
        <v>28</v>
      </c>
      <c r="H3921" t="s">
        <v>29</v>
      </c>
      <c r="I3921" t="s">
        <v>47</v>
      </c>
      <c r="J3921">
        <v>1</v>
      </c>
      <c r="K3921">
        <v>6800</v>
      </c>
      <c r="L3921">
        <v>0.1</v>
      </c>
      <c r="M3921">
        <v>6120</v>
      </c>
      <c r="N3921">
        <v>4700</v>
      </c>
      <c r="O3921">
        <v>1420</v>
      </c>
    </row>
    <row r="3922" spans="1:15" x14ac:dyDescent="0.25">
      <c r="A3922" t="s">
        <v>4987</v>
      </c>
      <c r="B3922" s="2">
        <v>49578</v>
      </c>
      <c r="C3922" t="s">
        <v>1563</v>
      </c>
      <c r="D3922" t="s">
        <v>1564</v>
      </c>
      <c r="E3922" t="s">
        <v>96</v>
      </c>
      <c r="F3922" t="s">
        <v>120</v>
      </c>
      <c r="G3922" t="s">
        <v>51</v>
      </c>
      <c r="H3922" t="s">
        <v>21</v>
      </c>
      <c r="I3922" t="s">
        <v>72</v>
      </c>
      <c r="J3922">
        <v>3</v>
      </c>
      <c r="K3922">
        <v>1800</v>
      </c>
      <c r="L3922">
        <v>0.05</v>
      </c>
      <c r="M3922">
        <v>5130</v>
      </c>
      <c r="N3922">
        <v>3300</v>
      </c>
      <c r="O3922">
        <v>1830</v>
      </c>
    </row>
    <row r="3923" spans="1:15" x14ac:dyDescent="0.25">
      <c r="A3923" t="s">
        <v>4988</v>
      </c>
      <c r="B3923" s="2">
        <v>49579</v>
      </c>
      <c r="C3923" t="s">
        <v>1720</v>
      </c>
      <c r="D3923" t="s">
        <v>1721</v>
      </c>
      <c r="E3923" t="s">
        <v>26</v>
      </c>
      <c r="F3923" t="s">
        <v>27</v>
      </c>
      <c r="G3923" t="s">
        <v>20</v>
      </c>
      <c r="H3923" t="s">
        <v>84</v>
      </c>
      <c r="I3923" t="s">
        <v>169</v>
      </c>
      <c r="J3923">
        <v>3</v>
      </c>
      <c r="K3923">
        <v>450</v>
      </c>
      <c r="L3923">
        <v>0.15</v>
      </c>
      <c r="M3923">
        <v>1147.5</v>
      </c>
      <c r="N3923">
        <v>780</v>
      </c>
      <c r="O3923">
        <v>367.5</v>
      </c>
    </row>
    <row r="3924" spans="1:15" x14ac:dyDescent="0.25">
      <c r="A3924" t="s">
        <v>4989</v>
      </c>
      <c r="B3924" s="2">
        <v>49580</v>
      </c>
      <c r="C3924" t="s">
        <v>1682</v>
      </c>
      <c r="D3924" t="s">
        <v>1683</v>
      </c>
      <c r="E3924" t="s">
        <v>26</v>
      </c>
      <c r="F3924" t="s">
        <v>27</v>
      </c>
      <c r="G3924" t="s">
        <v>57</v>
      </c>
      <c r="H3924" t="s">
        <v>58</v>
      </c>
      <c r="I3924" t="s">
        <v>59</v>
      </c>
      <c r="J3924">
        <v>1</v>
      </c>
      <c r="K3924">
        <v>5600</v>
      </c>
      <c r="L3924">
        <v>0.25</v>
      </c>
      <c r="M3924">
        <v>4200</v>
      </c>
      <c r="N3924">
        <v>3900</v>
      </c>
      <c r="O3924">
        <v>300</v>
      </c>
    </row>
    <row r="3925" spans="1:15" x14ac:dyDescent="0.25">
      <c r="A3925" t="s">
        <v>4990</v>
      </c>
      <c r="B3925" s="2">
        <v>49581</v>
      </c>
      <c r="C3925" t="s">
        <v>131</v>
      </c>
      <c r="D3925" t="s">
        <v>132</v>
      </c>
      <c r="E3925" t="s">
        <v>39</v>
      </c>
      <c r="F3925" t="s">
        <v>124</v>
      </c>
      <c r="G3925" t="s">
        <v>28</v>
      </c>
      <c r="H3925" t="s">
        <v>63</v>
      </c>
      <c r="I3925" t="s">
        <v>64</v>
      </c>
      <c r="J3925">
        <v>3</v>
      </c>
      <c r="K3925">
        <v>2400</v>
      </c>
      <c r="L3925">
        <v>0.05</v>
      </c>
      <c r="M3925">
        <v>6840</v>
      </c>
      <c r="N3925">
        <v>4950</v>
      </c>
      <c r="O3925">
        <v>1890</v>
      </c>
    </row>
    <row r="3926" spans="1:15" x14ac:dyDescent="0.25">
      <c r="A3926" t="s">
        <v>4991</v>
      </c>
      <c r="B3926" s="2">
        <v>49582</v>
      </c>
      <c r="C3926" t="s">
        <v>235</v>
      </c>
      <c r="D3926" t="s">
        <v>236</v>
      </c>
      <c r="E3926" t="s">
        <v>18</v>
      </c>
      <c r="F3926" t="s">
        <v>227</v>
      </c>
      <c r="G3926" t="s">
        <v>51</v>
      </c>
      <c r="H3926" t="s">
        <v>21</v>
      </c>
      <c r="I3926" t="s">
        <v>80</v>
      </c>
      <c r="J3926">
        <v>1</v>
      </c>
      <c r="K3926">
        <v>850</v>
      </c>
      <c r="L3926">
        <v>0.1</v>
      </c>
      <c r="M3926">
        <v>765</v>
      </c>
      <c r="N3926">
        <v>560</v>
      </c>
      <c r="O3926">
        <v>205</v>
      </c>
    </row>
    <row r="3927" spans="1:15" x14ac:dyDescent="0.25">
      <c r="A3927" t="s">
        <v>4992</v>
      </c>
      <c r="B3927" s="2">
        <v>49583</v>
      </c>
      <c r="C3927" t="s">
        <v>1019</v>
      </c>
      <c r="D3927" t="s">
        <v>1020</v>
      </c>
      <c r="E3927" t="s">
        <v>39</v>
      </c>
      <c r="F3927" t="s">
        <v>124</v>
      </c>
      <c r="G3927" t="s">
        <v>28</v>
      </c>
      <c r="H3927" t="s">
        <v>63</v>
      </c>
      <c r="I3927" t="s">
        <v>64</v>
      </c>
      <c r="J3927">
        <v>1</v>
      </c>
      <c r="K3927">
        <v>2400</v>
      </c>
      <c r="L3927">
        <v>0.05</v>
      </c>
      <c r="M3927">
        <v>2280</v>
      </c>
      <c r="N3927">
        <v>1650</v>
      </c>
      <c r="O3927">
        <v>630</v>
      </c>
    </row>
    <row r="3928" spans="1:15" x14ac:dyDescent="0.25">
      <c r="A3928" t="s">
        <v>4993</v>
      </c>
      <c r="B3928" s="2">
        <v>49584</v>
      </c>
      <c r="C3928" t="s">
        <v>994</v>
      </c>
      <c r="D3928" t="s">
        <v>995</v>
      </c>
      <c r="E3928" t="s">
        <v>39</v>
      </c>
      <c r="F3928" t="s">
        <v>76</v>
      </c>
      <c r="G3928" t="s">
        <v>20</v>
      </c>
      <c r="H3928" t="s">
        <v>21</v>
      </c>
      <c r="I3928" t="s">
        <v>22</v>
      </c>
      <c r="J3928">
        <v>4</v>
      </c>
      <c r="K3928">
        <v>650</v>
      </c>
      <c r="L3928">
        <v>0</v>
      </c>
      <c r="M3928">
        <v>2600</v>
      </c>
      <c r="N3928">
        <v>1560</v>
      </c>
      <c r="O3928">
        <v>1040</v>
      </c>
    </row>
    <row r="3929" spans="1:15" x14ac:dyDescent="0.25">
      <c r="A3929" t="s">
        <v>4994</v>
      </c>
      <c r="B3929" s="2">
        <v>49585</v>
      </c>
      <c r="C3929" t="s">
        <v>1095</v>
      </c>
      <c r="D3929" t="s">
        <v>1096</v>
      </c>
      <c r="E3929" t="s">
        <v>18</v>
      </c>
      <c r="F3929" t="s">
        <v>94</v>
      </c>
      <c r="G3929" t="s">
        <v>57</v>
      </c>
      <c r="H3929" t="s">
        <v>188</v>
      </c>
      <c r="I3929" t="s">
        <v>189</v>
      </c>
      <c r="J3929">
        <v>5</v>
      </c>
      <c r="K3929">
        <v>6200</v>
      </c>
      <c r="L3929">
        <v>0.15</v>
      </c>
      <c r="M3929">
        <v>26350</v>
      </c>
      <c r="N3929">
        <v>21500</v>
      </c>
      <c r="O3929">
        <v>4850</v>
      </c>
    </row>
    <row r="3930" spans="1:15" x14ac:dyDescent="0.25">
      <c r="A3930" t="s">
        <v>4995</v>
      </c>
      <c r="B3930" s="2">
        <v>49586</v>
      </c>
      <c r="C3930" t="s">
        <v>744</v>
      </c>
      <c r="D3930" t="s">
        <v>745</v>
      </c>
      <c r="E3930" t="s">
        <v>26</v>
      </c>
      <c r="F3930" t="s">
        <v>27</v>
      </c>
      <c r="G3930" t="s">
        <v>28</v>
      </c>
      <c r="H3930" t="s">
        <v>63</v>
      </c>
      <c r="I3930" t="s">
        <v>64</v>
      </c>
      <c r="J3930">
        <v>4</v>
      </c>
      <c r="K3930">
        <v>2400</v>
      </c>
      <c r="L3930">
        <v>0.1</v>
      </c>
      <c r="M3930">
        <v>8640</v>
      </c>
      <c r="N3930">
        <v>6600</v>
      </c>
      <c r="O3930">
        <v>2040</v>
      </c>
    </row>
    <row r="3931" spans="1:15" x14ac:dyDescent="0.25">
      <c r="A3931" t="s">
        <v>4996</v>
      </c>
      <c r="B3931" s="2">
        <v>49587</v>
      </c>
      <c r="C3931" t="s">
        <v>1276</v>
      </c>
      <c r="D3931" t="s">
        <v>1277</v>
      </c>
      <c r="E3931" t="s">
        <v>96</v>
      </c>
      <c r="F3931" t="s">
        <v>97</v>
      </c>
      <c r="G3931" t="s">
        <v>57</v>
      </c>
      <c r="H3931" t="s">
        <v>58</v>
      </c>
      <c r="I3931" t="s">
        <v>129</v>
      </c>
      <c r="J3931">
        <v>2</v>
      </c>
      <c r="K3931">
        <v>4800</v>
      </c>
      <c r="L3931">
        <v>0.1</v>
      </c>
      <c r="M3931">
        <v>8640</v>
      </c>
      <c r="N3931">
        <v>6600</v>
      </c>
      <c r="O3931">
        <v>2040</v>
      </c>
    </row>
    <row r="3932" spans="1:15" x14ac:dyDescent="0.25">
      <c r="A3932" t="s">
        <v>4997</v>
      </c>
      <c r="B3932" s="2">
        <v>49588</v>
      </c>
      <c r="C3932" t="s">
        <v>206</v>
      </c>
      <c r="D3932" t="s">
        <v>207</v>
      </c>
      <c r="E3932" t="s">
        <v>18</v>
      </c>
      <c r="F3932" t="s">
        <v>115</v>
      </c>
      <c r="G3932" t="s">
        <v>51</v>
      </c>
      <c r="H3932" t="s">
        <v>52</v>
      </c>
      <c r="I3932" t="s">
        <v>208</v>
      </c>
      <c r="J3932">
        <v>5</v>
      </c>
      <c r="K3932">
        <v>2800</v>
      </c>
      <c r="L3932">
        <v>0</v>
      </c>
      <c r="M3932">
        <v>14000</v>
      </c>
      <c r="N3932">
        <v>9000</v>
      </c>
      <c r="O3932">
        <v>5000</v>
      </c>
    </row>
    <row r="3933" spans="1:15" x14ac:dyDescent="0.25">
      <c r="A3933" t="s">
        <v>4998</v>
      </c>
      <c r="B3933" s="2">
        <v>49589</v>
      </c>
      <c r="C3933" t="s">
        <v>2785</v>
      </c>
      <c r="D3933" t="s">
        <v>2786</v>
      </c>
      <c r="E3933" t="s">
        <v>39</v>
      </c>
      <c r="F3933" t="s">
        <v>71</v>
      </c>
      <c r="G3933" t="s">
        <v>57</v>
      </c>
      <c r="H3933" t="s">
        <v>188</v>
      </c>
      <c r="I3933" t="s">
        <v>189</v>
      </c>
      <c r="J3933">
        <v>3</v>
      </c>
      <c r="K3933">
        <v>6200</v>
      </c>
      <c r="L3933">
        <v>0.1</v>
      </c>
      <c r="M3933">
        <v>16740</v>
      </c>
      <c r="N3933">
        <v>12900</v>
      </c>
      <c r="O3933">
        <v>3840</v>
      </c>
    </row>
    <row r="3934" spans="1:15" x14ac:dyDescent="0.25">
      <c r="A3934" t="s">
        <v>4999</v>
      </c>
      <c r="B3934" s="2">
        <v>49590</v>
      </c>
      <c r="C3934" t="s">
        <v>1130</v>
      </c>
      <c r="D3934" t="s">
        <v>1131</v>
      </c>
      <c r="E3934" t="s">
        <v>26</v>
      </c>
      <c r="F3934" t="s">
        <v>204</v>
      </c>
      <c r="G3934" t="s">
        <v>51</v>
      </c>
      <c r="H3934" t="s">
        <v>52</v>
      </c>
      <c r="I3934" t="s">
        <v>53</v>
      </c>
      <c r="J3934">
        <v>1</v>
      </c>
      <c r="K3934">
        <v>2200</v>
      </c>
      <c r="L3934">
        <v>0.15</v>
      </c>
      <c r="M3934">
        <v>1870</v>
      </c>
      <c r="N3934">
        <v>1450</v>
      </c>
      <c r="O3934">
        <v>420</v>
      </c>
    </row>
    <row r="3935" spans="1:15" x14ac:dyDescent="0.25">
      <c r="A3935" t="s">
        <v>5000</v>
      </c>
      <c r="B3935" s="2">
        <v>49591</v>
      </c>
      <c r="C3935" t="s">
        <v>1368</v>
      </c>
      <c r="D3935" t="s">
        <v>1369</v>
      </c>
      <c r="E3935" t="s">
        <v>39</v>
      </c>
      <c r="F3935" t="s">
        <v>76</v>
      </c>
      <c r="G3935" t="s">
        <v>28</v>
      </c>
      <c r="H3935" t="s">
        <v>63</v>
      </c>
      <c r="I3935" t="s">
        <v>64</v>
      </c>
      <c r="J3935">
        <v>1</v>
      </c>
      <c r="K3935">
        <v>2400</v>
      </c>
      <c r="L3935">
        <v>0</v>
      </c>
      <c r="M3935">
        <v>2400</v>
      </c>
      <c r="N3935">
        <v>1650</v>
      </c>
      <c r="O3935">
        <v>750</v>
      </c>
    </row>
    <row r="3936" spans="1:15" x14ac:dyDescent="0.25">
      <c r="A3936" t="s">
        <v>5001</v>
      </c>
      <c r="B3936" s="2">
        <v>49592</v>
      </c>
      <c r="C3936" t="s">
        <v>1246</v>
      </c>
      <c r="D3936" t="s">
        <v>1247</v>
      </c>
      <c r="E3936" t="s">
        <v>39</v>
      </c>
      <c r="F3936" t="s">
        <v>124</v>
      </c>
      <c r="G3936" t="s">
        <v>57</v>
      </c>
      <c r="H3936" t="s">
        <v>58</v>
      </c>
      <c r="I3936" t="s">
        <v>59</v>
      </c>
      <c r="J3936">
        <v>5</v>
      </c>
      <c r="K3936">
        <v>5600</v>
      </c>
      <c r="L3936">
        <v>0</v>
      </c>
      <c r="M3936">
        <v>28000</v>
      </c>
      <c r="N3936">
        <v>19500</v>
      </c>
      <c r="O3936">
        <v>8500</v>
      </c>
    </row>
    <row r="3937" spans="1:15" x14ac:dyDescent="0.25">
      <c r="A3937" t="s">
        <v>5002</v>
      </c>
      <c r="B3937" s="2">
        <v>49593</v>
      </c>
      <c r="C3937" t="s">
        <v>284</v>
      </c>
      <c r="D3937" t="s">
        <v>285</v>
      </c>
      <c r="E3937" t="s">
        <v>26</v>
      </c>
      <c r="F3937" t="s">
        <v>34</v>
      </c>
      <c r="G3937" t="s">
        <v>57</v>
      </c>
      <c r="H3937" t="s">
        <v>188</v>
      </c>
      <c r="I3937" t="s">
        <v>189</v>
      </c>
      <c r="J3937">
        <v>2</v>
      </c>
      <c r="K3937">
        <v>6200</v>
      </c>
      <c r="L3937">
        <v>0.1</v>
      </c>
      <c r="M3937">
        <v>11160</v>
      </c>
      <c r="N3937">
        <v>8600</v>
      </c>
      <c r="O3937">
        <v>2560</v>
      </c>
    </row>
    <row r="3938" spans="1:15" x14ac:dyDescent="0.25">
      <c r="A3938" t="s">
        <v>5003</v>
      </c>
      <c r="B3938" s="2">
        <v>49594</v>
      </c>
      <c r="C3938" t="s">
        <v>2247</v>
      </c>
      <c r="D3938" t="s">
        <v>2248</v>
      </c>
      <c r="E3938" t="s">
        <v>18</v>
      </c>
      <c r="F3938" t="s">
        <v>94</v>
      </c>
      <c r="G3938" t="s">
        <v>20</v>
      </c>
      <c r="H3938" t="s">
        <v>21</v>
      </c>
      <c r="I3938" t="s">
        <v>22</v>
      </c>
      <c r="J3938">
        <v>1</v>
      </c>
      <c r="K3938">
        <v>650</v>
      </c>
      <c r="L3938">
        <v>0.1</v>
      </c>
      <c r="M3938">
        <v>585</v>
      </c>
      <c r="N3938">
        <v>390</v>
      </c>
      <c r="O3938">
        <v>195</v>
      </c>
    </row>
    <row r="3939" spans="1:15" x14ac:dyDescent="0.25">
      <c r="A3939" t="s">
        <v>5004</v>
      </c>
      <c r="B3939" s="2">
        <v>49595</v>
      </c>
      <c r="C3939" t="s">
        <v>1514</v>
      </c>
      <c r="D3939" t="s">
        <v>1515</v>
      </c>
      <c r="E3939" t="s">
        <v>26</v>
      </c>
      <c r="F3939" t="s">
        <v>128</v>
      </c>
      <c r="G3939" t="s">
        <v>20</v>
      </c>
      <c r="H3939" t="s">
        <v>84</v>
      </c>
      <c r="I3939" t="s">
        <v>210</v>
      </c>
      <c r="J3939">
        <v>4</v>
      </c>
      <c r="K3939">
        <v>300</v>
      </c>
      <c r="L3939">
        <v>0.15</v>
      </c>
      <c r="M3939">
        <v>1020</v>
      </c>
      <c r="N3939">
        <v>680</v>
      </c>
      <c r="O3939">
        <v>340</v>
      </c>
    </row>
    <row r="3940" spans="1:15" x14ac:dyDescent="0.25">
      <c r="A3940" t="s">
        <v>5005</v>
      </c>
      <c r="B3940" s="2">
        <v>49596</v>
      </c>
      <c r="C3940" t="s">
        <v>459</v>
      </c>
      <c r="D3940" t="s">
        <v>460</v>
      </c>
      <c r="E3940" t="s">
        <v>39</v>
      </c>
      <c r="F3940" t="s">
        <v>76</v>
      </c>
      <c r="G3940" t="s">
        <v>20</v>
      </c>
      <c r="H3940" t="s">
        <v>84</v>
      </c>
      <c r="I3940" t="s">
        <v>210</v>
      </c>
      <c r="J3940">
        <v>5</v>
      </c>
      <c r="K3940">
        <v>300</v>
      </c>
      <c r="L3940">
        <v>0.1</v>
      </c>
      <c r="M3940">
        <v>1350</v>
      </c>
      <c r="N3940">
        <v>850</v>
      </c>
      <c r="O3940">
        <v>500</v>
      </c>
    </row>
    <row r="3941" spans="1:15" x14ac:dyDescent="0.25">
      <c r="A3941" t="s">
        <v>5006</v>
      </c>
      <c r="B3941" s="2">
        <v>49597</v>
      </c>
      <c r="C3941" t="s">
        <v>2125</v>
      </c>
      <c r="D3941" t="s">
        <v>2126</v>
      </c>
      <c r="E3941" t="s">
        <v>39</v>
      </c>
      <c r="F3941" t="s">
        <v>124</v>
      </c>
      <c r="G3941" t="s">
        <v>57</v>
      </c>
      <c r="H3941" t="s">
        <v>58</v>
      </c>
      <c r="I3941" t="s">
        <v>59</v>
      </c>
      <c r="J3941">
        <v>3</v>
      </c>
      <c r="K3941">
        <v>5600</v>
      </c>
      <c r="L3941">
        <v>0.1</v>
      </c>
      <c r="M3941">
        <v>15120</v>
      </c>
      <c r="N3941">
        <v>11700</v>
      </c>
      <c r="O3941">
        <v>3420</v>
      </c>
    </row>
    <row r="3942" spans="1:15" x14ac:dyDescent="0.25">
      <c r="A3942" t="s">
        <v>5007</v>
      </c>
      <c r="B3942" s="2">
        <v>49598</v>
      </c>
      <c r="C3942" t="s">
        <v>134</v>
      </c>
      <c r="D3942" t="s">
        <v>135</v>
      </c>
      <c r="E3942" t="s">
        <v>39</v>
      </c>
      <c r="F3942" t="s">
        <v>40</v>
      </c>
      <c r="G3942" t="s">
        <v>20</v>
      </c>
      <c r="H3942" t="s">
        <v>84</v>
      </c>
      <c r="I3942" t="s">
        <v>210</v>
      </c>
      <c r="J3942">
        <v>3</v>
      </c>
      <c r="K3942">
        <v>300</v>
      </c>
      <c r="L3942">
        <v>0.05</v>
      </c>
      <c r="M3942">
        <v>855</v>
      </c>
      <c r="N3942">
        <v>510</v>
      </c>
      <c r="O3942">
        <v>345</v>
      </c>
    </row>
    <row r="3943" spans="1:15" x14ac:dyDescent="0.25">
      <c r="A3943" t="s">
        <v>5008</v>
      </c>
      <c r="B3943" s="2">
        <v>49599</v>
      </c>
      <c r="C3943" t="s">
        <v>1932</v>
      </c>
      <c r="D3943" t="s">
        <v>1933</v>
      </c>
      <c r="E3943" t="s">
        <v>26</v>
      </c>
      <c r="F3943" t="s">
        <v>34</v>
      </c>
      <c r="G3943" t="s">
        <v>20</v>
      </c>
      <c r="H3943" t="s">
        <v>84</v>
      </c>
      <c r="I3943" t="s">
        <v>210</v>
      </c>
      <c r="J3943">
        <v>5</v>
      </c>
      <c r="K3943">
        <v>300</v>
      </c>
      <c r="L3943">
        <v>0</v>
      </c>
      <c r="M3943">
        <v>1500</v>
      </c>
      <c r="N3943">
        <v>850</v>
      </c>
      <c r="O3943">
        <v>650</v>
      </c>
    </row>
    <row r="3944" spans="1:15" x14ac:dyDescent="0.25">
      <c r="A3944" t="s">
        <v>5009</v>
      </c>
      <c r="B3944" s="2">
        <v>49600</v>
      </c>
      <c r="C3944" t="s">
        <v>2374</v>
      </c>
      <c r="D3944" t="s">
        <v>2375</v>
      </c>
      <c r="E3944" t="s">
        <v>18</v>
      </c>
      <c r="F3944" t="s">
        <v>94</v>
      </c>
      <c r="G3944" t="s">
        <v>57</v>
      </c>
      <c r="H3944" t="s">
        <v>58</v>
      </c>
      <c r="I3944" t="s">
        <v>129</v>
      </c>
      <c r="J3944">
        <v>3</v>
      </c>
      <c r="K3944">
        <v>4800</v>
      </c>
      <c r="L3944">
        <v>0.2</v>
      </c>
      <c r="M3944">
        <v>11520</v>
      </c>
      <c r="N3944">
        <v>9900</v>
      </c>
      <c r="O3944">
        <v>1620</v>
      </c>
    </row>
    <row r="3945" spans="1:15" x14ac:dyDescent="0.25">
      <c r="A3945" t="s">
        <v>5010</v>
      </c>
      <c r="B3945" s="2">
        <v>49601</v>
      </c>
      <c r="C3945" t="s">
        <v>3063</v>
      </c>
      <c r="D3945" t="s">
        <v>3064</v>
      </c>
      <c r="E3945" t="s">
        <v>39</v>
      </c>
      <c r="F3945" t="s">
        <v>71</v>
      </c>
      <c r="G3945" t="s">
        <v>57</v>
      </c>
      <c r="H3945" t="s">
        <v>58</v>
      </c>
      <c r="I3945" t="s">
        <v>129</v>
      </c>
      <c r="J3945">
        <v>4</v>
      </c>
      <c r="K3945">
        <v>4800</v>
      </c>
      <c r="L3945">
        <v>0.2</v>
      </c>
      <c r="M3945">
        <v>15360</v>
      </c>
      <c r="N3945">
        <v>13200</v>
      </c>
      <c r="O3945">
        <v>2160</v>
      </c>
    </row>
    <row r="3946" spans="1:15" x14ac:dyDescent="0.25">
      <c r="A3946" t="s">
        <v>5011</v>
      </c>
      <c r="B3946" s="2">
        <v>49602</v>
      </c>
      <c r="C3946" t="s">
        <v>134</v>
      </c>
      <c r="D3946" t="s">
        <v>135</v>
      </c>
      <c r="E3946" t="s">
        <v>96</v>
      </c>
      <c r="F3946" t="s">
        <v>120</v>
      </c>
      <c r="G3946" t="s">
        <v>57</v>
      </c>
      <c r="H3946" t="s">
        <v>58</v>
      </c>
      <c r="I3946" t="s">
        <v>59</v>
      </c>
      <c r="J3946">
        <v>1</v>
      </c>
      <c r="K3946">
        <v>5600</v>
      </c>
      <c r="L3946">
        <v>0.15</v>
      </c>
      <c r="M3946">
        <v>4760</v>
      </c>
      <c r="N3946">
        <v>3900</v>
      </c>
      <c r="O3946">
        <v>860</v>
      </c>
    </row>
    <row r="3947" spans="1:15" x14ac:dyDescent="0.25">
      <c r="A3947" t="s">
        <v>5012</v>
      </c>
      <c r="B3947" s="2">
        <v>49603</v>
      </c>
      <c r="C3947" t="s">
        <v>516</v>
      </c>
      <c r="D3947" t="s">
        <v>517</v>
      </c>
      <c r="E3947" t="s">
        <v>26</v>
      </c>
      <c r="F3947" t="s">
        <v>27</v>
      </c>
      <c r="G3947" t="s">
        <v>28</v>
      </c>
      <c r="H3947" t="s">
        <v>63</v>
      </c>
      <c r="I3947" t="s">
        <v>64</v>
      </c>
      <c r="J3947">
        <v>4</v>
      </c>
      <c r="K3947">
        <v>2400</v>
      </c>
      <c r="L3947">
        <v>0.1</v>
      </c>
      <c r="M3947">
        <v>8640</v>
      </c>
      <c r="N3947">
        <v>6600</v>
      </c>
      <c r="O3947">
        <v>2040</v>
      </c>
    </row>
    <row r="3948" spans="1:15" x14ac:dyDescent="0.25">
      <c r="A3948" t="s">
        <v>5013</v>
      </c>
      <c r="B3948" s="2">
        <v>49604</v>
      </c>
      <c r="C3948" t="s">
        <v>1372</v>
      </c>
      <c r="D3948" t="s">
        <v>1373</v>
      </c>
      <c r="E3948" t="s">
        <v>18</v>
      </c>
      <c r="F3948" t="s">
        <v>227</v>
      </c>
      <c r="G3948" t="s">
        <v>57</v>
      </c>
      <c r="H3948" t="s">
        <v>104</v>
      </c>
      <c r="I3948" t="s">
        <v>105</v>
      </c>
      <c r="J3948">
        <v>3</v>
      </c>
      <c r="K3948">
        <v>7500</v>
      </c>
      <c r="L3948">
        <v>0.15</v>
      </c>
      <c r="M3948">
        <v>19125</v>
      </c>
      <c r="N3948">
        <v>15600</v>
      </c>
      <c r="O3948">
        <v>3525</v>
      </c>
    </row>
    <row r="3949" spans="1:15" x14ac:dyDescent="0.25">
      <c r="A3949" t="s">
        <v>5014</v>
      </c>
      <c r="B3949" s="2">
        <v>49605</v>
      </c>
      <c r="C3949" t="s">
        <v>118</v>
      </c>
      <c r="D3949" t="s">
        <v>119</v>
      </c>
      <c r="E3949" t="s">
        <v>18</v>
      </c>
      <c r="F3949" t="s">
        <v>94</v>
      </c>
      <c r="G3949" t="s">
        <v>51</v>
      </c>
      <c r="H3949" t="s">
        <v>21</v>
      </c>
      <c r="I3949" t="s">
        <v>80</v>
      </c>
      <c r="J3949">
        <v>2</v>
      </c>
      <c r="K3949">
        <v>850</v>
      </c>
      <c r="L3949">
        <v>0</v>
      </c>
      <c r="M3949">
        <v>1700</v>
      </c>
      <c r="N3949">
        <v>1120</v>
      </c>
      <c r="O3949">
        <v>580</v>
      </c>
    </row>
    <row r="3950" spans="1:15" x14ac:dyDescent="0.25">
      <c r="A3950" t="s">
        <v>5015</v>
      </c>
      <c r="B3950" s="2">
        <v>49606</v>
      </c>
      <c r="C3950" t="s">
        <v>700</v>
      </c>
      <c r="D3950" t="s">
        <v>701</v>
      </c>
      <c r="E3950" t="s">
        <v>18</v>
      </c>
      <c r="F3950" t="s">
        <v>115</v>
      </c>
      <c r="G3950" t="s">
        <v>20</v>
      </c>
      <c r="H3950" t="s">
        <v>84</v>
      </c>
      <c r="I3950" t="s">
        <v>169</v>
      </c>
      <c r="J3950">
        <v>1</v>
      </c>
      <c r="K3950">
        <v>450</v>
      </c>
      <c r="L3950">
        <v>0.2</v>
      </c>
      <c r="M3950">
        <v>360</v>
      </c>
      <c r="N3950">
        <v>260</v>
      </c>
      <c r="O3950">
        <v>100</v>
      </c>
    </row>
    <row r="3951" spans="1:15" x14ac:dyDescent="0.25">
      <c r="A3951" t="s">
        <v>5016</v>
      </c>
      <c r="B3951" s="2">
        <v>49607</v>
      </c>
      <c r="C3951" t="s">
        <v>1085</v>
      </c>
      <c r="D3951" t="s">
        <v>1086</v>
      </c>
      <c r="E3951" t="s">
        <v>96</v>
      </c>
      <c r="F3951" t="s">
        <v>120</v>
      </c>
      <c r="G3951" t="s">
        <v>20</v>
      </c>
      <c r="H3951" t="s">
        <v>84</v>
      </c>
      <c r="I3951" t="s">
        <v>210</v>
      </c>
      <c r="J3951">
        <v>5</v>
      </c>
      <c r="K3951">
        <v>300</v>
      </c>
      <c r="L3951">
        <v>0.25</v>
      </c>
      <c r="M3951">
        <v>1125</v>
      </c>
      <c r="N3951">
        <v>850</v>
      </c>
      <c r="O3951">
        <v>275</v>
      </c>
    </row>
    <row r="3952" spans="1:15" x14ac:dyDescent="0.25">
      <c r="A3952" t="s">
        <v>5017</v>
      </c>
      <c r="B3952" s="2">
        <v>49608</v>
      </c>
      <c r="C3952" t="s">
        <v>1745</v>
      </c>
      <c r="D3952" t="s">
        <v>1746</v>
      </c>
      <c r="E3952" t="s">
        <v>96</v>
      </c>
      <c r="F3952" t="s">
        <v>196</v>
      </c>
      <c r="G3952" t="s">
        <v>51</v>
      </c>
      <c r="H3952" t="s">
        <v>21</v>
      </c>
      <c r="I3952" t="s">
        <v>80</v>
      </c>
      <c r="J3952">
        <v>3</v>
      </c>
      <c r="K3952">
        <v>850</v>
      </c>
      <c r="L3952">
        <v>0.15</v>
      </c>
      <c r="M3952">
        <v>2167.5</v>
      </c>
      <c r="N3952">
        <v>1680</v>
      </c>
      <c r="O3952">
        <v>487.5</v>
      </c>
    </row>
    <row r="3953" spans="1:15" x14ac:dyDescent="0.25">
      <c r="A3953" t="s">
        <v>5018</v>
      </c>
      <c r="B3953" s="2">
        <v>49609</v>
      </c>
      <c r="C3953" t="s">
        <v>824</v>
      </c>
      <c r="D3953" t="s">
        <v>825</v>
      </c>
      <c r="E3953" t="s">
        <v>18</v>
      </c>
      <c r="F3953" t="s">
        <v>19</v>
      </c>
      <c r="G3953" t="s">
        <v>20</v>
      </c>
      <c r="H3953" t="s">
        <v>41</v>
      </c>
      <c r="I3953" t="s">
        <v>42</v>
      </c>
      <c r="J3953">
        <v>1</v>
      </c>
      <c r="K3953">
        <v>520</v>
      </c>
      <c r="L3953">
        <v>0.1</v>
      </c>
      <c r="M3953">
        <v>468</v>
      </c>
      <c r="N3953">
        <v>330</v>
      </c>
      <c r="O3953">
        <v>138</v>
      </c>
    </row>
    <row r="3954" spans="1:15" x14ac:dyDescent="0.25">
      <c r="A3954" t="s">
        <v>5019</v>
      </c>
      <c r="B3954" s="2">
        <v>49610</v>
      </c>
      <c r="C3954" t="s">
        <v>2449</v>
      </c>
      <c r="D3954" t="s">
        <v>2450</v>
      </c>
      <c r="E3954" t="s">
        <v>39</v>
      </c>
      <c r="F3954" t="s">
        <v>124</v>
      </c>
      <c r="G3954" t="s">
        <v>57</v>
      </c>
      <c r="H3954" t="s">
        <v>104</v>
      </c>
      <c r="I3954" t="s">
        <v>105</v>
      </c>
      <c r="J3954">
        <v>1</v>
      </c>
      <c r="K3954">
        <v>7500</v>
      </c>
      <c r="L3954">
        <v>0.1</v>
      </c>
      <c r="M3954">
        <v>6750</v>
      </c>
      <c r="N3954">
        <v>5200</v>
      </c>
      <c r="O3954">
        <v>1550</v>
      </c>
    </row>
    <row r="3955" spans="1:15" x14ac:dyDescent="0.25">
      <c r="A3955" t="s">
        <v>5020</v>
      </c>
      <c r="B3955" s="2">
        <v>49611</v>
      </c>
      <c r="C3955" t="s">
        <v>278</v>
      </c>
      <c r="D3955" t="s">
        <v>279</v>
      </c>
      <c r="E3955" t="s">
        <v>18</v>
      </c>
      <c r="F3955" t="s">
        <v>19</v>
      </c>
      <c r="G3955" t="s">
        <v>57</v>
      </c>
      <c r="H3955" t="s">
        <v>58</v>
      </c>
      <c r="I3955" t="s">
        <v>59</v>
      </c>
      <c r="J3955">
        <v>2</v>
      </c>
      <c r="K3955">
        <v>5600</v>
      </c>
      <c r="L3955">
        <v>0.15</v>
      </c>
      <c r="M3955">
        <v>9520</v>
      </c>
      <c r="N3955">
        <v>7800</v>
      </c>
      <c r="O3955">
        <v>1720</v>
      </c>
    </row>
    <row r="3956" spans="1:15" x14ac:dyDescent="0.25">
      <c r="A3956" t="s">
        <v>5021</v>
      </c>
      <c r="B3956" s="2">
        <v>49612</v>
      </c>
      <c r="C3956" t="s">
        <v>1127</v>
      </c>
      <c r="D3956" t="s">
        <v>1128</v>
      </c>
      <c r="E3956" t="s">
        <v>96</v>
      </c>
      <c r="F3956" t="s">
        <v>200</v>
      </c>
      <c r="G3956" t="s">
        <v>51</v>
      </c>
      <c r="H3956" t="s">
        <v>21</v>
      </c>
      <c r="I3956" t="s">
        <v>116</v>
      </c>
      <c r="J3956">
        <v>2</v>
      </c>
      <c r="K3956">
        <v>1400</v>
      </c>
      <c r="L3956">
        <v>0.2</v>
      </c>
      <c r="M3956">
        <v>2240</v>
      </c>
      <c r="N3956">
        <v>1800</v>
      </c>
      <c r="O3956">
        <v>440</v>
      </c>
    </row>
    <row r="3957" spans="1:15" x14ac:dyDescent="0.25">
      <c r="A3957" t="s">
        <v>5022</v>
      </c>
      <c r="B3957" s="2">
        <v>49613</v>
      </c>
      <c r="C3957" t="s">
        <v>102</v>
      </c>
      <c r="D3957" t="s">
        <v>103</v>
      </c>
      <c r="E3957" t="s">
        <v>26</v>
      </c>
      <c r="F3957" t="s">
        <v>204</v>
      </c>
      <c r="G3957" t="s">
        <v>28</v>
      </c>
      <c r="H3957" t="s">
        <v>29</v>
      </c>
      <c r="I3957" t="s">
        <v>30</v>
      </c>
      <c r="J3957">
        <v>2</v>
      </c>
      <c r="K3957">
        <v>1900</v>
      </c>
      <c r="L3957">
        <v>0.15</v>
      </c>
      <c r="M3957">
        <v>3230</v>
      </c>
      <c r="N3957">
        <v>2500</v>
      </c>
      <c r="O3957">
        <v>730</v>
      </c>
    </row>
    <row r="3958" spans="1:15" x14ac:dyDescent="0.25">
      <c r="A3958" t="s">
        <v>5023</v>
      </c>
      <c r="B3958" s="2">
        <v>49614</v>
      </c>
      <c r="C3958" t="s">
        <v>212</v>
      </c>
      <c r="D3958" t="s">
        <v>213</v>
      </c>
      <c r="E3958" t="s">
        <v>26</v>
      </c>
      <c r="F3958" t="s">
        <v>34</v>
      </c>
      <c r="G3958" t="s">
        <v>51</v>
      </c>
      <c r="H3958" t="s">
        <v>21</v>
      </c>
      <c r="I3958" t="s">
        <v>72</v>
      </c>
      <c r="J3958">
        <v>3</v>
      </c>
      <c r="K3958">
        <v>1800</v>
      </c>
      <c r="L3958">
        <v>0</v>
      </c>
      <c r="M3958">
        <v>5400</v>
      </c>
      <c r="N3958">
        <v>3300</v>
      </c>
      <c r="O3958">
        <v>2100</v>
      </c>
    </row>
    <row r="3959" spans="1:15" x14ac:dyDescent="0.25">
      <c r="A3959" t="s">
        <v>5024</v>
      </c>
      <c r="B3959" s="2">
        <v>49615</v>
      </c>
      <c r="C3959" t="s">
        <v>2785</v>
      </c>
      <c r="D3959" t="s">
        <v>2786</v>
      </c>
      <c r="E3959" t="s">
        <v>26</v>
      </c>
      <c r="F3959" t="s">
        <v>128</v>
      </c>
      <c r="G3959" t="s">
        <v>20</v>
      </c>
      <c r="H3959" t="s">
        <v>84</v>
      </c>
      <c r="I3959" t="s">
        <v>210</v>
      </c>
      <c r="J3959">
        <v>5</v>
      </c>
      <c r="K3959">
        <v>300</v>
      </c>
      <c r="L3959">
        <v>0.1</v>
      </c>
      <c r="M3959">
        <v>1350</v>
      </c>
      <c r="N3959">
        <v>850</v>
      </c>
      <c r="O3959">
        <v>500</v>
      </c>
    </row>
    <row r="3960" spans="1:15" x14ac:dyDescent="0.25">
      <c r="A3960" t="s">
        <v>5025</v>
      </c>
      <c r="B3960" s="2">
        <v>49616</v>
      </c>
      <c r="C3960" t="s">
        <v>926</v>
      </c>
      <c r="D3960" t="s">
        <v>927</v>
      </c>
      <c r="E3960" t="s">
        <v>39</v>
      </c>
      <c r="F3960" t="s">
        <v>76</v>
      </c>
      <c r="G3960" t="s">
        <v>51</v>
      </c>
      <c r="H3960" t="s">
        <v>52</v>
      </c>
      <c r="I3960" t="s">
        <v>53</v>
      </c>
      <c r="J3960">
        <v>3</v>
      </c>
      <c r="K3960">
        <v>2200</v>
      </c>
      <c r="L3960">
        <v>0</v>
      </c>
      <c r="M3960">
        <v>6600</v>
      </c>
      <c r="N3960">
        <v>4350</v>
      </c>
      <c r="O3960">
        <v>2250</v>
      </c>
    </row>
    <row r="3961" spans="1:15" x14ac:dyDescent="0.25">
      <c r="A3961" t="s">
        <v>5026</v>
      </c>
      <c r="B3961" s="2">
        <v>49617</v>
      </c>
      <c r="C3961" t="s">
        <v>912</v>
      </c>
      <c r="D3961" t="s">
        <v>913</v>
      </c>
      <c r="E3961" t="s">
        <v>96</v>
      </c>
      <c r="F3961" t="s">
        <v>200</v>
      </c>
      <c r="G3961" t="s">
        <v>57</v>
      </c>
      <c r="H3961" t="s">
        <v>188</v>
      </c>
      <c r="I3961" t="s">
        <v>189</v>
      </c>
      <c r="J3961">
        <v>5</v>
      </c>
      <c r="K3961">
        <v>6200</v>
      </c>
      <c r="L3961">
        <v>0.1</v>
      </c>
      <c r="M3961">
        <v>27900</v>
      </c>
      <c r="N3961">
        <v>21500</v>
      </c>
      <c r="O3961">
        <v>6400</v>
      </c>
    </row>
    <row r="3962" spans="1:15" x14ac:dyDescent="0.25">
      <c r="A3962" t="s">
        <v>5027</v>
      </c>
      <c r="B3962" s="2">
        <v>49618</v>
      </c>
      <c r="C3962" t="s">
        <v>597</v>
      </c>
      <c r="D3962" t="s">
        <v>598</v>
      </c>
      <c r="E3962" t="s">
        <v>39</v>
      </c>
      <c r="F3962" t="s">
        <v>40</v>
      </c>
      <c r="G3962" t="s">
        <v>20</v>
      </c>
      <c r="H3962" t="s">
        <v>41</v>
      </c>
      <c r="I3962" t="s">
        <v>42</v>
      </c>
      <c r="J3962">
        <v>5</v>
      </c>
      <c r="K3962">
        <v>520</v>
      </c>
      <c r="L3962">
        <v>0.2</v>
      </c>
      <c r="M3962">
        <v>2080</v>
      </c>
      <c r="N3962">
        <v>1650</v>
      </c>
      <c r="O3962">
        <v>430</v>
      </c>
    </row>
    <row r="3963" spans="1:15" x14ac:dyDescent="0.25">
      <c r="A3963" t="s">
        <v>5028</v>
      </c>
      <c r="B3963" s="2">
        <v>49619</v>
      </c>
      <c r="C3963" t="s">
        <v>1117</v>
      </c>
      <c r="D3963" t="s">
        <v>1118</v>
      </c>
      <c r="E3963" t="s">
        <v>96</v>
      </c>
      <c r="F3963" t="s">
        <v>200</v>
      </c>
      <c r="G3963" t="s">
        <v>28</v>
      </c>
      <c r="H3963" t="s">
        <v>63</v>
      </c>
      <c r="I3963" t="s">
        <v>64</v>
      </c>
      <c r="J3963">
        <v>3</v>
      </c>
      <c r="K3963">
        <v>2400</v>
      </c>
      <c r="L3963">
        <v>0.1</v>
      </c>
      <c r="M3963">
        <v>6480</v>
      </c>
      <c r="N3963">
        <v>4950</v>
      </c>
      <c r="O3963">
        <v>1530</v>
      </c>
    </row>
    <row r="3964" spans="1:15" x14ac:dyDescent="0.25">
      <c r="A3964" t="s">
        <v>5029</v>
      </c>
      <c r="B3964" s="2">
        <v>49620</v>
      </c>
      <c r="C3964" t="s">
        <v>2648</v>
      </c>
      <c r="D3964" t="s">
        <v>2649</v>
      </c>
      <c r="E3964" t="s">
        <v>26</v>
      </c>
      <c r="F3964" t="s">
        <v>128</v>
      </c>
      <c r="G3964" t="s">
        <v>57</v>
      </c>
      <c r="H3964" t="s">
        <v>104</v>
      </c>
      <c r="I3964" t="s">
        <v>105</v>
      </c>
      <c r="J3964">
        <v>5</v>
      </c>
      <c r="K3964">
        <v>7500</v>
      </c>
      <c r="L3964">
        <v>0.2</v>
      </c>
      <c r="M3964">
        <v>30000</v>
      </c>
      <c r="N3964">
        <v>26000</v>
      </c>
      <c r="O3964">
        <v>4000</v>
      </c>
    </row>
    <row r="3965" spans="1:15" x14ac:dyDescent="0.25">
      <c r="A3965" t="s">
        <v>5030</v>
      </c>
      <c r="B3965" s="2">
        <v>49621</v>
      </c>
      <c r="C3965" t="s">
        <v>174</v>
      </c>
      <c r="D3965" t="s">
        <v>175</v>
      </c>
      <c r="E3965" t="s">
        <v>39</v>
      </c>
      <c r="F3965" t="s">
        <v>40</v>
      </c>
      <c r="G3965" t="s">
        <v>51</v>
      </c>
      <c r="H3965" t="s">
        <v>21</v>
      </c>
      <c r="I3965" t="s">
        <v>80</v>
      </c>
      <c r="J3965">
        <v>1</v>
      </c>
      <c r="K3965">
        <v>850</v>
      </c>
      <c r="L3965">
        <v>0.15</v>
      </c>
      <c r="M3965">
        <v>722.5</v>
      </c>
      <c r="N3965">
        <v>560</v>
      </c>
      <c r="O3965">
        <v>162.5</v>
      </c>
    </row>
    <row r="3966" spans="1:15" x14ac:dyDescent="0.25">
      <c r="A3966" t="s">
        <v>5031</v>
      </c>
      <c r="B3966" s="2">
        <v>49622</v>
      </c>
      <c r="C3966" t="s">
        <v>1486</v>
      </c>
      <c r="D3966" t="s">
        <v>1487</v>
      </c>
      <c r="E3966" t="s">
        <v>18</v>
      </c>
      <c r="F3966" t="s">
        <v>94</v>
      </c>
      <c r="G3966" t="s">
        <v>57</v>
      </c>
      <c r="H3966" t="s">
        <v>58</v>
      </c>
      <c r="I3966" t="s">
        <v>59</v>
      </c>
      <c r="J3966">
        <v>1</v>
      </c>
      <c r="K3966">
        <v>5600</v>
      </c>
      <c r="L3966">
        <v>0.05</v>
      </c>
      <c r="M3966">
        <v>5320</v>
      </c>
      <c r="N3966">
        <v>3900</v>
      </c>
      <c r="O3966">
        <v>1420</v>
      </c>
    </row>
    <row r="3967" spans="1:15" x14ac:dyDescent="0.25">
      <c r="A3967" t="s">
        <v>5032</v>
      </c>
      <c r="B3967" s="2">
        <v>49623</v>
      </c>
      <c r="C3967" t="s">
        <v>1510</v>
      </c>
      <c r="D3967" t="s">
        <v>1511</v>
      </c>
      <c r="E3967" t="s">
        <v>26</v>
      </c>
      <c r="F3967" t="s">
        <v>204</v>
      </c>
      <c r="G3967" t="s">
        <v>20</v>
      </c>
      <c r="H3967" t="s">
        <v>84</v>
      </c>
      <c r="I3967" t="s">
        <v>85</v>
      </c>
      <c r="J3967">
        <v>5</v>
      </c>
      <c r="K3967">
        <v>280</v>
      </c>
      <c r="L3967">
        <v>0.05</v>
      </c>
      <c r="M3967">
        <v>1330</v>
      </c>
      <c r="N3967">
        <v>800</v>
      </c>
      <c r="O3967">
        <v>530</v>
      </c>
    </row>
    <row r="3968" spans="1:15" x14ac:dyDescent="0.25">
      <c r="A3968" t="s">
        <v>5033</v>
      </c>
      <c r="B3968" s="2">
        <v>49624</v>
      </c>
      <c r="C3968" t="s">
        <v>647</v>
      </c>
      <c r="D3968" t="s">
        <v>648</v>
      </c>
      <c r="E3968" t="s">
        <v>39</v>
      </c>
      <c r="F3968" t="s">
        <v>40</v>
      </c>
      <c r="G3968" t="s">
        <v>51</v>
      </c>
      <c r="H3968" t="s">
        <v>52</v>
      </c>
      <c r="I3968" t="s">
        <v>208</v>
      </c>
      <c r="J3968">
        <v>2</v>
      </c>
      <c r="K3968">
        <v>2800</v>
      </c>
      <c r="L3968">
        <v>0.2</v>
      </c>
      <c r="M3968">
        <v>4480</v>
      </c>
      <c r="N3968">
        <v>3600</v>
      </c>
      <c r="O3968">
        <v>880</v>
      </c>
    </row>
    <row r="3969" spans="1:15" x14ac:dyDescent="0.25">
      <c r="A3969" t="s">
        <v>5034</v>
      </c>
      <c r="B3969" s="2">
        <v>49625</v>
      </c>
      <c r="C3969" t="s">
        <v>769</v>
      </c>
      <c r="D3969" t="s">
        <v>770</v>
      </c>
      <c r="E3969" t="s">
        <v>26</v>
      </c>
      <c r="F3969" t="s">
        <v>46</v>
      </c>
      <c r="G3969" t="s">
        <v>57</v>
      </c>
      <c r="H3969" t="s">
        <v>58</v>
      </c>
      <c r="I3969" t="s">
        <v>59</v>
      </c>
      <c r="J3969">
        <v>5</v>
      </c>
      <c r="K3969">
        <v>5600</v>
      </c>
      <c r="L3969">
        <v>0.05</v>
      </c>
      <c r="M3969">
        <v>26600</v>
      </c>
      <c r="N3969">
        <v>19500</v>
      </c>
      <c r="O3969">
        <v>7100</v>
      </c>
    </row>
    <row r="3970" spans="1:15" x14ac:dyDescent="0.25">
      <c r="A3970" t="s">
        <v>5035</v>
      </c>
      <c r="B3970" s="2">
        <v>49626</v>
      </c>
      <c r="C3970" t="s">
        <v>941</v>
      </c>
      <c r="D3970" t="s">
        <v>942</v>
      </c>
      <c r="E3970" t="s">
        <v>39</v>
      </c>
      <c r="F3970" t="s">
        <v>76</v>
      </c>
      <c r="G3970" t="s">
        <v>20</v>
      </c>
      <c r="H3970" t="s">
        <v>84</v>
      </c>
      <c r="I3970" t="s">
        <v>169</v>
      </c>
      <c r="J3970">
        <v>3</v>
      </c>
      <c r="K3970">
        <v>450</v>
      </c>
      <c r="L3970">
        <v>0.05</v>
      </c>
      <c r="M3970">
        <v>1282.5</v>
      </c>
      <c r="N3970">
        <v>780</v>
      </c>
      <c r="O3970">
        <v>502.5</v>
      </c>
    </row>
    <row r="3971" spans="1:15" x14ac:dyDescent="0.25">
      <c r="A3971" t="s">
        <v>5036</v>
      </c>
      <c r="B3971" s="2">
        <v>49627</v>
      </c>
      <c r="C3971" t="s">
        <v>1243</v>
      </c>
      <c r="D3971" t="s">
        <v>1244</v>
      </c>
      <c r="E3971" t="s">
        <v>96</v>
      </c>
      <c r="F3971" t="s">
        <v>196</v>
      </c>
      <c r="G3971" t="s">
        <v>20</v>
      </c>
      <c r="H3971" t="s">
        <v>84</v>
      </c>
      <c r="I3971" t="s">
        <v>85</v>
      </c>
      <c r="J3971">
        <v>1</v>
      </c>
      <c r="K3971">
        <v>280</v>
      </c>
      <c r="L3971">
        <v>0</v>
      </c>
      <c r="M3971">
        <v>280</v>
      </c>
      <c r="N3971">
        <v>160</v>
      </c>
      <c r="O3971">
        <v>120</v>
      </c>
    </row>
    <row r="3972" spans="1:15" x14ac:dyDescent="0.25">
      <c r="A3972" t="s">
        <v>5037</v>
      </c>
      <c r="B3972" s="2">
        <v>49628</v>
      </c>
      <c r="C3972" t="s">
        <v>447</v>
      </c>
      <c r="D3972" t="s">
        <v>448</v>
      </c>
      <c r="E3972" t="s">
        <v>96</v>
      </c>
      <c r="F3972" t="s">
        <v>200</v>
      </c>
      <c r="G3972" t="s">
        <v>57</v>
      </c>
      <c r="H3972" t="s">
        <v>188</v>
      </c>
      <c r="I3972" t="s">
        <v>189</v>
      </c>
      <c r="J3972">
        <v>2</v>
      </c>
      <c r="K3972">
        <v>6200</v>
      </c>
      <c r="L3972">
        <v>0.15</v>
      </c>
      <c r="M3972">
        <v>10540</v>
      </c>
      <c r="N3972">
        <v>8600</v>
      </c>
      <c r="O3972">
        <v>1940</v>
      </c>
    </row>
    <row r="3973" spans="1:15" x14ac:dyDescent="0.25">
      <c r="A3973" t="s">
        <v>5038</v>
      </c>
      <c r="B3973" s="2">
        <v>49629</v>
      </c>
      <c r="C3973" t="s">
        <v>747</v>
      </c>
      <c r="D3973" t="s">
        <v>748</v>
      </c>
      <c r="E3973" t="s">
        <v>39</v>
      </c>
      <c r="F3973" t="s">
        <v>124</v>
      </c>
      <c r="G3973" t="s">
        <v>20</v>
      </c>
      <c r="H3973" t="s">
        <v>84</v>
      </c>
      <c r="I3973" t="s">
        <v>169</v>
      </c>
      <c r="J3973">
        <v>3</v>
      </c>
      <c r="K3973">
        <v>450</v>
      </c>
      <c r="L3973">
        <v>0.15</v>
      </c>
      <c r="M3973">
        <v>1147.5</v>
      </c>
      <c r="N3973">
        <v>780</v>
      </c>
      <c r="O3973">
        <v>367.5</v>
      </c>
    </row>
    <row r="3974" spans="1:15" x14ac:dyDescent="0.25">
      <c r="A3974" t="s">
        <v>5039</v>
      </c>
      <c r="B3974" s="2">
        <v>49630</v>
      </c>
      <c r="C3974" t="s">
        <v>271</v>
      </c>
      <c r="D3974" t="s">
        <v>272</v>
      </c>
      <c r="E3974" t="s">
        <v>96</v>
      </c>
      <c r="F3974" t="s">
        <v>97</v>
      </c>
      <c r="G3974" t="s">
        <v>51</v>
      </c>
      <c r="H3974" t="s">
        <v>52</v>
      </c>
      <c r="I3974" t="s">
        <v>208</v>
      </c>
      <c r="J3974">
        <v>3</v>
      </c>
      <c r="K3974">
        <v>2800</v>
      </c>
      <c r="L3974">
        <v>0.25</v>
      </c>
      <c r="M3974">
        <v>6300</v>
      </c>
      <c r="N3974">
        <v>5400</v>
      </c>
      <c r="O3974">
        <v>900</v>
      </c>
    </row>
    <row r="3975" spans="1:15" x14ac:dyDescent="0.25">
      <c r="A3975" t="s">
        <v>5040</v>
      </c>
      <c r="B3975" s="2">
        <v>49631</v>
      </c>
      <c r="C3975" t="s">
        <v>241</v>
      </c>
      <c r="D3975" t="s">
        <v>242</v>
      </c>
      <c r="E3975" t="s">
        <v>26</v>
      </c>
      <c r="F3975" t="s">
        <v>46</v>
      </c>
      <c r="G3975" t="s">
        <v>28</v>
      </c>
      <c r="H3975" t="s">
        <v>29</v>
      </c>
      <c r="I3975" t="s">
        <v>47</v>
      </c>
      <c r="J3975">
        <v>3</v>
      </c>
      <c r="K3975">
        <v>6800</v>
      </c>
      <c r="L3975">
        <v>0.1</v>
      </c>
      <c r="M3975">
        <v>18360</v>
      </c>
      <c r="N3975">
        <v>14100</v>
      </c>
      <c r="O3975">
        <v>4260</v>
      </c>
    </row>
    <row r="3976" spans="1:15" x14ac:dyDescent="0.25">
      <c r="A3976" t="s">
        <v>5041</v>
      </c>
      <c r="B3976" s="2">
        <v>49632</v>
      </c>
      <c r="C3976" t="s">
        <v>573</v>
      </c>
      <c r="D3976" t="s">
        <v>574</v>
      </c>
      <c r="E3976" t="s">
        <v>39</v>
      </c>
      <c r="F3976" t="s">
        <v>40</v>
      </c>
      <c r="G3976" t="s">
        <v>28</v>
      </c>
      <c r="H3976" t="s">
        <v>63</v>
      </c>
      <c r="I3976" t="s">
        <v>64</v>
      </c>
      <c r="J3976">
        <v>4</v>
      </c>
      <c r="K3976">
        <v>2400</v>
      </c>
      <c r="L3976">
        <v>0.1</v>
      </c>
      <c r="M3976">
        <v>8640</v>
      </c>
      <c r="N3976">
        <v>6600</v>
      </c>
      <c r="O3976">
        <v>2040</v>
      </c>
    </row>
    <row r="3977" spans="1:15" x14ac:dyDescent="0.25">
      <c r="A3977" t="s">
        <v>5042</v>
      </c>
      <c r="B3977" s="2">
        <v>49633</v>
      </c>
      <c r="C3977" t="s">
        <v>501</v>
      </c>
      <c r="D3977" t="s">
        <v>502</v>
      </c>
      <c r="E3977" t="s">
        <v>39</v>
      </c>
      <c r="F3977" t="s">
        <v>71</v>
      </c>
      <c r="G3977" t="s">
        <v>20</v>
      </c>
      <c r="H3977" t="s">
        <v>41</v>
      </c>
      <c r="I3977" t="s">
        <v>42</v>
      </c>
      <c r="J3977">
        <v>3</v>
      </c>
      <c r="K3977">
        <v>520</v>
      </c>
      <c r="L3977">
        <v>0.25</v>
      </c>
      <c r="M3977">
        <v>1170</v>
      </c>
      <c r="N3977">
        <v>990</v>
      </c>
      <c r="O3977">
        <v>180</v>
      </c>
    </row>
    <row r="3978" spans="1:15" x14ac:dyDescent="0.25">
      <c r="A3978" t="s">
        <v>5043</v>
      </c>
      <c r="B3978" s="2">
        <v>49634</v>
      </c>
      <c r="C3978" t="s">
        <v>1152</v>
      </c>
      <c r="D3978" t="s">
        <v>1153</v>
      </c>
      <c r="E3978" t="s">
        <v>26</v>
      </c>
      <c r="F3978" t="s">
        <v>34</v>
      </c>
      <c r="G3978" t="s">
        <v>57</v>
      </c>
      <c r="H3978" t="s">
        <v>104</v>
      </c>
      <c r="I3978" t="s">
        <v>105</v>
      </c>
      <c r="J3978">
        <v>4</v>
      </c>
      <c r="K3978">
        <v>7500</v>
      </c>
      <c r="L3978">
        <v>0.15</v>
      </c>
      <c r="M3978">
        <v>25500</v>
      </c>
      <c r="N3978">
        <v>20800</v>
      </c>
      <c r="O3978">
        <v>4700</v>
      </c>
    </row>
    <row r="3979" spans="1:15" x14ac:dyDescent="0.25">
      <c r="A3979" t="s">
        <v>5044</v>
      </c>
      <c r="B3979" s="2">
        <v>49635</v>
      </c>
      <c r="C3979" t="s">
        <v>1404</v>
      </c>
      <c r="D3979" t="s">
        <v>1405</v>
      </c>
      <c r="E3979" t="s">
        <v>18</v>
      </c>
      <c r="F3979" t="s">
        <v>94</v>
      </c>
      <c r="G3979" t="s">
        <v>20</v>
      </c>
      <c r="H3979" t="s">
        <v>84</v>
      </c>
      <c r="I3979" t="s">
        <v>85</v>
      </c>
      <c r="J3979">
        <v>1</v>
      </c>
      <c r="K3979">
        <v>280</v>
      </c>
      <c r="L3979">
        <v>0.2</v>
      </c>
      <c r="M3979">
        <v>224</v>
      </c>
      <c r="N3979">
        <v>160</v>
      </c>
      <c r="O3979">
        <v>64</v>
      </c>
    </row>
    <row r="3980" spans="1:15" x14ac:dyDescent="0.25">
      <c r="A3980" t="s">
        <v>5045</v>
      </c>
      <c r="B3980" s="2">
        <v>49636</v>
      </c>
      <c r="C3980" t="s">
        <v>977</v>
      </c>
      <c r="D3980" t="s">
        <v>978</v>
      </c>
      <c r="E3980" t="s">
        <v>96</v>
      </c>
      <c r="F3980" t="s">
        <v>196</v>
      </c>
      <c r="G3980" t="s">
        <v>57</v>
      </c>
      <c r="H3980" t="s">
        <v>58</v>
      </c>
      <c r="I3980" t="s">
        <v>129</v>
      </c>
      <c r="J3980">
        <v>1</v>
      </c>
      <c r="K3980">
        <v>4800</v>
      </c>
      <c r="L3980">
        <v>0.15</v>
      </c>
      <c r="M3980">
        <v>4080</v>
      </c>
      <c r="N3980">
        <v>3300</v>
      </c>
      <c r="O3980">
        <v>780</v>
      </c>
    </row>
    <row r="3981" spans="1:15" x14ac:dyDescent="0.25">
      <c r="A3981" t="s">
        <v>5046</v>
      </c>
      <c r="B3981" s="2">
        <v>49637</v>
      </c>
      <c r="C3981" t="s">
        <v>396</v>
      </c>
      <c r="D3981" t="s">
        <v>397</v>
      </c>
      <c r="E3981" t="s">
        <v>26</v>
      </c>
      <c r="F3981" t="s">
        <v>46</v>
      </c>
      <c r="G3981" t="s">
        <v>20</v>
      </c>
      <c r="H3981" t="s">
        <v>21</v>
      </c>
      <c r="I3981" t="s">
        <v>22</v>
      </c>
      <c r="J3981">
        <v>4</v>
      </c>
      <c r="K3981">
        <v>650</v>
      </c>
      <c r="L3981">
        <v>0.15</v>
      </c>
      <c r="M3981">
        <v>2210</v>
      </c>
      <c r="N3981">
        <v>1560</v>
      </c>
      <c r="O3981">
        <v>650</v>
      </c>
    </row>
    <row r="3982" spans="1:15" x14ac:dyDescent="0.25">
      <c r="A3982" t="s">
        <v>5047</v>
      </c>
      <c r="B3982" s="2">
        <v>49638</v>
      </c>
      <c r="C3982" t="s">
        <v>1034</v>
      </c>
      <c r="D3982" t="s">
        <v>1035</v>
      </c>
      <c r="E3982" t="s">
        <v>26</v>
      </c>
      <c r="F3982" t="s">
        <v>34</v>
      </c>
      <c r="G3982" t="s">
        <v>20</v>
      </c>
      <c r="H3982" t="s">
        <v>84</v>
      </c>
      <c r="I3982" t="s">
        <v>85</v>
      </c>
      <c r="J3982">
        <v>4</v>
      </c>
      <c r="K3982">
        <v>280</v>
      </c>
      <c r="L3982">
        <v>0.15</v>
      </c>
      <c r="M3982">
        <v>952</v>
      </c>
      <c r="N3982">
        <v>640</v>
      </c>
      <c r="O3982">
        <v>312</v>
      </c>
    </row>
    <row r="3983" spans="1:15" x14ac:dyDescent="0.25">
      <c r="A3983" t="s">
        <v>5048</v>
      </c>
      <c r="B3983" s="2">
        <v>49639</v>
      </c>
      <c r="C3983" t="s">
        <v>140</v>
      </c>
      <c r="D3983" t="s">
        <v>141</v>
      </c>
      <c r="E3983" t="s">
        <v>26</v>
      </c>
      <c r="F3983" t="s">
        <v>34</v>
      </c>
      <c r="G3983" t="s">
        <v>20</v>
      </c>
      <c r="H3983" t="s">
        <v>84</v>
      </c>
      <c r="I3983" t="s">
        <v>169</v>
      </c>
      <c r="J3983">
        <v>1</v>
      </c>
      <c r="K3983">
        <v>450</v>
      </c>
      <c r="L3983">
        <v>0.25</v>
      </c>
      <c r="M3983">
        <v>337.5</v>
      </c>
      <c r="N3983">
        <v>260</v>
      </c>
      <c r="O3983">
        <v>77.5</v>
      </c>
    </row>
    <row r="3984" spans="1:15" x14ac:dyDescent="0.25">
      <c r="A3984" t="s">
        <v>5049</v>
      </c>
      <c r="B3984" s="2">
        <v>49640</v>
      </c>
      <c r="C3984" t="s">
        <v>627</v>
      </c>
      <c r="D3984" t="s">
        <v>628</v>
      </c>
      <c r="E3984" t="s">
        <v>39</v>
      </c>
      <c r="F3984" t="s">
        <v>40</v>
      </c>
      <c r="G3984" t="s">
        <v>20</v>
      </c>
      <c r="H3984" t="s">
        <v>21</v>
      </c>
      <c r="I3984" t="s">
        <v>22</v>
      </c>
      <c r="J3984">
        <v>4</v>
      </c>
      <c r="K3984">
        <v>650</v>
      </c>
      <c r="L3984">
        <v>0.15</v>
      </c>
      <c r="M3984">
        <v>2210</v>
      </c>
      <c r="N3984">
        <v>1560</v>
      </c>
      <c r="O3984">
        <v>650</v>
      </c>
    </row>
    <row r="3985" spans="1:15" x14ac:dyDescent="0.25">
      <c r="A3985" t="s">
        <v>5050</v>
      </c>
      <c r="B3985" s="2">
        <v>49641</v>
      </c>
      <c r="C3985" t="s">
        <v>202</v>
      </c>
      <c r="D3985" t="s">
        <v>203</v>
      </c>
      <c r="E3985" t="s">
        <v>26</v>
      </c>
      <c r="F3985" t="s">
        <v>34</v>
      </c>
      <c r="G3985" t="s">
        <v>28</v>
      </c>
      <c r="H3985" t="s">
        <v>29</v>
      </c>
      <c r="I3985" t="s">
        <v>47</v>
      </c>
      <c r="J3985">
        <v>1</v>
      </c>
      <c r="K3985">
        <v>6800</v>
      </c>
      <c r="L3985">
        <v>0.2</v>
      </c>
      <c r="M3985">
        <v>5440</v>
      </c>
      <c r="N3985">
        <v>4700</v>
      </c>
      <c r="O3985">
        <v>740</v>
      </c>
    </row>
    <row r="3986" spans="1:15" x14ac:dyDescent="0.25">
      <c r="A3986" t="s">
        <v>5051</v>
      </c>
      <c r="B3986" s="2">
        <v>49642</v>
      </c>
      <c r="C3986" t="s">
        <v>2084</v>
      </c>
      <c r="D3986" t="s">
        <v>2085</v>
      </c>
      <c r="E3986" t="s">
        <v>26</v>
      </c>
      <c r="F3986" t="s">
        <v>204</v>
      </c>
      <c r="G3986" t="s">
        <v>51</v>
      </c>
      <c r="H3986" t="s">
        <v>21</v>
      </c>
      <c r="I3986" t="s">
        <v>72</v>
      </c>
      <c r="J3986">
        <v>4</v>
      </c>
      <c r="K3986">
        <v>1800</v>
      </c>
      <c r="L3986">
        <v>0.2</v>
      </c>
      <c r="M3986">
        <v>5760</v>
      </c>
      <c r="N3986">
        <v>4400</v>
      </c>
      <c r="O3986">
        <v>1360</v>
      </c>
    </row>
    <row r="3987" spans="1:15" x14ac:dyDescent="0.25">
      <c r="A3987" t="s">
        <v>5052</v>
      </c>
      <c r="B3987" s="2">
        <v>49643</v>
      </c>
      <c r="C3987" t="s">
        <v>281</v>
      </c>
      <c r="D3987" t="s">
        <v>282</v>
      </c>
      <c r="E3987" t="s">
        <v>39</v>
      </c>
      <c r="F3987" t="s">
        <v>71</v>
      </c>
      <c r="G3987" t="s">
        <v>20</v>
      </c>
      <c r="H3987" t="s">
        <v>21</v>
      </c>
      <c r="I3987" t="s">
        <v>22</v>
      </c>
      <c r="J3987">
        <v>1</v>
      </c>
      <c r="K3987">
        <v>650</v>
      </c>
      <c r="L3987">
        <v>0.15</v>
      </c>
      <c r="M3987">
        <v>552.5</v>
      </c>
      <c r="N3987">
        <v>390</v>
      </c>
      <c r="O3987">
        <v>162.5</v>
      </c>
    </row>
    <row r="3988" spans="1:15" x14ac:dyDescent="0.25">
      <c r="A3988" t="s">
        <v>5053</v>
      </c>
      <c r="B3988" s="2">
        <v>49644</v>
      </c>
      <c r="C3988" t="s">
        <v>853</v>
      </c>
      <c r="D3988" t="s">
        <v>854</v>
      </c>
      <c r="E3988" t="s">
        <v>39</v>
      </c>
      <c r="F3988" t="s">
        <v>40</v>
      </c>
      <c r="G3988" t="s">
        <v>57</v>
      </c>
      <c r="H3988" t="s">
        <v>188</v>
      </c>
      <c r="I3988" t="s">
        <v>189</v>
      </c>
      <c r="J3988">
        <v>5</v>
      </c>
      <c r="K3988">
        <v>6200</v>
      </c>
      <c r="L3988">
        <v>0.1</v>
      </c>
      <c r="M3988">
        <v>27900</v>
      </c>
      <c r="N3988">
        <v>21500</v>
      </c>
      <c r="O3988">
        <v>6400</v>
      </c>
    </row>
    <row r="3989" spans="1:15" x14ac:dyDescent="0.25">
      <c r="A3989" t="s">
        <v>5054</v>
      </c>
      <c r="B3989" s="2">
        <v>49645</v>
      </c>
      <c r="C3989" t="s">
        <v>301</v>
      </c>
      <c r="D3989" t="s">
        <v>302</v>
      </c>
      <c r="E3989" t="s">
        <v>26</v>
      </c>
      <c r="F3989" t="s">
        <v>128</v>
      </c>
      <c r="G3989" t="s">
        <v>57</v>
      </c>
      <c r="H3989" t="s">
        <v>58</v>
      </c>
      <c r="I3989" t="s">
        <v>59</v>
      </c>
      <c r="J3989">
        <v>2</v>
      </c>
      <c r="K3989">
        <v>5600</v>
      </c>
      <c r="L3989">
        <v>0.1</v>
      </c>
      <c r="M3989">
        <v>10080</v>
      </c>
      <c r="N3989">
        <v>7800</v>
      </c>
      <c r="O3989">
        <v>2280</v>
      </c>
    </row>
    <row r="3990" spans="1:15" x14ac:dyDescent="0.25">
      <c r="A3990" t="s">
        <v>5055</v>
      </c>
      <c r="B3990" s="2">
        <v>49646</v>
      </c>
      <c r="C3990" t="s">
        <v>459</v>
      </c>
      <c r="D3990" t="s">
        <v>460</v>
      </c>
      <c r="E3990" t="s">
        <v>26</v>
      </c>
      <c r="F3990" t="s">
        <v>204</v>
      </c>
      <c r="G3990" t="s">
        <v>57</v>
      </c>
      <c r="H3990" t="s">
        <v>188</v>
      </c>
      <c r="I3990" t="s">
        <v>189</v>
      </c>
      <c r="J3990">
        <v>4</v>
      </c>
      <c r="K3990">
        <v>6200</v>
      </c>
      <c r="L3990">
        <v>0</v>
      </c>
      <c r="M3990">
        <v>24800</v>
      </c>
      <c r="N3990">
        <v>17200</v>
      </c>
      <c r="O3990">
        <v>7600</v>
      </c>
    </row>
    <row r="3991" spans="1:15" x14ac:dyDescent="0.25">
      <c r="A3991" t="s">
        <v>5056</v>
      </c>
      <c r="B3991" s="2">
        <v>49647</v>
      </c>
      <c r="C3991" t="s">
        <v>2356</v>
      </c>
      <c r="D3991" t="s">
        <v>2357</v>
      </c>
      <c r="E3991" t="s">
        <v>26</v>
      </c>
      <c r="F3991" t="s">
        <v>46</v>
      </c>
      <c r="G3991" t="s">
        <v>57</v>
      </c>
      <c r="H3991" t="s">
        <v>58</v>
      </c>
      <c r="I3991" t="s">
        <v>59</v>
      </c>
      <c r="J3991">
        <v>5</v>
      </c>
      <c r="K3991">
        <v>5600</v>
      </c>
      <c r="L3991">
        <v>0.05</v>
      </c>
      <c r="M3991">
        <v>26600</v>
      </c>
      <c r="N3991">
        <v>19500</v>
      </c>
      <c r="O3991">
        <v>7100</v>
      </c>
    </row>
    <row r="3992" spans="1:15" x14ac:dyDescent="0.25">
      <c r="A3992" t="s">
        <v>5057</v>
      </c>
      <c r="B3992" s="2">
        <v>49648</v>
      </c>
      <c r="C3992" t="s">
        <v>838</v>
      </c>
      <c r="D3992" t="s">
        <v>839</v>
      </c>
      <c r="E3992" t="s">
        <v>26</v>
      </c>
      <c r="F3992" t="s">
        <v>27</v>
      </c>
      <c r="G3992" t="s">
        <v>28</v>
      </c>
      <c r="H3992" t="s">
        <v>29</v>
      </c>
      <c r="I3992" t="s">
        <v>30</v>
      </c>
      <c r="J3992">
        <v>3</v>
      </c>
      <c r="K3992">
        <v>1900</v>
      </c>
      <c r="L3992">
        <v>0.05</v>
      </c>
      <c r="M3992">
        <v>5415</v>
      </c>
      <c r="N3992">
        <v>3750</v>
      </c>
      <c r="O3992">
        <v>1665</v>
      </c>
    </row>
    <row r="3993" spans="1:15" x14ac:dyDescent="0.25">
      <c r="A3993" t="s">
        <v>5058</v>
      </c>
      <c r="B3993" s="2">
        <v>49649</v>
      </c>
      <c r="C3993" t="s">
        <v>1157</v>
      </c>
      <c r="D3993" t="s">
        <v>1158</v>
      </c>
      <c r="E3993" t="s">
        <v>39</v>
      </c>
      <c r="F3993" t="s">
        <v>76</v>
      </c>
      <c r="G3993" t="s">
        <v>20</v>
      </c>
      <c r="H3993" t="s">
        <v>21</v>
      </c>
      <c r="I3993" t="s">
        <v>22</v>
      </c>
      <c r="J3993">
        <v>3</v>
      </c>
      <c r="K3993">
        <v>650</v>
      </c>
      <c r="L3993">
        <v>0.1</v>
      </c>
      <c r="M3993">
        <v>1755</v>
      </c>
      <c r="N3993">
        <v>1170</v>
      </c>
      <c r="O3993">
        <v>585</v>
      </c>
    </row>
    <row r="3994" spans="1:15" x14ac:dyDescent="0.25">
      <c r="A3994" t="s">
        <v>5059</v>
      </c>
      <c r="B3994" s="2">
        <v>49650</v>
      </c>
      <c r="C3994" t="s">
        <v>1127</v>
      </c>
      <c r="D3994" t="s">
        <v>1128</v>
      </c>
      <c r="E3994" t="s">
        <v>18</v>
      </c>
      <c r="F3994" t="s">
        <v>94</v>
      </c>
      <c r="G3994" t="s">
        <v>51</v>
      </c>
      <c r="H3994" t="s">
        <v>21</v>
      </c>
      <c r="I3994" t="s">
        <v>116</v>
      </c>
      <c r="J3994">
        <v>4</v>
      </c>
      <c r="K3994">
        <v>1400</v>
      </c>
      <c r="L3994">
        <v>0.15</v>
      </c>
      <c r="M3994">
        <v>4760</v>
      </c>
      <c r="N3994">
        <v>3600</v>
      </c>
      <c r="O3994">
        <v>1160</v>
      </c>
    </row>
    <row r="3995" spans="1:15" x14ac:dyDescent="0.25">
      <c r="A3995" t="s">
        <v>5060</v>
      </c>
      <c r="B3995" s="2">
        <v>49651</v>
      </c>
      <c r="C3995" t="s">
        <v>1207</v>
      </c>
      <c r="D3995" t="s">
        <v>1208</v>
      </c>
      <c r="E3995" t="s">
        <v>26</v>
      </c>
      <c r="F3995" t="s">
        <v>27</v>
      </c>
      <c r="G3995" t="s">
        <v>51</v>
      </c>
      <c r="H3995" t="s">
        <v>21</v>
      </c>
      <c r="I3995" t="s">
        <v>80</v>
      </c>
      <c r="J3995">
        <v>3</v>
      </c>
      <c r="K3995">
        <v>850</v>
      </c>
      <c r="L3995">
        <v>0.1</v>
      </c>
      <c r="M3995">
        <v>2295</v>
      </c>
      <c r="N3995">
        <v>1680</v>
      </c>
      <c r="O3995">
        <v>615</v>
      </c>
    </row>
    <row r="3996" spans="1:15" x14ac:dyDescent="0.25">
      <c r="A3996" t="s">
        <v>5061</v>
      </c>
      <c r="B3996" s="2">
        <v>49652</v>
      </c>
      <c r="C3996" t="s">
        <v>849</v>
      </c>
      <c r="D3996" t="s">
        <v>850</v>
      </c>
      <c r="E3996" t="s">
        <v>39</v>
      </c>
      <c r="F3996" t="s">
        <v>71</v>
      </c>
      <c r="G3996" t="s">
        <v>20</v>
      </c>
      <c r="H3996" t="s">
        <v>84</v>
      </c>
      <c r="I3996" t="s">
        <v>169</v>
      </c>
      <c r="J3996">
        <v>1</v>
      </c>
      <c r="K3996">
        <v>450</v>
      </c>
      <c r="L3996">
        <v>0.1</v>
      </c>
      <c r="M3996">
        <v>405</v>
      </c>
      <c r="N3996">
        <v>260</v>
      </c>
      <c r="O3996">
        <v>145</v>
      </c>
    </row>
    <row r="3997" spans="1:15" x14ac:dyDescent="0.25">
      <c r="A3997" t="s">
        <v>5062</v>
      </c>
      <c r="B3997" s="2">
        <v>49653</v>
      </c>
      <c r="C3997" t="s">
        <v>678</v>
      </c>
      <c r="D3997" t="s">
        <v>679</v>
      </c>
      <c r="E3997" t="s">
        <v>26</v>
      </c>
      <c r="F3997" t="s">
        <v>128</v>
      </c>
      <c r="G3997" t="s">
        <v>57</v>
      </c>
      <c r="H3997" t="s">
        <v>104</v>
      </c>
      <c r="I3997" t="s">
        <v>105</v>
      </c>
      <c r="J3997">
        <v>1</v>
      </c>
      <c r="K3997">
        <v>7500</v>
      </c>
      <c r="L3997">
        <v>0.05</v>
      </c>
      <c r="M3997">
        <v>7125</v>
      </c>
      <c r="N3997">
        <v>5200</v>
      </c>
      <c r="O3997">
        <v>1925</v>
      </c>
    </row>
    <row r="3998" spans="1:15" x14ac:dyDescent="0.25">
      <c r="A3998" t="s">
        <v>5063</v>
      </c>
      <c r="B3998" s="2">
        <v>49654</v>
      </c>
      <c r="C3998" t="s">
        <v>99</v>
      </c>
      <c r="D3998" t="s">
        <v>100</v>
      </c>
      <c r="E3998" t="s">
        <v>18</v>
      </c>
      <c r="F3998" t="s">
        <v>94</v>
      </c>
      <c r="G3998" t="s">
        <v>51</v>
      </c>
      <c r="H3998" t="s">
        <v>52</v>
      </c>
      <c r="I3998" t="s">
        <v>208</v>
      </c>
      <c r="J3998">
        <v>4</v>
      </c>
      <c r="K3998">
        <v>2800</v>
      </c>
      <c r="L3998">
        <v>0.1</v>
      </c>
      <c r="M3998">
        <v>10080</v>
      </c>
      <c r="N3998">
        <v>7200</v>
      </c>
      <c r="O3998">
        <v>2880</v>
      </c>
    </row>
    <row r="3999" spans="1:15" x14ac:dyDescent="0.25">
      <c r="A3999" t="s">
        <v>5064</v>
      </c>
      <c r="B3999" s="2">
        <v>49655</v>
      </c>
      <c r="C3999" t="s">
        <v>2019</v>
      </c>
      <c r="D3999" t="s">
        <v>2020</v>
      </c>
      <c r="E3999" t="s">
        <v>39</v>
      </c>
      <c r="F3999" t="s">
        <v>71</v>
      </c>
      <c r="G3999" t="s">
        <v>57</v>
      </c>
      <c r="H3999" t="s">
        <v>188</v>
      </c>
      <c r="I3999" t="s">
        <v>189</v>
      </c>
      <c r="J3999">
        <v>4</v>
      </c>
      <c r="K3999">
        <v>6200</v>
      </c>
      <c r="L3999">
        <v>0.15</v>
      </c>
      <c r="M3999">
        <v>21080</v>
      </c>
      <c r="N3999">
        <v>17200</v>
      </c>
      <c r="O3999">
        <v>3880</v>
      </c>
    </row>
    <row r="4000" spans="1:15" x14ac:dyDescent="0.25">
      <c r="A4000" t="s">
        <v>5065</v>
      </c>
      <c r="B4000" s="2">
        <v>49656</v>
      </c>
      <c r="C4000" t="s">
        <v>757</v>
      </c>
      <c r="D4000" t="s">
        <v>758</v>
      </c>
      <c r="E4000" t="s">
        <v>96</v>
      </c>
      <c r="F4000" t="s">
        <v>196</v>
      </c>
      <c r="G4000" t="s">
        <v>28</v>
      </c>
      <c r="H4000" t="s">
        <v>63</v>
      </c>
      <c r="I4000" t="s">
        <v>64</v>
      </c>
      <c r="J4000">
        <v>1</v>
      </c>
      <c r="K4000">
        <v>2400</v>
      </c>
      <c r="L4000">
        <v>0.15</v>
      </c>
      <c r="M4000">
        <v>2040</v>
      </c>
      <c r="N4000">
        <v>1650</v>
      </c>
      <c r="O4000">
        <v>390</v>
      </c>
    </row>
    <row r="4001" spans="1:15" x14ac:dyDescent="0.25">
      <c r="A4001" t="s">
        <v>5066</v>
      </c>
      <c r="B4001" s="2">
        <v>49657</v>
      </c>
      <c r="C4001" t="s">
        <v>466</v>
      </c>
      <c r="D4001" t="s">
        <v>467</v>
      </c>
      <c r="E4001" t="s">
        <v>96</v>
      </c>
      <c r="F4001" t="s">
        <v>196</v>
      </c>
      <c r="G4001" t="s">
        <v>28</v>
      </c>
      <c r="H4001" t="s">
        <v>29</v>
      </c>
      <c r="I4001" t="s">
        <v>47</v>
      </c>
      <c r="J4001">
        <v>2</v>
      </c>
      <c r="K4001">
        <v>6800</v>
      </c>
      <c r="L4001">
        <v>0.05</v>
      </c>
      <c r="M4001">
        <v>12920</v>
      </c>
      <c r="N4001">
        <v>9400</v>
      </c>
      <c r="O4001">
        <v>3520</v>
      </c>
    </row>
  </sheetData>
  <mergeCells count="1">
    <mergeCell ref="Q1:R1"/>
  </mergeCells>
  <pageMargins left="0.75" right="0.75" top="1" bottom="1" header="0.5" footer="0.5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EE69-7981-40EA-85D0-AE5C62EF9700}">
  <dimension ref="A1:N16"/>
  <sheetViews>
    <sheetView workbookViewId="0">
      <selection activeCell="F19" sqref="F19"/>
    </sheetView>
  </sheetViews>
  <sheetFormatPr defaultRowHeight="15" x14ac:dyDescent="0.25"/>
  <cols>
    <col min="1" max="1" width="12.140625" bestFit="1" customWidth="1"/>
    <col min="2" max="2" width="16.28515625" bestFit="1" customWidth="1"/>
    <col min="3" max="13" width="10.7109375" bestFit="1" customWidth="1"/>
    <col min="14" max="14" width="12.28515625" bestFit="1" customWidth="1"/>
  </cols>
  <sheetData>
    <row r="1" spans="1:14" x14ac:dyDescent="0.25">
      <c r="M1" s="10" t="e" vm="1">
        <v>#VALUE!</v>
      </c>
    </row>
    <row r="3" spans="1:14" x14ac:dyDescent="0.25">
      <c r="A3" s="5" t="s">
        <v>5085</v>
      </c>
      <c r="B3" s="5" t="s">
        <v>5097</v>
      </c>
    </row>
    <row r="4" spans="1:14" x14ac:dyDescent="0.25">
      <c r="A4" s="5" t="s">
        <v>5084</v>
      </c>
      <c r="B4" t="s">
        <v>5072</v>
      </c>
      <c r="C4" t="s">
        <v>5073</v>
      </c>
      <c r="D4" t="s">
        <v>5074</v>
      </c>
      <c r="E4" t="s">
        <v>5075</v>
      </c>
      <c r="F4" t="s">
        <v>5076</v>
      </c>
      <c r="G4" t="s">
        <v>5077</v>
      </c>
      <c r="H4" t="s">
        <v>5078</v>
      </c>
      <c r="I4" t="s">
        <v>5079</v>
      </c>
      <c r="J4" t="s">
        <v>5080</v>
      </c>
      <c r="K4" t="s">
        <v>5081</v>
      </c>
      <c r="L4" t="s">
        <v>5082</v>
      </c>
      <c r="M4" t="s">
        <v>5083</v>
      </c>
      <c r="N4" t="s">
        <v>5071</v>
      </c>
    </row>
    <row r="5" spans="1:14" x14ac:dyDescent="0.25">
      <c r="A5" s="6" t="s">
        <v>5086</v>
      </c>
      <c r="B5" s="8">
        <v>204683</v>
      </c>
      <c r="C5" s="8">
        <v>263049</v>
      </c>
      <c r="D5" s="8">
        <v>367888.5</v>
      </c>
      <c r="E5" s="8">
        <v>229054.5</v>
      </c>
      <c r="F5" s="8">
        <v>297801</v>
      </c>
      <c r="G5" s="8">
        <v>201899.5</v>
      </c>
      <c r="H5" s="8">
        <v>285626.5</v>
      </c>
      <c r="I5" s="8">
        <v>340569</v>
      </c>
      <c r="J5" s="8">
        <v>334819</v>
      </c>
      <c r="K5" s="8">
        <v>257831</v>
      </c>
      <c r="L5" s="8">
        <v>391068.5</v>
      </c>
      <c r="M5" s="8">
        <v>201078</v>
      </c>
      <c r="N5" s="8">
        <v>3375367.5</v>
      </c>
    </row>
    <row r="6" spans="1:14" x14ac:dyDescent="0.25">
      <c r="A6" s="6" t="s">
        <v>5087</v>
      </c>
      <c r="B6" s="8">
        <v>355447</v>
      </c>
      <c r="C6" s="8">
        <v>257966.5</v>
      </c>
      <c r="D6" s="8">
        <v>259701.5</v>
      </c>
      <c r="E6" s="8">
        <v>309127.5</v>
      </c>
      <c r="F6" s="8">
        <v>287670.5</v>
      </c>
      <c r="G6" s="8">
        <v>239894.5</v>
      </c>
      <c r="H6" s="8">
        <v>226456</v>
      </c>
      <c r="I6" s="8">
        <v>240542</v>
      </c>
      <c r="J6" s="8">
        <v>339336</v>
      </c>
      <c r="K6" s="8">
        <v>272109.5</v>
      </c>
      <c r="L6" s="8">
        <v>226983</v>
      </c>
      <c r="M6" s="8">
        <v>258475</v>
      </c>
      <c r="N6" s="8">
        <v>3273709</v>
      </c>
    </row>
    <row r="7" spans="1:14" x14ac:dyDescent="0.25">
      <c r="A7" s="6" t="s">
        <v>5088</v>
      </c>
      <c r="B7" s="8">
        <v>286379.5</v>
      </c>
      <c r="C7" s="8">
        <v>242529</v>
      </c>
      <c r="D7" s="8">
        <v>247064.5</v>
      </c>
      <c r="E7" s="8">
        <v>179985.5</v>
      </c>
      <c r="F7" s="8">
        <v>242891.5</v>
      </c>
      <c r="G7" s="8">
        <v>253337.5</v>
      </c>
      <c r="H7" s="8">
        <v>299072.5</v>
      </c>
      <c r="I7" s="8">
        <v>236853.5</v>
      </c>
      <c r="J7" s="8">
        <v>246806.5</v>
      </c>
      <c r="K7" s="8">
        <v>254700</v>
      </c>
      <c r="L7" s="8">
        <v>171101</v>
      </c>
      <c r="M7" s="8">
        <v>300924</v>
      </c>
      <c r="N7" s="8">
        <v>2961645</v>
      </c>
    </row>
    <row r="8" spans="1:14" x14ac:dyDescent="0.25">
      <c r="A8" s="6" t="s">
        <v>5089</v>
      </c>
      <c r="B8" s="8">
        <v>231537.5</v>
      </c>
      <c r="C8" s="8">
        <v>182245.5</v>
      </c>
      <c r="D8" s="8">
        <v>307129.5</v>
      </c>
      <c r="E8" s="8">
        <v>281317</v>
      </c>
      <c r="F8" s="8">
        <v>358586.5</v>
      </c>
      <c r="G8" s="8">
        <v>201205.5</v>
      </c>
      <c r="H8" s="8">
        <v>319093</v>
      </c>
      <c r="I8" s="8">
        <v>206931</v>
      </c>
      <c r="J8" s="8">
        <v>301455</v>
      </c>
      <c r="K8" s="8">
        <v>232886</v>
      </c>
      <c r="L8" s="8">
        <v>301092</v>
      </c>
      <c r="M8" s="8">
        <v>113367.5</v>
      </c>
      <c r="N8" s="8">
        <v>3036846</v>
      </c>
    </row>
    <row r="9" spans="1:14" x14ac:dyDescent="0.25">
      <c r="A9" s="6" t="s">
        <v>5090</v>
      </c>
      <c r="B9" s="8">
        <v>277272</v>
      </c>
      <c r="C9" s="8">
        <v>182427.5</v>
      </c>
      <c r="D9" s="8">
        <v>202448.5</v>
      </c>
      <c r="E9" s="8">
        <v>239178</v>
      </c>
      <c r="F9" s="8">
        <v>287926.5</v>
      </c>
      <c r="G9" s="8">
        <v>248674</v>
      </c>
      <c r="H9" s="8">
        <v>337311</v>
      </c>
      <c r="I9" s="8">
        <v>296187</v>
      </c>
      <c r="J9" s="8">
        <v>355426.5</v>
      </c>
      <c r="K9" s="8">
        <v>324204.5</v>
      </c>
      <c r="L9" s="8">
        <v>323758</v>
      </c>
      <c r="M9" s="8">
        <v>194275.5</v>
      </c>
      <c r="N9" s="8">
        <v>3269089</v>
      </c>
    </row>
    <row r="10" spans="1:14" x14ac:dyDescent="0.25">
      <c r="A10" s="6" t="s">
        <v>5091</v>
      </c>
      <c r="B10" s="8">
        <v>379792.5</v>
      </c>
      <c r="C10" s="8">
        <v>277891</v>
      </c>
      <c r="D10" s="8">
        <v>302989.5</v>
      </c>
      <c r="E10" s="8">
        <v>270694</v>
      </c>
      <c r="F10" s="8">
        <v>276115</v>
      </c>
      <c r="G10" s="8">
        <v>192975.5</v>
      </c>
      <c r="H10" s="8">
        <v>299946</v>
      </c>
      <c r="I10" s="8">
        <v>214730</v>
      </c>
      <c r="J10" s="8">
        <v>172161</v>
      </c>
      <c r="K10" s="8">
        <v>217320.5</v>
      </c>
      <c r="L10" s="8">
        <v>211117.5</v>
      </c>
      <c r="M10" s="8">
        <v>327399.5</v>
      </c>
      <c r="N10" s="8">
        <v>3143132</v>
      </c>
    </row>
    <row r="11" spans="1:14" x14ac:dyDescent="0.25">
      <c r="A11" s="6" t="s">
        <v>5092</v>
      </c>
      <c r="B11" s="8">
        <v>376424</v>
      </c>
      <c r="C11" s="8">
        <v>239935</v>
      </c>
      <c r="D11" s="8">
        <v>240129.5</v>
      </c>
      <c r="E11" s="8">
        <v>253177.5</v>
      </c>
      <c r="F11" s="8">
        <v>307465.5</v>
      </c>
      <c r="G11" s="8">
        <v>334012</v>
      </c>
      <c r="H11" s="8">
        <v>332777.5</v>
      </c>
      <c r="I11" s="8">
        <v>274155</v>
      </c>
      <c r="J11" s="8">
        <v>225883</v>
      </c>
      <c r="K11" s="8">
        <v>225719.5</v>
      </c>
      <c r="L11" s="8">
        <v>262199</v>
      </c>
      <c r="M11" s="8">
        <v>328434</v>
      </c>
      <c r="N11" s="8">
        <v>3400311.5</v>
      </c>
    </row>
    <row r="12" spans="1:14" x14ac:dyDescent="0.25">
      <c r="A12" s="6" t="s">
        <v>5093</v>
      </c>
      <c r="B12" s="8">
        <v>324958.5</v>
      </c>
      <c r="C12" s="8">
        <v>225041.5</v>
      </c>
      <c r="D12" s="8">
        <v>220929</v>
      </c>
      <c r="E12" s="8">
        <v>291608.5</v>
      </c>
      <c r="F12" s="8">
        <v>263137</v>
      </c>
      <c r="G12" s="8">
        <v>308469</v>
      </c>
      <c r="H12" s="8">
        <v>208496.5</v>
      </c>
      <c r="I12" s="8">
        <v>388734.5</v>
      </c>
      <c r="J12" s="8">
        <v>254631.5</v>
      </c>
      <c r="K12" s="8">
        <v>205243</v>
      </c>
      <c r="L12" s="8">
        <v>215219</v>
      </c>
      <c r="M12" s="8">
        <v>235190</v>
      </c>
      <c r="N12" s="8">
        <v>3141658</v>
      </c>
    </row>
    <row r="13" spans="1:14" x14ac:dyDescent="0.25">
      <c r="A13" s="6" t="s">
        <v>5094</v>
      </c>
      <c r="B13" s="8">
        <v>273652</v>
      </c>
      <c r="C13" s="8">
        <v>371293.5</v>
      </c>
      <c r="D13" s="8">
        <v>376536</v>
      </c>
      <c r="E13" s="8">
        <v>225386.5</v>
      </c>
      <c r="F13" s="8">
        <v>286386.5</v>
      </c>
      <c r="G13" s="8">
        <v>190512.5</v>
      </c>
      <c r="H13" s="8">
        <v>325160.5</v>
      </c>
      <c r="I13" s="8">
        <v>268096.5</v>
      </c>
      <c r="J13" s="8">
        <v>228682.5</v>
      </c>
      <c r="K13" s="8">
        <v>244221.5</v>
      </c>
      <c r="L13" s="8">
        <v>244153</v>
      </c>
      <c r="M13" s="8">
        <v>270826.5</v>
      </c>
      <c r="N13" s="8">
        <v>3304907.5</v>
      </c>
    </row>
    <row r="14" spans="1:14" x14ac:dyDescent="0.25">
      <c r="A14" s="6" t="s">
        <v>5095</v>
      </c>
      <c r="B14" s="8">
        <v>270368.5</v>
      </c>
      <c r="C14" s="8">
        <v>276022.5</v>
      </c>
      <c r="D14" s="8">
        <v>192646.5</v>
      </c>
      <c r="E14" s="8">
        <v>305956</v>
      </c>
      <c r="F14" s="8">
        <v>321435</v>
      </c>
      <c r="G14" s="8">
        <v>245581.5</v>
      </c>
      <c r="H14" s="8">
        <v>240149.5</v>
      </c>
      <c r="I14" s="8">
        <v>235153</v>
      </c>
      <c r="J14" s="8">
        <v>274066</v>
      </c>
      <c r="K14" s="8">
        <v>240092</v>
      </c>
      <c r="L14" s="8">
        <v>221460</v>
      </c>
      <c r="M14" s="8">
        <v>208481</v>
      </c>
      <c r="N14" s="8">
        <v>3031411.5</v>
      </c>
    </row>
    <row r="15" spans="1:14" x14ac:dyDescent="0.25">
      <c r="A15" s="6" t="s">
        <v>5096</v>
      </c>
      <c r="B15" s="8">
        <v>202824</v>
      </c>
      <c r="C15" s="8">
        <v>207257.5</v>
      </c>
      <c r="D15" s="8">
        <v>293530</v>
      </c>
      <c r="E15" s="8">
        <v>235624.5</v>
      </c>
      <c r="F15" s="8">
        <v>390327.5</v>
      </c>
      <c r="G15" s="8">
        <v>184544.5</v>
      </c>
      <c r="H15" s="8">
        <v>259668</v>
      </c>
      <c r="I15" s="8">
        <v>131337</v>
      </c>
      <c r="J15" s="8">
        <v>309670</v>
      </c>
      <c r="K15" s="8">
        <v>230075.5</v>
      </c>
      <c r="L15" s="8">
        <v>213248.5</v>
      </c>
      <c r="M15" s="8">
        <v>157255</v>
      </c>
      <c r="N15" s="8">
        <v>2815362</v>
      </c>
    </row>
    <row r="16" spans="1:14" x14ac:dyDescent="0.25">
      <c r="A16" s="6" t="s">
        <v>5071</v>
      </c>
      <c r="B16" s="8">
        <v>3183338.5</v>
      </c>
      <c r="C16" s="8">
        <v>2725658.5</v>
      </c>
      <c r="D16" s="8">
        <v>3010993</v>
      </c>
      <c r="E16" s="8">
        <v>2821109.5</v>
      </c>
      <c r="F16" s="8">
        <v>3319742.5</v>
      </c>
      <c r="G16" s="8">
        <v>2601106</v>
      </c>
      <c r="H16" s="8">
        <v>3133757</v>
      </c>
      <c r="I16" s="8">
        <v>2833288.5</v>
      </c>
      <c r="J16" s="8">
        <v>3042937</v>
      </c>
      <c r="K16" s="8">
        <v>2704403</v>
      </c>
      <c r="L16" s="8">
        <v>2781399.5</v>
      </c>
      <c r="M16" s="8">
        <v>2595706</v>
      </c>
      <c r="N16" s="8">
        <v>34753439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14279B61-B422-4903-9CA3-177819856023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'Monthly Sales Trend '!C4:C4</xm:f>
              <xm:sqref>C4</xm:sqref>
            </x14:sparkline>
            <x14:sparkline>
              <xm:f>'Monthly Sales Trend '!C5:C5</xm:f>
              <xm:sqref>C5</xm:sqref>
            </x14:sparkline>
            <x14:sparkline>
              <xm:f>'Monthly Sales Trend '!C6:C6</xm:f>
              <xm:sqref>C6</xm:sqref>
            </x14:sparkline>
            <x14:sparkline>
              <xm:f>'Monthly Sales Trend '!C7:C7</xm:f>
              <xm:sqref>C7</xm:sqref>
            </x14:sparkline>
            <x14:sparkline>
              <xm:f>'Monthly Sales Trend '!C8:C8</xm:f>
              <xm:sqref>C8</xm:sqref>
            </x14:sparkline>
            <x14:sparkline>
              <xm:f>'Monthly Sales Trend '!C9:C9</xm:f>
              <xm:sqref>C9</xm:sqref>
            </x14:sparkline>
            <x14:sparkline>
              <xm:f>'Monthly Sales Trend '!C10:C10</xm:f>
              <xm:sqref>C10</xm:sqref>
            </x14:sparkline>
            <x14:sparkline>
              <xm:f>'Monthly Sales Trend '!C11:C11</xm:f>
              <xm:sqref>C11</xm:sqref>
            </x14:sparkline>
            <x14:sparkline>
              <xm:f>'Monthly Sales Trend '!C12:C12</xm:f>
              <xm:sqref>C12</xm:sqref>
            </x14:sparkline>
            <x14:sparkline>
              <xm:f>'Monthly Sales Trend '!C13:C13</xm:f>
              <xm:sqref>C13</xm:sqref>
            </x14:sparkline>
            <x14:sparkline>
              <xm:f>'Monthly Sales Trend '!C14:C14</xm:f>
              <xm:sqref>C14</xm:sqref>
            </x14:sparkline>
            <x14:sparkline>
              <xm:f>'Monthly Sales Trend '!C15:C15</xm:f>
              <xm:sqref>C15</xm:sqref>
            </x14:sparkline>
            <x14:sparkline>
              <xm:f>'Monthly Sales Trend '!C16:C16</xm:f>
              <xm:sqref>C16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5A9B5-60E7-47CB-BA6B-D26B5DA1C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Category</vt:lpstr>
      <vt:lpstr>Profit By Category</vt:lpstr>
      <vt:lpstr>Top 10 Product By Sales</vt:lpstr>
      <vt:lpstr>Sales By Region</vt:lpstr>
      <vt:lpstr>Profit Margin</vt:lpstr>
      <vt:lpstr>Discount Vs Profitability</vt:lpstr>
      <vt:lpstr>Sales Data</vt:lpstr>
      <vt:lpstr>Monthly Sales Trend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S0087354</cp:lastModifiedBy>
  <dcterms:created xsi:type="dcterms:W3CDTF">2026-10-08T01:51:25Z</dcterms:created>
  <dcterms:modified xsi:type="dcterms:W3CDTF">2026-10-08T07:09:44Z</dcterms:modified>
</cp:coreProperties>
</file>